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1B706096-8D16-4A33-983E-0A4552AF97FD}" xr6:coauthVersionLast="47" xr6:coauthVersionMax="47" xr10:uidLastSave="{00000000-0000-0000-0000-000000000000}"/>
  <bookViews>
    <workbookView xWindow="-110" yWindow="-110" windowWidth="19420" windowHeight="10300" activeTab="3" xr2:uid="{B3A90576-9E2A-479D-8FFF-4A258108032E}"/>
  </bookViews>
  <sheets>
    <sheet name="global_freelancers_raw" sheetId="1" r:id="rId1"/>
    <sheet name="worksheet" sheetId="2" r:id="rId2"/>
    <sheet name="globalfreelancepreprocesseddata" sheetId="3" r:id="rId3"/>
    <sheet name="Pivottable" sheetId="4" r:id="rId4"/>
  </sheets>
  <calcPr calcId="191029"/>
  <pivotCaches>
    <pivotCache cacheId="0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992" i="2" l="1"/>
  <c r="P990" i="2"/>
  <c r="P2" i="2"/>
  <c r="P1002" i="2"/>
  <c r="M1002" i="2"/>
  <c r="P1001" i="2"/>
  <c r="L1000" i="2"/>
  <c r="L1002" i="2" s="1"/>
  <c r="N1002" i="2"/>
  <c r="L2" i="2"/>
  <c r="J1002" i="2"/>
  <c r="L11" i="2"/>
  <c r="L2" i="3"/>
  <c r="D3" i="3"/>
  <c r="E3" i="3"/>
  <c r="F3" i="3"/>
  <c r="G3" i="3"/>
  <c r="H3" i="3"/>
  <c r="J3" i="3"/>
  <c r="K3" i="3"/>
  <c r="D4" i="3"/>
  <c r="E4" i="3"/>
  <c r="F4" i="3"/>
  <c r="G4" i="3"/>
  <c r="H4" i="3"/>
  <c r="J4" i="3"/>
  <c r="K4" i="3"/>
  <c r="D5" i="3"/>
  <c r="E5" i="3"/>
  <c r="F5" i="3"/>
  <c r="G5" i="3"/>
  <c r="H5" i="3"/>
  <c r="J5" i="3"/>
  <c r="K5" i="3"/>
  <c r="D6" i="3"/>
  <c r="E6" i="3"/>
  <c r="F6" i="3"/>
  <c r="G6" i="3"/>
  <c r="H6" i="3"/>
  <c r="J6" i="3"/>
  <c r="K6" i="3"/>
  <c r="D7" i="3"/>
  <c r="E7" i="3"/>
  <c r="F7" i="3"/>
  <c r="G7" i="3"/>
  <c r="H7" i="3"/>
  <c r="J7" i="3"/>
  <c r="K7" i="3"/>
  <c r="D8" i="3"/>
  <c r="E8" i="3"/>
  <c r="F8" i="3"/>
  <c r="G8" i="3"/>
  <c r="H8" i="3"/>
  <c r="J8" i="3"/>
  <c r="K8" i="3"/>
  <c r="D9" i="3"/>
  <c r="E9" i="3"/>
  <c r="F9" i="3"/>
  <c r="G9" i="3"/>
  <c r="H9" i="3"/>
  <c r="J9" i="3"/>
  <c r="K9" i="3"/>
  <c r="D10" i="3"/>
  <c r="E10" i="3"/>
  <c r="F10" i="3"/>
  <c r="G10" i="3"/>
  <c r="H10" i="3"/>
  <c r="J10" i="3"/>
  <c r="K10" i="3"/>
  <c r="D11" i="3"/>
  <c r="E11" i="3"/>
  <c r="F11" i="3"/>
  <c r="G11" i="3"/>
  <c r="H11" i="3"/>
  <c r="J11" i="3"/>
  <c r="K11" i="3"/>
  <c r="D12" i="3"/>
  <c r="E12" i="3"/>
  <c r="F12" i="3"/>
  <c r="G12" i="3"/>
  <c r="H12" i="3"/>
  <c r="J12" i="3"/>
  <c r="K12" i="3"/>
  <c r="D13" i="3"/>
  <c r="E13" i="3"/>
  <c r="F13" i="3"/>
  <c r="G13" i="3"/>
  <c r="H13" i="3"/>
  <c r="J13" i="3"/>
  <c r="K13" i="3"/>
  <c r="D14" i="3"/>
  <c r="E14" i="3"/>
  <c r="F14" i="3"/>
  <c r="G14" i="3"/>
  <c r="H14" i="3"/>
  <c r="J14" i="3"/>
  <c r="K14" i="3"/>
  <c r="D15" i="3"/>
  <c r="E15" i="3"/>
  <c r="F15" i="3"/>
  <c r="G15" i="3"/>
  <c r="H15" i="3"/>
  <c r="J15" i="3"/>
  <c r="K15" i="3"/>
  <c r="D16" i="3"/>
  <c r="E16" i="3"/>
  <c r="F16" i="3"/>
  <c r="G16" i="3"/>
  <c r="H16" i="3"/>
  <c r="J16" i="3"/>
  <c r="K16" i="3"/>
  <c r="D17" i="3"/>
  <c r="E17" i="3"/>
  <c r="F17" i="3"/>
  <c r="G17" i="3"/>
  <c r="H17" i="3"/>
  <c r="J17" i="3"/>
  <c r="K17" i="3"/>
  <c r="D18" i="3"/>
  <c r="E18" i="3"/>
  <c r="F18" i="3"/>
  <c r="G18" i="3"/>
  <c r="H18" i="3"/>
  <c r="J18" i="3"/>
  <c r="K18" i="3"/>
  <c r="D19" i="3"/>
  <c r="E19" i="3"/>
  <c r="F19" i="3"/>
  <c r="G19" i="3"/>
  <c r="H19" i="3"/>
  <c r="J19" i="3"/>
  <c r="K19" i="3"/>
  <c r="D20" i="3"/>
  <c r="E20" i="3"/>
  <c r="F20" i="3"/>
  <c r="G20" i="3"/>
  <c r="H20" i="3"/>
  <c r="J20" i="3"/>
  <c r="K20" i="3"/>
  <c r="D21" i="3"/>
  <c r="E21" i="3"/>
  <c r="F21" i="3"/>
  <c r="G21" i="3"/>
  <c r="H21" i="3"/>
  <c r="J21" i="3"/>
  <c r="K21" i="3"/>
  <c r="D22" i="3"/>
  <c r="E22" i="3"/>
  <c r="F22" i="3"/>
  <c r="G22" i="3"/>
  <c r="H22" i="3"/>
  <c r="J22" i="3"/>
  <c r="K22" i="3"/>
  <c r="D23" i="3"/>
  <c r="E23" i="3"/>
  <c r="F23" i="3"/>
  <c r="G23" i="3"/>
  <c r="H23" i="3"/>
  <c r="J23" i="3"/>
  <c r="K23" i="3"/>
  <c r="D24" i="3"/>
  <c r="E24" i="3"/>
  <c r="F24" i="3"/>
  <c r="G24" i="3"/>
  <c r="H24" i="3"/>
  <c r="J24" i="3"/>
  <c r="K24" i="3"/>
  <c r="D25" i="3"/>
  <c r="E25" i="3"/>
  <c r="F25" i="3"/>
  <c r="G25" i="3"/>
  <c r="H25" i="3"/>
  <c r="J25" i="3"/>
  <c r="K25" i="3"/>
  <c r="D26" i="3"/>
  <c r="E26" i="3"/>
  <c r="F26" i="3"/>
  <c r="G26" i="3"/>
  <c r="H26" i="3"/>
  <c r="J26" i="3"/>
  <c r="K26" i="3"/>
  <c r="D27" i="3"/>
  <c r="E27" i="3"/>
  <c r="F27" i="3"/>
  <c r="G27" i="3"/>
  <c r="H27" i="3"/>
  <c r="J27" i="3"/>
  <c r="K27" i="3"/>
  <c r="D28" i="3"/>
  <c r="E28" i="3"/>
  <c r="F28" i="3"/>
  <c r="G28" i="3"/>
  <c r="H28" i="3"/>
  <c r="J28" i="3"/>
  <c r="K28" i="3"/>
  <c r="D29" i="3"/>
  <c r="E29" i="3"/>
  <c r="F29" i="3"/>
  <c r="G29" i="3"/>
  <c r="H29" i="3"/>
  <c r="J29" i="3"/>
  <c r="K29" i="3"/>
  <c r="D30" i="3"/>
  <c r="E30" i="3"/>
  <c r="F30" i="3"/>
  <c r="G30" i="3"/>
  <c r="H30" i="3"/>
  <c r="J30" i="3"/>
  <c r="K30" i="3"/>
  <c r="D31" i="3"/>
  <c r="E31" i="3"/>
  <c r="F31" i="3"/>
  <c r="G31" i="3"/>
  <c r="H31" i="3"/>
  <c r="J31" i="3"/>
  <c r="K31" i="3"/>
  <c r="D32" i="3"/>
  <c r="E32" i="3"/>
  <c r="F32" i="3"/>
  <c r="G32" i="3"/>
  <c r="H32" i="3"/>
  <c r="J32" i="3"/>
  <c r="K32" i="3"/>
  <c r="D33" i="3"/>
  <c r="E33" i="3"/>
  <c r="F33" i="3"/>
  <c r="G33" i="3"/>
  <c r="H33" i="3"/>
  <c r="J33" i="3"/>
  <c r="K33" i="3"/>
  <c r="D34" i="3"/>
  <c r="E34" i="3"/>
  <c r="F34" i="3"/>
  <c r="G34" i="3"/>
  <c r="H34" i="3"/>
  <c r="J34" i="3"/>
  <c r="K34" i="3"/>
  <c r="D35" i="3"/>
  <c r="E35" i="3"/>
  <c r="F35" i="3"/>
  <c r="G35" i="3"/>
  <c r="H35" i="3"/>
  <c r="J35" i="3"/>
  <c r="K35" i="3"/>
  <c r="D36" i="3"/>
  <c r="E36" i="3"/>
  <c r="F36" i="3"/>
  <c r="G36" i="3"/>
  <c r="H36" i="3"/>
  <c r="J36" i="3"/>
  <c r="K36" i="3"/>
  <c r="D37" i="3"/>
  <c r="E37" i="3"/>
  <c r="F37" i="3"/>
  <c r="G37" i="3"/>
  <c r="H37" i="3"/>
  <c r="J37" i="3"/>
  <c r="K37" i="3"/>
  <c r="D38" i="3"/>
  <c r="E38" i="3"/>
  <c r="F38" i="3"/>
  <c r="G38" i="3"/>
  <c r="H38" i="3"/>
  <c r="J38" i="3"/>
  <c r="K38" i="3"/>
  <c r="D39" i="3"/>
  <c r="E39" i="3"/>
  <c r="F39" i="3"/>
  <c r="G39" i="3"/>
  <c r="H39" i="3"/>
  <c r="J39" i="3"/>
  <c r="K39" i="3"/>
  <c r="D40" i="3"/>
  <c r="E40" i="3"/>
  <c r="F40" i="3"/>
  <c r="G40" i="3"/>
  <c r="H40" i="3"/>
  <c r="J40" i="3"/>
  <c r="K40" i="3"/>
  <c r="D41" i="3"/>
  <c r="E41" i="3"/>
  <c r="F41" i="3"/>
  <c r="G41" i="3"/>
  <c r="H41" i="3"/>
  <c r="J41" i="3"/>
  <c r="K41" i="3"/>
  <c r="D42" i="3"/>
  <c r="E42" i="3"/>
  <c r="F42" i="3"/>
  <c r="G42" i="3"/>
  <c r="H42" i="3"/>
  <c r="J42" i="3"/>
  <c r="K42" i="3"/>
  <c r="D43" i="3"/>
  <c r="E43" i="3"/>
  <c r="F43" i="3"/>
  <c r="G43" i="3"/>
  <c r="H43" i="3"/>
  <c r="J43" i="3"/>
  <c r="K43" i="3"/>
  <c r="D44" i="3"/>
  <c r="E44" i="3"/>
  <c r="F44" i="3"/>
  <c r="G44" i="3"/>
  <c r="H44" i="3"/>
  <c r="J44" i="3"/>
  <c r="K44" i="3"/>
  <c r="D45" i="3"/>
  <c r="E45" i="3"/>
  <c r="F45" i="3"/>
  <c r="G45" i="3"/>
  <c r="H45" i="3"/>
  <c r="J45" i="3"/>
  <c r="K45" i="3"/>
  <c r="D46" i="3"/>
  <c r="E46" i="3"/>
  <c r="F46" i="3"/>
  <c r="G46" i="3"/>
  <c r="H46" i="3"/>
  <c r="J46" i="3"/>
  <c r="K46" i="3"/>
  <c r="D47" i="3"/>
  <c r="E47" i="3"/>
  <c r="F47" i="3"/>
  <c r="G47" i="3"/>
  <c r="H47" i="3"/>
  <c r="J47" i="3"/>
  <c r="K47" i="3"/>
  <c r="D48" i="3"/>
  <c r="E48" i="3"/>
  <c r="F48" i="3"/>
  <c r="G48" i="3"/>
  <c r="H48" i="3"/>
  <c r="J48" i="3"/>
  <c r="K48" i="3"/>
  <c r="D49" i="3"/>
  <c r="E49" i="3"/>
  <c r="F49" i="3"/>
  <c r="G49" i="3"/>
  <c r="H49" i="3"/>
  <c r="J49" i="3"/>
  <c r="K49" i="3"/>
  <c r="D50" i="3"/>
  <c r="E50" i="3"/>
  <c r="F50" i="3"/>
  <c r="G50" i="3"/>
  <c r="H50" i="3"/>
  <c r="J50" i="3"/>
  <c r="K50" i="3"/>
  <c r="D51" i="3"/>
  <c r="E51" i="3"/>
  <c r="F51" i="3"/>
  <c r="G51" i="3"/>
  <c r="H51" i="3"/>
  <c r="J51" i="3"/>
  <c r="K51" i="3"/>
  <c r="D52" i="3"/>
  <c r="E52" i="3"/>
  <c r="F52" i="3"/>
  <c r="G52" i="3"/>
  <c r="H52" i="3"/>
  <c r="J52" i="3"/>
  <c r="K52" i="3"/>
  <c r="D53" i="3"/>
  <c r="E53" i="3"/>
  <c r="F53" i="3"/>
  <c r="G53" i="3"/>
  <c r="H53" i="3"/>
  <c r="J53" i="3"/>
  <c r="K53" i="3"/>
  <c r="D54" i="3"/>
  <c r="E54" i="3"/>
  <c r="F54" i="3"/>
  <c r="G54" i="3"/>
  <c r="H54" i="3"/>
  <c r="J54" i="3"/>
  <c r="K54" i="3"/>
  <c r="D55" i="3"/>
  <c r="E55" i="3"/>
  <c r="F55" i="3"/>
  <c r="G55" i="3"/>
  <c r="H55" i="3"/>
  <c r="J55" i="3"/>
  <c r="K55" i="3"/>
  <c r="D56" i="3"/>
  <c r="E56" i="3"/>
  <c r="F56" i="3"/>
  <c r="G56" i="3"/>
  <c r="H56" i="3"/>
  <c r="J56" i="3"/>
  <c r="K56" i="3"/>
  <c r="D57" i="3"/>
  <c r="E57" i="3"/>
  <c r="F57" i="3"/>
  <c r="G57" i="3"/>
  <c r="H57" i="3"/>
  <c r="J57" i="3"/>
  <c r="K57" i="3"/>
  <c r="D58" i="3"/>
  <c r="E58" i="3"/>
  <c r="F58" i="3"/>
  <c r="G58" i="3"/>
  <c r="H58" i="3"/>
  <c r="J58" i="3"/>
  <c r="K58" i="3"/>
  <c r="D59" i="3"/>
  <c r="E59" i="3"/>
  <c r="F59" i="3"/>
  <c r="G59" i="3"/>
  <c r="H59" i="3"/>
  <c r="J59" i="3"/>
  <c r="K59" i="3"/>
  <c r="D60" i="3"/>
  <c r="E60" i="3"/>
  <c r="F60" i="3"/>
  <c r="G60" i="3"/>
  <c r="H60" i="3"/>
  <c r="J60" i="3"/>
  <c r="K60" i="3"/>
  <c r="D61" i="3"/>
  <c r="E61" i="3"/>
  <c r="F61" i="3"/>
  <c r="G61" i="3"/>
  <c r="H61" i="3"/>
  <c r="J61" i="3"/>
  <c r="K61" i="3"/>
  <c r="D62" i="3"/>
  <c r="E62" i="3"/>
  <c r="F62" i="3"/>
  <c r="G62" i="3"/>
  <c r="H62" i="3"/>
  <c r="J62" i="3"/>
  <c r="K62" i="3"/>
  <c r="D63" i="3"/>
  <c r="E63" i="3"/>
  <c r="F63" i="3"/>
  <c r="G63" i="3"/>
  <c r="H63" i="3"/>
  <c r="J63" i="3"/>
  <c r="K63" i="3"/>
  <c r="D64" i="3"/>
  <c r="E64" i="3"/>
  <c r="F64" i="3"/>
  <c r="G64" i="3"/>
  <c r="H64" i="3"/>
  <c r="J64" i="3"/>
  <c r="K64" i="3"/>
  <c r="D65" i="3"/>
  <c r="E65" i="3"/>
  <c r="F65" i="3"/>
  <c r="G65" i="3"/>
  <c r="H65" i="3"/>
  <c r="J65" i="3"/>
  <c r="K65" i="3"/>
  <c r="D66" i="3"/>
  <c r="E66" i="3"/>
  <c r="F66" i="3"/>
  <c r="G66" i="3"/>
  <c r="H66" i="3"/>
  <c r="J66" i="3"/>
  <c r="K66" i="3"/>
  <c r="D67" i="3"/>
  <c r="E67" i="3"/>
  <c r="F67" i="3"/>
  <c r="G67" i="3"/>
  <c r="H67" i="3"/>
  <c r="J67" i="3"/>
  <c r="K67" i="3"/>
  <c r="D68" i="3"/>
  <c r="E68" i="3"/>
  <c r="F68" i="3"/>
  <c r="G68" i="3"/>
  <c r="H68" i="3"/>
  <c r="J68" i="3"/>
  <c r="K68" i="3"/>
  <c r="D69" i="3"/>
  <c r="E69" i="3"/>
  <c r="F69" i="3"/>
  <c r="G69" i="3"/>
  <c r="H69" i="3"/>
  <c r="J69" i="3"/>
  <c r="K69" i="3"/>
  <c r="D70" i="3"/>
  <c r="E70" i="3"/>
  <c r="F70" i="3"/>
  <c r="G70" i="3"/>
  <c r="H70" i="3"/>
  <c r="J70" i="3"/>
  <c r="K70" i="3"/>
  <c r="D71" i="3"/>
  <c r="E71" i="3"/>
  <c r="F71" i="3"/>
  <c r="G71" i="3"/>
  <c r="H71" i="3"/>
  <c r="J71" i="3"/>
  <c r="K71" i="3"/>
  <c r="D72" i="3"/>
  <c r="E72" i="3"/>
  <c r="F72" i="3"/>
  <c r="G72" i="3"/>
  <c r="H72" i="3"/>
  <c r="J72" i="3"/>
  <c r="K72" i="3"/>
  <c r="D73" i="3"/>
  <c r="E73" i="3"/>
  <c r="F73" i="3"/>
  <c r="G73" i="3"/>
  <c r="H73" i="3"/>
  <c r="J73" i="3"/>
  <c r="K73" i="3"/>
  <c r="D74" i="3"/>
  <c r="E74" i="3"/>
  <c r="F74" i="3"/>
  <c r="G74" i="3"/>
  <c r="H74" i="3"/>
  <c r="J74" i="3"/>
  <c r="K74" i="3"/>
  <c r="D75" i="3"/>
  <c r="E75" i="3"/>
  <c r="F75" i="3"/>
  <c r="G75" i="3"/>
  <c r="H75" i="3"/>
  <c r="J75" i="3"/>
  <c r="K75" i="3"/>
  <c r="D76" i="3"/>
  <c r="E76" i="3"/>
  <c r="F76" i="3"/>
  <c r="G76" i="3"/>
  <c r="H76" i="3"/>
  <c r="J76" i="3"/>
  <c r="K76" i="3"/>
  <c r="D77" i="3"/>
  <c r="E77" i="3"/>
  <c r="F77" i="3"/>
  <c r="G77" i="3"/>
  <c r="H77" i="3"/>
  <c r="J77" i="3"/>
  <c r="K77" i="3"/>
  <c r="D78" i="3"/>
  <c r="E78" i="3"/>
  <c r="F78" i="3"/>
  <c r="G78" i="3"/>
  <c r="H78" i="3"/>
  <c r="J78" i="3"/>
  <c r="K78" i="3"/>
  <c r="D79" i="3"/>
  <c r="E79" i="3"/>
  <c r="F79" i="3"/>
  <c r="G79" i="3"/>
  <c r="H79" i="3"/>
  <c r="J79" i="3"/>
  <c r="K79" i="3"/>
  <c r="D80" i="3"/>
  <c r="E80" i="3"/>
  <c r="F80" i="3"/>
  <c r="G80" i="3"/>
  <c r="H80" i="3"/>
  <c r="J80" i="3"/>
  <c r="K80" i="3"/>
  <c r="D81" i="3"/>
  <c r="E81" i="3"/>
  <c r="F81" i="3"/>
  <c r="G81" i="3"/>
  <c r="H81" i="3"/>
  <c r="J81" i="3"/>
  <c r="K81" i="3"/>
  <c r="D82" i="3"/>
  <c r="E82" i="3"/>
  <c r="F82" i="3"/>
  <c r="G82" i="3"/>
  <c r="H82" i="3"/>
  <c r="J82" i="3"/>
  <c r="K82" i="3"/>
  <c r="D83" i="3"/>
  <c r="E83" i="3"/>
  <c r="F83" i="3"/>
  <c r="G83" i="3"/>
  <c r="H83" i="3"/>
  <c r="J83" i="3"/>
  <c r="K83" i="3"/>
  <c r="D84" i="3"/>
  <c r="E84" i="3"/>
  <c r="F84" i="3"/>
  <c r="G84" i="3"/>
  <c r="H84" i="3"/>
  <c r="J84" i="3"/>
  <c r="K84" i="3"/>
  <c r="D85" i="3"/>
  <c r="E85" i="3"/>
  <c r="F85" i="3"/>
  <c r="G85" i="3"/>
  <c r="H85" i="3"/>
  <c r="J85" i="3"/>
  <c r="K85" i="3"/>
  <c r="D86" i="3"/>
  <c r="E86" i="3"/>
  <c r="F86" i="3"/>
  <c r="G86" i="3"/>
  <c r="H86" i="3"/>
  <c r="J86" i="3"/>
  <c r="K86" i="3"/>
  <c r="D87" i="3"/>
  <c r="E87" i="3"/>
  <c r="F87" i="3"/>
  <c r="G87" i="3"/>
  <c r="H87" i="3"/>
  <c r="J87" i="3"/>
  <c r="K87" i="3"/>
  <c r="D88" i="3"/>
  <c r="E88" i="3"/>
  <c r="F88" i="3"/>
  <c r="G88" i="3"/>
  <c r="H88" i="3"/>
  <c r="J88" i="3"/>
  <c r="K88" i="3"/>
  <c r="D89" i="3"/>
  <c r="E89" i="3"/>
  <c r="F89" i="3"/>
  <c r="G89" i="3"/>
  <c r="H89" i="3"/>
  <c r="J89" i="3"/>
  <c r="K89" i="3"/>
  <c r="D90" i="3"/>
  <c r="E90" i="3"/>
  <c r="F90" i="3"/>
  <c r="G90" i="3"/>
  <c r="H90" i="3"/>
  <c r="J90" i="3"/>
  <c r="K90" i="3"/>
  <c r="D91" i="3"/>
  <c r="E91" i="3"/>
  <c r="F91" i="3"/>
  <c r="G91" i="3"/>
  <c r="H91" i="3"/>
  <c r="J91" i="3"/>
  <c r="K91" i="3"/>
  <c r="D92" i="3"/>
  <c r="E92" i="3"/>
  <c r="F92" i="3"/>
  <c r="G92" i="3"/>
  <c r="H92" i="3"/>
  <c r="J92" i="3"/>
  <c r="K92" i="3"/>
  <c r="D93" i="3"/>
  <c r="E93" i="3"/>
  <c r="F93" i="3"/>
  <c r="G93" i="3"/>
  <c r="H93" i="3"/>
  <c r="J93" i="3"/>
  <c r="K93" i="3"/>
  <c r="D94" i="3"/>
  <c r="E94" i="3"/>
  <c r="F94" i="3"/>
  <c r="G94" i="3"/>
  <c r="H94" i="3"/>
  <c r="J94" i="3"/>
  <c r="K94" i="3"/>
  <c r="D95" i="3"/>
  <c r="E95" i="3"/>
  <c r="F95" i="3"/>
  <c r="G95" i="3"/>
  <c r="H95" i="3"/>
  <c r="J95" i="3"/>
  <c r="K95" i="3"/>
  <c r="D96" i="3"/>
  <c r="E96" i="3"/>
  <c r="F96" i="3"/>
  <c r="G96" i="3"/>
  <c r="H96" i="3"/>
  <c r="J96" i="3"/>
  <c r="K96" i="3"/>
  <c r="D97" i="3"/>
  <c r="E97" i="3"/>
  <c r="F97" i="3"/>
  <c r="G97" i="3"/>
  <c r="H97" i="3"/>
  <c r="J97" i="3"/>
  <c r="K97" i="3"/>
  <c r="D98" i="3"/>
  <c r="E98" i="3"/>
  <c r="F98" i="3"/>
  <c r="G98" i="3"/>
  <c r="H98" i="3"/>
  <c r="J98" i="3"/>
  <c r="K98" i="3"/>
  <c r="D99" i="3"/>
  <c r="E99" i="3"/>
  <c r="F99" i="3"/>
  <c r="G99" i="3"/>
  <c r="H99" i="3"/>
  <c r="J99" i="3"/>
  <c r="K99" i="3"/>
  <c r="D100" i="3"/>
  <c r="E100" i="3"/>
  <c r="F100" i="3"/>
  <c r="G100" i="3"/>
  <c r="H100" i="3"/>
  <c r="J100" i="3"/>
  <c r="K100" i="3"/>
  <c r="D101" i="3"/>
  <c r="E101" i="3"/>
  <c r="F101" i="3"/>
  <c r="G101" i="3"/>
  <c r="H101" i="3"/>
  <c r="J101" i="3"/>
  <c r="K101" i="3"/>
  <c r="D102" i="3"/>
  <c r="E102" i="3"/>
  <c r="F102" i="3"/>
  <c r="G102" i="3"/>
  <c r="H102" i="3"/>
  <c r="J102" i="3"/>
  <c r="K102" i="3"/>
  <c r="D103" i="3"/>
  <c r="E103" i="3"/>
  <c r="F103" i="3"/>
  <c r="G103" i="3"/>
  <c r="H103" i="3"/>
  <c r="J103" i="3"/>
  <c r="K103" i="3"/>
  <c r="D104" i="3"/>
  <c r="E104" i="3"/>
  <c r="F104" i="3"/>
  <c r="G104" i="3"/>
  <c r="H104" i="3"/>
  <c r="J104" i="3"/>
  <c r="K104" i="3"/>
  <c r="D105" i="3"/>
  <c r="E105" i="3"/>
  <c r="F105" i="3"/>
  <c r="G105" i="3"/>
  <c r="H105" i="3"/>
  <c r="J105" i="3"/>
  <c r="K105" i="3"/>
  <c r="D106" i="3"/>
  <c r="E106" i="3"/>
  <c r="F106" i="3"/>
  <c r="G106" i="3"/>
  <c r="H106" i="3"/>
  <c r="J106" i="3"/>
  <c r="K106" i="3"/>
  <c r="D107" i="3"/>
  <c r="E107" i="3"/>
  <c r="F107" i="3"/>
  <c r="G107" i="3"/>
  <c r="H107" i="3"/>
  <c r="J107" i="3"/>
  <c r="K107" i="3"/>
  <c r="D108" i="3"/>
  <c r="E108" i="3"/>
  <c r="F108" i="3"/>
  <c r="G108" i="3"/>
  <c r="H108" i="3"/>
  <c r="J108" i="3"/>
  <c r="K108" i="3"/>
  <c r="D109" i="3"/>
  <c r="E109" i="3"/>
  <c r="F109" i="3"/>
  <c r="G109" i="3"/>
  <c r="H109" i="3"/>
  <c r="J109" i="3"/>
  <c r="K109" i="3"/>
  <c r="D110" i="3"/>
  <c r="E110" i="3"/>
  <c r="F110" i="3"/>
  <c r="G110" i="3"/>
  <c r="H110" i="3"/>
  <c r="J110" i="3"/>
  <c r="K110" i="3"/>
  <c r="D111" i="3"/>
  <c r="E111" i="3"/>
  <c r="F111" i="3"/>
  <c r="G111" i="3"/>
  <c r="H111" i="3"/>
  <c r="J111" i="3"/>
  <c r="K111" i="3"/>
  <c r="D112" i="3"/>
  <c r="E112" i="3"/>
  <c r="F112" i="3"/>
  <c r="G112" i="3"/>
  <c r="H112" i="3"/>
  <c r="J112" i="3"/>
  <c r="K112" i="3"/>
  <c r="D113" i="3"/>
  <c r="E113" i="3"/>
  <c r="F113" i="3"/>
  <c r="G113" i="3"/>
  <c r="H113" i="3"/>
  <c r="J113" i="3"/>
  <c r="K113" i="3"/>
  <c r="D114" i="3"/>
  <c r="E114" i="3"/>
  <c r="F114" i="3"/>
  <c r="G114" i="3"/>
  <c r="H114" i="3"/>
  <c r="J114" i="3"/>
  <c r="K114" i="3"/>
  <c r="D115" i="3"/>
  <c r="E115" i="3"/>
  <c r="F115" i="3"/>
  <c r="G115" i="3"/>
  <c r="H115" i="3"/>
  <c r="J115" i="3"/>
  <c r="K115" i="3"/>
  <c r="D116" i="3"/>
  <c r="E116" i="3"/>
  <c r="F116" i="3"/>
  <c r="G116" i="3"/>
  <c r="H116" i="3"/>
  <c r="J116" i="3"/>
  <c r="K116" i="3"/>
  <c r="D117" i="3"/>
  <c r="E117" i="3"/>
  <c r="F117" i="3"/>
  <c r="G117" i="3"/>
  <c r="H117" i="3"/>
  <c r="J117" i="3"/>
  <c r="K117" i="3"/>
  <c r="D118" i="3"/>
  <c r="E118" i="3"/>
  <c r="F118" i="3"/>
  <c r="G118" i="3"/>
  <c r="H118" i="3"/>
  <c r="J118" i="3"/>
  <c r="K118" i="3"/>
  <c r="D119" i="3"/>
  <c r="E119" i="3"/>
  <c r="F119" i="3"/>
  <c r="G119" i="3"/>
  <c r="H119" i="3"/>
  <c r="J119" i="3"/>
  <c r="K119" i="3"/>
  <c r="D120" i="3"/>
  <c r="E120" i="3"/>
  <c r="F120" i="3"/>
  <c r="G120" i="3"/>
  <c r="H120" i="3"/>
  <c r="J120" i="3"/>
  <c r="K120" i="3"/>
  <c r="D121" i="3"/>
  <c r="E121" i="3"/>
  <c r="F121" i="3"/>
  <c r="G121" i="3"/>
  <c r="H121" i="3"/>
  <c r="J121" i="3"/>
  <c r="K121" i="3"/>
  <c r="D122" i="3"/>
  <c r="E122" i="3"/>
  <c r="F122" i="3"/>
  <c r="G122" i="3"/>
  <c r="H122" i="3"/>
  <c r="J122" i="3"/>
  <c r="K122" i="3"/>
  <c r="D123" i="3"/>
  <c r="E123" i="3"/>
  <c r="F123" i="3"/>
  <c r="G123" i="3"/>
  <c r="H123" i="3"/>
  <c r="J123" i="3"/>
  <c r="K123" i="3"/>
  <c r="D124" i="3"/>
  <c r="E124" i="3"/>
  <c r="F124" i="3"/>
  <c r="G124" i="3"/>
  <c r="H124" i="3"/>
  <c r="J124" i="3"/>
  <c r="K124" i="3"/>
  <c r="D125" i="3"/>
  <c r="E125" i="3"/>
  <c r="F125" i="3"/>
  <c r="G125" i="3"/>
  <c r="H125" i="3"/>
  <c r="J125" i="3"/>
  <c r="K125" i="3"/>
  <c r="D126" i="3"/>
  <c r="E126" i="3"/>
  <c r="F126" i="3"/>
  <c r="G126" i="3"/>
  <c r="H126" i="3"/>
  <c r="J126" i="3"/>
  <c r="K126" i="3"/>
  <c r="D127" i="3"/>
  <c r="E127" i="3"/>
  <c r="F127" i="3"/>
  <c r="G127" i="3"/>
  <c r="H127" i="3"/>
  <c r="J127" i="3"/>
  <c r="K127" i="3"/>
  <c r="D128" i="3"/>
  <c r="E128" i="3"/>
  <c r="F128" i="3"/>
  <c r="G128" i="3"/>
  <c r="H128" i="3"/>
  <c r="J128" i="3"/>
  <c r="K128" i="3"/>
  <c r="D129" i="3"/>
  <c r="E129" i="3"/>
  <c r="F129" i="3"/>
  <c r="G129" i="3"/>
  <c r="H129" i="3"/>
  <c r="J129" i="3"/>
  <c r="K129" i="3"/>
  <c r="D130" i="3"/>
  <c r="E130" i="3"/>
  <c r="F130" i="3"/>
  <c r="G130" i="3"/>
  <c r="H130" i="3"/>
  <c r="J130" i="3"/>
  <c r="K130" i="3"/>
  <c r="D131" i="3"/>
  <c r="E131" i="3"/>
  <c r="F131" i="3"/>
  <c r="G131" i="3"/>
  <c r="H131" i="3"/>
  <c r="J131" i="3"/>
  <c r="K131" i="3"/>
  <c r="D132" i="3"/>
  <c r="E132" i="3"/>
  <c r="F132" i="3"/>
  <c r="G132" i="3"/>
  <c r="H132" i="3"/>
  <c r="J132" i="3"/>
  <c r="K132" i="3"/>
  <c r="D133" i="3"/>
  <c r="E133" i="3"/>
  <c r="F133" i="3"/>
  <c r="G133" i="3"/>
  <c r="H133" i="3"/>
  <c r="J133" i="3"/>
  <c r="K133" i="3"/>
  <c r="D134" i="3"/>
  <c r="E134" i="3"/>
  <c r="F134" i="3"/>
  <c r="G134" i="3"/>
  <c r="H134" i="3"/>
  <c r="J134" i="3"/>
  <c r="K134" i="3"/>
  <c r="D135" i="3"/>
  <c r="E135" i="3"/>
  <c r="F135" i="3"/>
  <c r="G135" i="3"/>
  <c r="H135" i="3"/>
  <c r="J135" i="3"/>
  <c r="K135" i="3"/>
  <c r="D136" i="3"/>
  <c r="E136" i="3"/>
  <c r="F136" i="3"/>
  <c r="G136" i="3"/>
  <c r="H136" i="3"/>
  <c r="J136" i="3"/>
  <c r="K136" i="3"/>
  <c r="D137" i="3"/>
  <c r="E137" i="3"/>
  <c r="F137" i="3"/>
  <c r="G137" i="3"/>
  <c r="H137" i="3"/>
  <c r="J137" i="3"/>
  <c r="K137" i="3"/>
  <c r="D138" i="3"/>
  <c r="E138" i="3"/>
  <c r="F138" i="3"/>
  <c r="G138" i="3"/>
  <c r="H138" i="3"/>
  <c r="J138" i="3"/>
  <c r="K138" i="3"/>
  <c r="D139" i="3"/>
  <c r="E139" i="3"/>
  <c r="F139" i="3"/>
  <c r="G139" i="3"/>
  <c r="H139" i="3"/>
  <c r="J139" i="3"/>
  <c r="K139" i="3"/>
  <c r="D140" i="3"/>
  <c r="E140" i="3"/>
  <c r="F140" i="3"/>
  <c r="G140" i="3"/>
  <c r="H140" i="3"/>
  <c r="J140" i="3"/>
  <c r="K140" i="3"/>
  <c r="D141" i="3"/>
  <c r="E141" i="3"/>
  <c r="F141" i="3"/>
  <c r="G141" i="3"/>
  <c r="H141" i="3"/>
  <c r="J141" i="3"/>
  <c r="K141" i="3"/>
  <c r="D142" i="3"/>
  <c r="E142" i="3"/>
  <c r="F142" i="3"/>
  <c r="G142" i="3"/>
  <c r="H142" i="3"/>
  <c r="J142" i="3"/>
  <c r="K142" i="3"/>
  <c r="D143" i="3"/>
  <c r="E143" i="3"/>
  <c r="F143" i="3"/>
  <c r="G143" i="3"/>
  <c r="H143" i="3"/>
  <c r="J143" i="3"/>
  <c r="K143" i="3"/>
  <c r="D144" i="3"/>
  <c r="E144" i="3"/>
  <c r="F144" i="3"/>
  <c r="G144" i="3"/>
  <c r="H144" i="3"/>
  <c r="J144" i="3"/>
  <c r="K144" i="3"/>
  <c r="D145" i="3"/>
  <c r="E145" i="3"/>
  <c r="F145" i="3"/>
  <c r="G145" i="3"/>
  <c r="H145" i="3"/>
  <c r="J145" i="3"/>
  <c r="K145" i="3"/>
  <c r="D146" i="3"/>
  <c r="E146" i="3"/>
  <c r="F146" i="3"/>
  <c r="G146" i="3"/>
  <c r="H146" i="3"/>
  <c r="J146" i="3"/>
  <c r="K146" i="3"/>
  <c r="D147" i="3"/>
  <c r="E147" i="3"/>
  <c r="F147" i="3"/>
  <c r="G147" i="3"/>
  <c r="H147" i="3"/>
  <c r="J147" i="3"/>
  <c r="K147" i="3"/>
  <c r="D148" i="3"/>
  <c r="E148" i="3"/>
  <c r="F148" i="3"/>
  <c r="G148" i="3"/>
  <c r="H148" i="3"/>
  <c r="J148" i="3"/>
  <c r="K148" i="3"/>
  <c r="D149" i="3"/>
  <c r="E149" i="3"/>
  <c r="F149" i="3"/>
  <c r="G149" i="3"/>
  <c r="H149" i="3"/>
  <c r="J149" i="3"/>
  <c r="K149" i="3"/>
  <c r="D150" i="3"/>
  <c r="E150" i="3"/>
  <c r="F150" i="3"/>
  <c r="G150" i="3"/>
  <c r="H150" i="3"/>
  <c r="J150" i="3"/>
  <c r="K150" i="3"/>
  <c r="D151" i="3"/>
  <c r="E151" i="3"/>
  <c r="F151" i="3"/>
  <c r="G151" i="3"/>
  <c r="H151" i="3"/>
  <c r="J151" i="3"/>
  <c r="K151" i="3"/>
  <c r="D152" i="3"/>
  <c r="E152" i="3"/>
  <c r="F152" i="3"/>
  <c r="G152" i="3"/>
  <c r="H152" i="3"/>
  <c r="J152" i="3"/>
  <c r="K152" i="3"/>
  <c r="D153" i="3"/>
  <c r="E153" i="3"/>
  <c r="F153" i="3"/>
  <c r="G153" i="3"/>
  <c r="H153" i="3"/>
  <c r="J153" i="3"/>
  <c r="K153" i="3"/>
  <c r="D154" i="3"/>
  <c r="E154" i="3"/>
  <c r="F154" i="3"/>
  <c r="G154" i="3"/>
  <c r="H154" i="3"/>
  <c r="J154" i="3"/>
  <c r="K154" i="3"/>
  <c r="D155" i="3"/>
  <c r="E155" i="3"/>
  <c r="F155" i="3"/>
  <c r="G155" i="3"/>
  <c r="H155" i="3"/>
  <c r="J155" i="3"/>
  <c r="K155" i="3"/>
  <c r="D156" i="3"/>
  <c r="E156" i="3"/>
  <c r="F156" i="3"/>
  <c r="G156" i="3"/>
  <c r="H156" i="3"/>
  <c r="J156" i="3"/>
  <c r="K156" i="3"/>
  <c r="D157" i="3"/>
  <c r="E157" i="3"/>
  <c r="F157" i="3"/>
  <c r="G157" i="3"/>
  <c r="H157" i="3"/>
  <c r="J157" i="3"/>
  <c r="K157" i="3"/>
  <c r="D158" i="3"/>
  <c r="E158" i="3"/>
  <c r="F158" i="3"/>
  <c r="G158" i="3"/>
  <c r="H158" i="3"/>
  <c r="J158" i="3"/>
  <c r="K158" i="3"/>
  <c r="D159" i="3"/>
  <c r="E159" i="3"/>
  <c r="F159" i="3"/>
  <c r="G159" i="3"/>
  <c r="H159" i="3"/>
  <c r="J159" i="3"/>
  <c r="K159" i="3"/>
  <c r="D160" i="3"/>
  <c r="E160" i="3"/>
  <c r="F160" i="3"/>
  <c r="G160" i="3"/>
  <c r="H160" i="3"/>
  <c r="J160" i="3"/>
  <c r="K160" i="3"/>
  <c r="D161" i="3"/>
  <c r="E161" i="3"/>
  <c r="F161" i="3"/>
  <c r="G161" i="3"/>
  <c r="H161" i="3"/>
  <c r="J161" i="3"/>
  <c r="K161" i="3"/>
  <c r="D162" i="3"/>
  <c r="E162" i="3"/>
  <c r="F162" i="3"/>
  <c r="G162" i="3"/>
  <c r="H162" i="3"/>
  <c r="J162" i="3"/>
  <c r="K162" i="3"/>
  <c r="D163" i="3"/>
  <c r="E163" i="3"/>
  <c r="F163" i="3"/>
  <c r="G163" i="3"/>
  <c r="H163" i="3"/>
  <c r="J163" i="3"/>
  <c r="K163" i="3"/>
  <c r="D164" i="3"/>
  <c r="E164" i="3"/>
  <c r="F164" i="3"/>
  <c r="G164" i="3"/>
  <c r="H164" i="3"/>
  <c r="J164" i="3"/>
  <c r="K164" i="3"/>
  <c r="D165" i="3"/>
  <c r="E165" i="3"/>
  <c r="F165" i="3"/>
  <c r="G165" i="3"/>
  <c r="H165" i="3"/>
  <c r="J165" i="3"/>
  <c r="K165" i="3"/>
  <c r="D166" i="3"/>
  <c r="E166" i="3"/>
  <c r="F166" i="3"/>
  <c r="G166" i="3"/>
  <c r="H166" i="3"/>
  <c r="J166" i="3"/>
  <c r="K166" i="3"/>
  <c r="D167" i="3"/>
  <c r="E167" i="3"/>
  <c r="F167" i="3"/>
  <c r="G167" i="3"/>
  <c r="H167" i="3"/>
  <c r="J167" i="3"/>
  <c r="K167" i="3"/>
  <c r="D168" i="3"/>
  <c r="E168" i="3"/>
  <c r="F168" i="3"/>
  <c r="G168" i="3"/>
  <c r="H168" i="3"/>
  <c r="J168" i="3"/>
  <c r="K168" i="3"/>
  <c r="D169" i="3"/>
  <c r="E169" i="3"/>
  <c r="F169" i="3"/>
  <c r="G169" i="3"/>
  <c r="H169" i="3"/>
  <c r="J169" i="3"/>
  <c r="K169" i="3"/>
  <c r="D170" i="3"/>
  <c r="E170" i="3"/>
  <c r="F170" i="3"/>
  <c r="G170" i="3"/>
  <c r="H170" i="3"/>
  <c r="J170" i="3"/>
  <c r="K170" i="3"/>
  <c r="D171" i="3"/>
  <c r="E171" i="3"/>
  <c r="F171" i="3"/>
  <c r="G171" i="3"/>
  <c r="H171" i="3"/>
  <c r="J171" i="3"/>
  <c r="K171" i="3"/>
  <c r="D172" i="3"/>
  <c r="E172" i="3"/>
  <c r="F172" i="3"/>
  <c r="G172" i="3"/>
  <c r="H172" i="3"/>
  <c r="J172" i="3"/>
  <c r="K172" i="3"/>
  <c r="D173" i="3"/>
  <c r="E173" i="3"/>
  <c r="F173" i="3"/>
  <c r="G173" i="3"/>
  <c r="H173" i="3"/>
  <c r="J173" i="3"/>
  <c r="K173" i="3"/>
  <c r="D174" i="3"/>
  <c r="E174" i="3"/>
  <c r="F174" i="3"/>
  <c r="G174" i="3"/>
  <c r="H174" i="3"/>
  <c r="J174" i="3"/>
  <c r="K174" i="3"/>
  <c r="D175" i="3"/>
  <c r="E175" i="3"/>
  <c r="F175" i="3"/>
  <c r="G175" i="3"/>
  <c r="H175" i="3"/>
  <c r="J175" i="3"/>
  <c r="K175" i="3"/>
  <c r="D176" i="3"/>
  <c r="E176" i="3"/>
  <c r="F176" i="3"/>
  <c r="G176" i="3"/>
  <c r="H176" i="3"/>
  <c r="J176" i="3"/>
  <c r="K176" i="3"/>
  <c r="D177" i="3"/>
  <c r="E177" i="3"/>
  <c r="F177" i="3"/>
  <c r="G177" i="3"/>
  <c r="H177" i="3"/>
  <c r="J177" i="3"/>
  <c r="K177" i="3"/>
  <c r="D178" i="3"/>
  <c r="E178" i="3"/>
  <c r="F178" i="3"/>
  <c r="G178" i="3"/>
  <c r="H178" i="3"/>
  <c r="J178" i="3"/>
  <c r="K178" i="3"/>
  <c r="D179" i="3"/>
  <c r="E179" i="3"/>
  <c r="F179" i="3"/>
  <c r="G179" i="3"/>
  <c r="H179" i="3"/>
  <c r="J179" i="3"/>
  <c r="K179" i="3"/>
  <c r="D180" i="3"/>
  <c r="E180" i="3"/>
  <c r="F180" i="3"/>
  <c r="G180" i="3"/>
  <c r="H180" i="3"/>
  <c r="J180" i="3"/>
  <c r="K180" i="3"/>
  <c r="D181" i="3"/>
  <c r="E181" i="3"/>
  <c r="F181" i="3"/>
  <c r="G181" i="3"/>
  <c r="H181" i="3"/>
  <c r="J181" i="3"/>
  <c r="K181" i="3"/>
  <c r="D182" i="3"/>
  <c r="E182" i="3"/>
  <c r="F182" i="3"/>
  <c r="G182" i="3"/>
  <c r="H182" i="3"/>
  <c r="J182" i="3"/>
  <c r="K182" i="3"/>
  <c r="D183" i="3"/>
  <c r="E183" i="3"/>
  <c r="F183" i="3"/>
  <c r="G183" i="3"/>
  <c r="H183" i="3"/>
  <c r="J183" i="3"/>
  <c r="K183" i="3"/>
  <c r="D184" i="3"/>
  <c r="E184" i="3"/>
  <c r="F184" i="3"/>
  <c r="G184" i="3"/>
  <c r="H184" i="3"/>
  <c r="J184" i="3"/>
  <c r="K184" i="3"/>
  <c r="D185" i="3"/>
  <c r="E185" i="3"/>
  <c r="F185" i="3"/>
  <c r="G185" i="3"/>
  <c r="H185" i="3"/>
  <c r="J185" i="3"/>
  <c r="K185" i="3"/>
  <c r="D186" i="3"/>
  <c r="E186" i="3"/>
  <c r="F186" i="3"/>
  <c r="G186" i="3"/>
  <c r="H186" i="3"/>
  <c r="J186" i="3"/>
  <c r="K186" i="3"/>
  <c r="D187" i="3"/>
  <c r="E187" i="3"/>
  <c r="F187" i="3"/>
  <c r="G187" i="3"/>
  <c r="H187" i="3"/>
  <c r="J187" i="3"/>
  <c r="K187" i="3"/>
  <c r="D188" i="3"/>
  <c r="E188" i="3"/>
  <c r="F188" i="3"/>
  <c r="G188" i="3"/>
  <c r="H188" i="3"/>
  <c r="J188" i="3"/>
  <c r="K188" i="3"/>
  <c r="D189" i="3"/>
  <c r="E189" i="3"/>
  <c r="F189" i="3"/>
  <c r="G189" i="3"/>
  <c r="H189" i="3"/>
  <c r="J189" i="3"/>
  <c r="K189" i="3"/>
  <c r="D190" i="3"/>
  <c r="E190" i="3"/>
  <c r="F190" i="3"/>
  <c r="G190" i="3"/>
  <c r="H190" i="3"/>
  <c r="J190" i="3"/>
  <c r="K190" i="3"/>
  <c r="D191" i="3"/>
  <c r="E191" i="3"/>
  <c r="F191" i="3"/>
  <c r="G191" i="3"/>
  <c r="H191" i="3"/>
  <c r="J191" i="3"/>
  <c r="K191" i="3"/>
  <c r="D192" i="3"/>
  <c r="E192" i="3"/>
  <c r="F192" i="3"/>
  <c r="G192" i="3"/>
  <c r="H192" i="3"/>
  <c r="J192" i="3"/>
  <c r="K192" i="3"/>
  <c r="D193" i="3"/>
  <c r="E193" i="3"/>
  <c r="F193" i="3"/>
  <c r="G193" i="3"/>
  <c r="H193" i="3"/>
  <c r="J193" i="3"/>
  <c r="K193" i="3"/>
  <c r="D194" i="3"/>
  <c r="E194" i="3"/>
  <c r="F194" i="3"/>
  <c r="G194" i="3"/>
  <c r="H194" i="3"/>
  <c r="J194" i="3"/>
  <c r="K194" i="3"/>
  <c r="D195" i="3"/>
  <c r="E195" i="3"/>
  <c r="F195" i="3"/>
  <c r="G195" i="3"/>
  <c r="H195" i="3"/>
  <c r="J195" i="3"/>
  <c r="K195" i="3"/>
  <c r="D196" i="3"/>
  <c r="E196" i="3"/>
  <c r="F196" i="3"/>
  <c r="G196" i="3"/>
  <c r="H196" i="3"/>
  <c r="J196" i="3"/>
  <c r="K196" i="3"/>
  <c r="D197" i="3"/>
  <c r="E197" i="3"/>
  <c r="F197" i="3"/>
  <c r="G197" i="3"/>
  <c r="H197" i="3"/>
  <c r="J197" i="3"/>
  <c r="K197" i="3"/>
  <c r="D198" i="3"/>
  <c r="E198" i="3"/>
  <c r="F198" i="3"/>
  <c r="G198" i="3"/>
  <c r="H198" i="3"/>
  <c r="J198" i="3"/>
  <c r="K198" i="3"/>
  <c r="D199" i="3"/>
  <c r="E199" i="3"/>
  <c r="F199" i="3"/>
  <c r="G199" i="3"/>
  <c r="H199" i="3"/>
  <c r="J199" i="3"/>
  <c r="K199" i="3"/>
  <c r="D200" i="3"/>
  <c r="E200" i="3"/>
  <c r="F200" i="3"/>
  <c r="G200" i="3"/>
  <c r="H200" i="3"/>
  <c r="J200" i="3"/>
  <c r="K200" i="3"/>
  <c r="D201" i="3"/>
  <c r="E201" i="3"/>
  <c r="F201" i="3"/>
  <c r="G201" i="3"/>
  <c r="H201" i="3"/>
  <c r="J201" i="3"/>
  <c r="K201" i="3"/>
  <c r="D202" i="3"/>
  <c r="E202" i="3"/>
  <c r="F202" i="3"/>
  <c r="G202" i="3"/>
  <c r="H202" i="3"/>
  <c r="J202" i="3"/>
  <c r="K202" i="3"/>
  <c r="D203" i="3"/>
  <c r="E203" i="3"/>
  <c r="F203" i="3"/>
  <c r="G203" i="3"/>
  <c r="H203" i="3"/>
  <c r="J203" i="3"/>
  <c r="K203" i="3"/>
  <c r="D204" i="3"/>
  <c r="E204" i="3"/>
  <c r="F204" i="3"/>
  <c r="G204" i="3"/>
  <c r="H204" i="3"/>
  <c r="J204" i="3"/>
  <c r="K204" i="3"/>
  <c r="D205" i="3"/>
  <c r="E205" i="3"/>
  <c r="F205" i="3"/>
  <c r="G205" i="3"/>
  <c r="H205" i="3"/>
  <c r="J205" i="3"/>
  <c r="K205" i="3"/>
  <c r="D206" i="3"/>
  <c r="E206" i="3"/>
  <c r="F206" i="3"/>
  <c r="G206" i="3"/>
  <c r="H206" i="3"/>
  <c r="J206" i="3"/>
  <c r="K206" i="3"/>
  <c r="D207" i="3"/>
  <c r="E207" i="3"/>
  <c r="F207" i="3"/>
  <c r="G207" i="3"/>
  <c r="H207" i="3"/>
  <c r="J207" i="3"/>
  <c r="K207" i="3"/>
  <c r="D208" i="3"/>
  <c r="E208" i="3"/>
  <c r="F208" i="3"/>
  <c r="G208" i="3"/>
  <c r="H208" i="3"/>
  <c r="J208" i="3"/>
  <c r="K208" i="3"/>
  <c r="D209" i="3"/>
  <c r="E209" i="3"/>
  <c r="F209" i="3"/>
  <c r="G209" i="3"/>
  <c r="H209" i="3"/>
  <c r="J209" i="3"/>
  <c r="K209" i="3"/>
  <c r="D210" i="3"/>
  <c r="E210" i="3"/>
  <c r="F210" i="3"/>
  <c r="G210" i="3"/>
  <c r="H210" i="3"/>
  <c r="J210" i="3"/>
  <c r="K210" i="3"/>
  <c r="D211" i="3"/>
  <c r="E211" i="3"/>
  <c r="F211" i="3"/>
  <c r="G211" i="3"/>
  <c r="H211" i="3"/>
  <c r="J211" i="3"/>
  <c r="K211" i="3"/>
  <c r="D212" i="3"/>
  <c r="E212" i="3"/>
  <c r="F212" i="3"/>
  <c r="G212" i="3"/>
  <c r="H212" i="3"/>
  <c r="J212" i="3"/>
  <c r="K212" i="3"/>
  <c r="D213" i="3"/>
  <c r="E213" i="3"/>
  <c r="F213" i="3"/>
  <c r="G213" i="3"/>
  <c r="H213" i="3"/>
  <c r="J213" i="3"/>
  <c r="K213" i="3"/>
  <c r="D214" i="3"/>
  <c r="E214" i="3"/>
  <c r="F214" i="3"/>
  <c r="G214" i="3"/>
  <c r="H214" i="3"/>
  <c r="J214" i="3"/>
  <c r="K214" i="3"/>
  <c r="D215" i="3"/>
  <c r="E215" i="3"/>
  <c r="F215" i="3"/>
  <c r="G215" i="3"/>
  <c r="H215" i="3"/>
  <c r="J215" i="3"/>
  <c r="K215" i="3"/>
  <c r="D216" i="3"/>
  <c r="E216" i="3"/>
  <c r="F216" i="3"/>
  <c r="G216" i="3"/>
  <c r="H216" i="3"/>
  <c r="J216" i="3"/>
  <c r="K216" i="3"/>
  <c r="D217" i="3"/>
  <c r="E217" i="3"/>
  <c r="F217" i="3"/>
  <c r="G217" i="3"/>
  <c r="H217" i="3"/>
  <c r="J217" i="3"/>
  <c r="K217" i="3"/>
  <c r="D218" i="3"/>
  <c r="E218" i="3"/>
  <c r="F218" i="3"/>
  <c r="G218" i="3"/>
  <c r="H218" i="3"/>
  <c r="J218" i="3"/>
  <c r="K218" i="3"/>
  <c r="D219" i="3"/>
  <c r="E219" i="3"/>
  <c r="F219" i="3"/>
  <c r="G219" i="3"/>
  <c r="H219" i="3"/>
  <c r="J219" i="3"/>
  <c r="K219" i="3"/>
  <c r="D220" i="3"/>
  <c r="E220" i="3"/>
  <c r="F220" i="3"/>
  <c r="G220" i="3"/>
  <c r="H220" i="3"/>
  <c r="J220" i="3"/>
  <c r="K220" i="3"/>
  <c r="D221" i="3"/>
  <c r="E221" i="3"/>
  <c r="F221" i="3"/>
  <c r="G221" i="3"/>
  <c r="H221" i="3"/>
  <c r="J221" i="3"/>
  <c r="K221" i="3"/>
  <c r="D222" i="3"/>
  <c r="E222" i="3"/>
  <c r="F222" i="3"/>
  <c r="G222" i="3"/>
  <c r="H222" i="3"/>
  <c r="J222" i="3"/>
  <c r="K222" i="3"/>
  <c r="D223" i="3"/>
  <c r="E223" i="3"/>
  <c r="F223" i="3"/>
  <c r="G223" i="3"/>
  <c r="H223" i="3"/>
  <c r="J223" i="3"/>
  <c r="K223" i="3"/>
  <c r="D224" i="3"/>
  <c r="E224" i="3"/>
  <c r="F224" i="3"/>
  <c r="G224" i="3"/>
  <c r="H224" i="3"/>
  <c r="J224" i="3"/>
  <c r="K224" i="3"/>
  <c r="D225" i="3"/>
  <c r="E225" i="3"/>
  <c r="F225" i="3"/>
  <c r="G225" i="3"/>
  <c r="H225" i="3"/>
  <c r="J225" i="3"/>
  <c r="K225" i="3"/>
  <c r="D226" i="3"/>
  <c r="E226" i="3"/>
  <c r="F226" i="3"/>
  <c r="G226" i="3"/>
  <c r="H226" i="3"/>
  <c r="J226" i="3"/>
  <c r="K226" i="3"/>
  <c r="D227" i="3"/>
  <c r="E227" i="3"/>
  <c r="F227" i="3"/>
  <c r="G227" i="3"/>
  <c r="H227" i="3"/>
  <c r="J227" i="3"/>
  <c r="K227" i="3"/>
  <c r="D228" i="3"/>
  <c r="E228" i="3"/>
  <c r="F228" i="3"/>
  <c r="G228" i="3"/>
  <c r="H228" i="3"/>
  <c r="J228" i="3"/>
  <c r="K228" i="3"/>
  <c r="D229" i="3"/>
  <c r="E229" i="3"/>
  <c r="F229" i="3"/>
  <c r="G229" i="3"/>
  <c r="H229" i="3"/>
  <c r="J229" i="3"/>
  <c r="K229" i="3"/>
  <c r="D230" i="3"/>
  <c r="E230" i="3"/>
  <c r="F230" i="3"/>
  <c r="G230" i="3"/>
  <c r="H230" i="3"/>
  <c r="J230" i="3"/>
  <c r="K230" i="3"/>
  <c r="D231" i="3"/>
  <c r="E231" i="3"/>
  <c r="F231" i="3"/>
  <c r="G231" i="3"/>
  <c r="H231" i="3"/>
  <c r="J231" i="3"/>
  <c r="K231" i="3"/>
  <c r="D232" i="3"/>
  <c r="E232" i="3"/>
  <c r="F232" i="3"/>
  <c r="G232" i="3"/>
  <c r="H232" i="3"/>
  <c r="J232" i="3"/>
  <c r="K232" i="3"/>
  <c r="D233" i="3"/>
  <c r="E233" i="3"/>
  <c r="F233" i="3"/>
  <c r="G233" i="3"/>
  <c r="H233" i="3"/>
  <c r="J233" i="3"/>
  <c r="K233" i="3"/>
  <c r="D234" i="3"/>
  <c r="E234" i="3"/>
  <c r="F234" i="3"/>
  <c r="G234" i="3"/>
  <c r="H234" i="3"/>
  <c r="J234" i="3"/>
  <c r="K234" i="3"/>
  <c r="D235" i="3"/>
  <c r="E235" i="3"/>
  <c r="F235" i="3"/>
  <c r="G235" i="3"/>
  <c r="H235" i="3"/>
  <c r="J235" i="3"/>
  <c r="K235" i="3"/>
  <c r="D236" i="3"/>
  <c r="E236" i="3"/>
  <c r="F236" i="3"/>
  <c r="G236" i="3"/>
  <c r="H236" i="3"/>
  <c r="J236" i="3"/>
  <c r="K236" i="3"/>
  <c r="D237" i="3"/>
  <c r="E237" i="3"/>
  <c r="F237" i="3"/>
  <c r="G237" i="3"/>
  <c r="H237" i="3"/>
  <c r="J237" i="3"/>
  <c r="K237" i="3"/>
  <c r="D238" i="3"/>
  <c r="E238" i="3"/>
  <c r="F238" i="3"/>
  <c r="G238" i="3"/>
  <c r="H238" i="3"/>
  <c r="J238" i="3"/>
  <c r="K238" i="3"/>
  <c r="D239" i="3"/>
  <c r="E239" i="3"/>
  <c r="F239" i="3"/>
  <c r="G239" i="3"/>
  <c r="H239" i="3"/>
  <c r="J239" i="3"/>
  <c r="K239" i="3"/>
  <c r="D240" i="3"/>
  <c r="E240" i="3"/>
  <c r="F240" i="3"/>
  <c r="G240" i="3"/>
  <c r="H240" i="3"/>
  <c r="J240" i="3"/>
  <c r="K240" i="3"/>
  <c r="D241" i="3"/>
  <c r="E241" i="3"/>
  <c r="F241" i="3"/>
  <c r="G241" i="3"/>
  <c r="H241" i="3"/>
  <c r="J241" i="3"/>
  <c r="K241" i="3"/>
  <c r="D242" i="3"/>
  <c r="E242" i="3"/>
  <c r="F242" i="3"/>
  <c r="G242" i="3"/>
  <c r="H242" i="3"/>
  <c r="J242" i="3"/>
  <c r="K242" i="3"/>
  <c r="D243" i="3"/>
  <c r="E243" i="3"/>
  <c r="F243" i="3"/>
  <c r="G243" i="3"/>
  <c r="H243" i="3"/>
  <c r="J243" i="3"/>
  <c r="K243" i="3"/>
  <c r="D244" i="3"/>
  <c r="E244" i="3"/>
  <c r="F244" i="3"/>
  <c r="G244" i="3"/>
  <c r="H244" i="3"/>
  <c r="J244" i="3"/>
  <c r="K244" i="3"/>
  <c r="D245" i="3"/>
  <c r="E245" i="3"/>
  <c r="F245" i="3"/>
  <c r="G245" i="3"/>
  <c r="H245" i="3"/>
  <c r="J245" i="3"/>
  <c r="K245" i="3"/>
  <c r="D246" i="3"/>
  <c r="E246" i="3"/>
  <c r="F246" i="3"/>
  <c r="G246" i="3"/>
  <c r="H246" i="3"/>
  <c r="J246" i="3"/>
  <c r="K246" i="3"/>
  <c r="D247" i="3"/>
  <c r="E247" i="3"/>
  <c r="F247" i="3"/>
  <c r="G247" i="3"/>
  <c r="H247" i="3"/>
  <c r="J247" i="3"/>
  <c r="K247" i="3"/>
  <c r="D248" i="3"/>
  <c r="E248" i="3"/>
  <c r="F248" i="3"/>
  <c r="G248" i="3"/>
  <c r="H248" i="3"/>
  <c r="J248" i="3"/>
  <c r="K248" i="3"/>
  <c r="D249" i="3"/>
  <c r="E249" i="3"/>
  <c r="F249" i="3"/>
  <c r="G249" i="3"/>
  <c r="H249" i="3"/>
  <c r="J249" i="3"/>
  <c r="K249" i="3"/>
  <c r="D250" i="3"/>
  <c r="E250" i="3"/>
  <c r="F250" i="3"/>
  <c r="G250" i="3"/>
  <c r="H250" i="3"/>
  <c r="J250" i="3"/>
  <c r="K250" i="3"/>
  <c r="D251" i="3"/>
  <c r="E251" i="3"/>
  <c r="F251" i="3"/>
  <c r="G251" i="3"/>
  <c r="H251" i="3"/>
  <c r="J251" i="3"/>
  <c r="K251" i="3"/>
  <c r="D252" i="3"/>
  <c r="E252" i="3"/>
  <c r="F252" i="3"/>
  <c r="G252" i="3"/>
  <c r="H252" i="3"/>
  <c r="J252" i="3"/>
  <c r="K252" i="3"/>
  <c r="D253" i="3"/>
  <c r="E253" i="3"/>
  <c r="F253" i="3"/>
  <c r="G253" i="3"/>
  <c r="H253" i="3"/>
  <c r="J253" i="3"/>
  <c r="K253" i="3"/>
  <c r="D254" i="3"/>
  <c r="E254" i="3"/>
  <c r="F254" i="3"/>
  <c r="G254" i="3"/>
  <c r="H254" i="3"/>
  <c r="J254" i="3"/>
  <c r="K254" i="3"/>
  <c r="D255" i="3"/>
  <c r="E255" i="3"/>
  <c r="F255" i="3"/>
  <c r="G255" i="3"/>
  <c r="H255" i="3"/>
  <c r="J255" i="3"/>
  <c r="K255" i="3"/>
  <c r="D256" i="3"/>
  <c r="E256" i="3"/>
  <c r="F256" i="3"/>
  <c r="G256" i="3"/>
  <c r="H256" i="3"/>
  <c r="J256" i="3"/>
  <c r="K256" i="3"/>
  <c r="D257" i="3"/>
  <c r="E257" i="3"/>
  <c r="F257" i="3"/>
  <c r="G257" i="3"/>
  <c r="H257" i="3"/>
  <c r="J257" i="3"/>
  <c r="K257" i="3"/>
  <c r="D258" i="3"/>
  <c r="E258" i="3"/>
  <c r="F258" i="3"/>
  <c r="G258" i="3"/>
  <c r="H258" i="3"/>
  <c r="J258" i="3"/>
  <c r="K258" i="3"/>
  <c r="D259" i="3"/>
  <c r="E259" i="3"/>
  <c r="F259" i="3"/>
  <c r="G259" i="3"/>
  <c r="H259" i="3"/>
  <c r="J259" i="3"/>
  <c r="K259" i="3"/>
  <c r="D260" i="3"/>
  <c r="E260" i="3"/>
  <c r="F260" i="3"/>
  <c r="G260" i="3"/>
  <c r="H260" i="3"/>
  <c r="J260" i="3"/>
  <c r="K260" i="3"/>
  <c r="D261" i="3"/>
  <c r="E261" i="3"/>
  <c r="F261" i="3"/>
  <c r="G261" i="3"/>
  <c r="H261" i="3"/>
  <c r="J261" i="3"/>
  <c r="K261" i="3"/>
  <c r="D262" i="3"/>
  <c r="E262" i="3"/>
  <c r="F262" i="3"/>
  <c r="G262" i="3"/>
  <c r="H262" i="3"/>
  <c r="J262" i="3"/>
  <c r="K262" i="3"/>
  <c r="D263" i="3"/>
  <c r="E263" i="3"/>
  <c r="F263" i="3"/>
  <c r="G263" i="3"/>
  <c r="H263" i="3"/>
  <c r="J263" i="3"/>
  <c r="K263" i="3"/>
  <c r="D264" i="3"/>
  <c r="E264" i="3"/>
  <c r="F264" i="3"/>
  <c r="G264" i="3"/>
  <c r="H264" i="3"/>
  <c r="J264" i="3"/>
  <c r="K264" i="3"/>
  <c r="D265" i="3"/>
  <c r="E265" i="3"/>
  <c r="F265" i="3"/>
  <c r="G265" i="3"/>
  <c r="H265" i="3"/>
  <c r="J265" i="3"/>
  <c r="K265" i="3"/>
  <c r="D266" i="3"/>
  <c r="E266" i="3"/>
  <c r="F266" i="3"/>
  <c r="G266" i="3"/>
  <c r="H266" i="3"/>
  <c r="J266" i="3"/>
  <c r="K266" i="3"/>
  <c r="D267" i="3"/>
  <c r="E267" i="3"/>
  <c r="F267" i="3"/>
  <c r="G267" i="3"/>
  <c r="H267" i="3"/>
  <c r="J267" i="3"/>
  <c r="K267" i="3"/>
  <c r="D268" i="3"/>
  <c r="E268" i="3"/>
  <c r="F268" i="3"/>
  <c r="G268" i="3"/>
  <c r="H268" i="3"/>
  <c r="J268" i="3"/>
  <c r="K268" i="3"/>
  <c r="D269" i="3"/>
  <c r="E269" i="3"/>
  <c r="F269" i="3"/>
  <c r="G269" i="3"/>
  <c r="H269" i="3"/>
  <c r="J269" i="3"/>
  <c r="K269" i="3"/>
  <c r="D270" i="3"/>
  <c r="E270" i="3"/>
  <c r="F270" i="3"/>
  <c r="G270" i="3"/>
  <c r="H270" i="3"/>
  <c r="J270" i="3"/>
  <c r="K270" i="3"/>
  <c r="D271" i="3"/>
  <c r="E271" i="3"/>
  <c r="F271" i="3"/>
  <c r="G271" i="3"/>
  <c r="H271" i="3"/>
  <c r="J271" i="3"/>
  <c r="K271" i="3"/>
  <c r="D272" i="3"/>
  <c r="E272" i="3"/>
  <c r="F272" i="3"/>
  <c r="G272" i="3"/>
  <c r="H272" i="3"/>
  <c r="J272" i="3"/>
  <c r="K272" i="3"/>
  <c r="D273" i="3"/>
  <c r="E273" i="3"/>
  <c r="F273" i="3"/>
  <c r="G273" i="3"/>
  <c r="H273" i="3"/>
  <c r="J273" i="3"/>
  <c r="K273" i="3"/>
  <c r="D274" i="3"/>
  <c r="E274" i="3"/>
  <c r="F274" i="3"/>
  <c r="G274" i="3"/>
  <c r="H274" i="3"/>
  <c r="J274" i="3"/>
  <c r="K274" i="3"/>
  <c r="D275" i="3"/>
  <c r="E275" i="3"/>
  <c r="F275" i="3"/>
  <c r="G275" i="3"/>
  <c r="H275" i="3"/>
  <c r="J275" i="3"/>
  <c r="K275" i="3"/>
  <c r="D276" i="3"/>
  <c r="E276" i="3"/>
  <c r="F276" i="3"/>
  <c r="G276" i="3"/>
  <c r="H276" i="3"/>
  <c r="J276" i="3"/>
  <c r="K276" i="3"/>
  <c r="D277" i="3"/>
  <c r="E277" i="3"/>
  <c r="F277" i="3"/>
  <c r="G277" i="3"/>
  <c r="H277" i="3"/>
  <c r="J277" i="3"/>
  <c r="K277" i="3"/>
  <c r="D278" i="3"/>
  <c r="E278" i="3"/>
  <c r="F278" i="3"/>
  <c r="G278" i="3"/>
  <c r="H278" i="3"/>
  <c r="J278" i="3"/>
  <c r="K278" i="3"/>
  <c r="D279" i="3"/>
  <c r="E279" i="3"/>
  <c r="F279" i="3"/>
  <c r="G279" i="3"/>
  <c r="H279" i="3"/>
  <c r="J279" i="3"/>
  <c r="K279" i="3"/>
  <c r="D280" i="3"/>
  <c r="E280" i="3"/>
  <c r="F280" i="3"/>
  <c r="G280" i="3"/>
  <c r="H280" i="3"/>
  <c r="J280" i="3"/>
  <c r="K280" i="3"/>
  <c r="D281" i="3"/>
  <c r="E281" i="3"/>
  <c r="F281" i="3"/>
  <c r="G281" i="3"/>
  <c r="H281" i="3"/>
  <c r="J281" i="3"/>
  <c r="K281" i="3"/>
  <c r="D282" i="3"/>
  <c r="E282" i="3"/>
  <c r="F282" i="3"/>
  <c r="G282" i="3"/>
  <c r="H282" i="3"/>
  <c r="J282" i="3"/>
  <c r="K282" i="3"/>
  <c r="D283" i="3"/>
  <c r="E283" i="3"/>
  <c r="F283" i="3"/>
  <c r="G283" i="3"/>
  <c r="H283" i="3"/>
  <c r="J283" i="3"/>
  <c r="K283" i="3"/>
  <c r="D284" i="3"/>
  <c r="E284" i="3"/>
  <c r="F284" i="3"/>
  <c r="G284" i="3"/>
  <c r="H284" i="3"/>
  <c r="J284" i="3"/>
  <c r="K284" i="3"/>
  <c r="D285" i="3"/>
  <c r="E285" i="3"/>
  <c r="F285" i="3"/>
  <c r="G285" i="3"/>
  <c r="H285" i="3"/>
  <c r="J285" i="3"/>
  <c r="K285" i="3"/>
  <c r="D286" i="3"/>
  <c r="E286" i="3"/>
  <c r="F286" i="3"/>
  <c r="G286" i="3"/>
  <c r="H286" i="3"/>
  <c r="J286" i="3"/>
  <c r="K286" i="3"/>
  <c r="D287" i="3"/>
  <c r="E287" i="3"/>
  <c r="F287" i="3"/>
  <c r="G287" i="3"/>
  <c r="H287" i="3"/>
  <c r="J287" i="3"/>
  <c r="K287" i="3"/>
  <c r="D288" i="3"/>
  <c r="E288" i="3"/>
  <c r="F288" i="3"/>
  <c r="G288" i="3"/>
  <c r="H288" i="3"/>
  <c r="J288" i="3"/>
  <c r="K288" i="3"/>
  <c r="D289" i="3"/>
  <c r="E289" i="3"/>
  <c r="F289" i="3"/>
  <c r="G289" i="3"/>
  <c r="H289" i="3"/>
  <c r="J289" i="3"/>
  <c r="K289" i="3"/>
  <c r="D290" i="3"/>
  <c r="E290" i="3"/>
  <c r="F290" i="3"/>
  <c r="G290" i="3"/>
  <c r="H290" i="3"/>
  <c r="J290" i="3"/>
  <c r="K290" i="3"/>
  <c r="D291" i="3"/>
  <c r="E291" i="3"/>
  <c r="F291" i="3"/>
  <c r="G291" i="3"/>
  <c r="H291" i="3"/>
  <c r="J291" i="3"/>
  <c r="K291" i="3"/>
  <c r="D292" i="3"/>
  <c r="E292" i="3"/>
  <c r="F292" i="3"/>
  <c r="G292" i="3"/>
  <c r="H292" i="3"/>
  <c r="J292" i="3"/>
  <c r="K292" i="3"/>
  <c r="D293" i="3"/>
  <c r="E293" i="3"/>
  <c r="F293" i="3"/>
  <c r="G293" i="3"/>
  <c r="H293" i="3"/>
  <c r="J293" i="3"/>
  <c r="K293" i="3"/>
  <c r="D294" i="3"/>
  <c r="E294" i="3"/>
  <c r="F294" i="3"/>
  <c r="G294" i="3"/>
  <c r="H294" i="3"/>
  <c r="J294" i="3"/>
  <c r="K294" i="3"/>
  <c r="D295" i="3"/>
  <c r="E295" i="3"/>
  <c r="F295" i="3"/>
  <c r="G295" i="3"/>
  <c r="H295" i="3"/>
  <c r="J295" i="3"/>
  <c r="K295" i="3"/>
  <c r="D296" i="3"/>
  <c r="E296" i="3"/>
  <c r="F296" i="3"/>
  <c r="G296" i="3"/>
  <c r="H296" i="3"/>
  <c r="J296" i="3"/>
  <c r="K296" i="3"/>
  <c r="D297" i="3"/>
  <c r="E297" i="3"/>
  <c r="F297" i="3"/>
  <c r="G297" i="3"/>
  <c r="H297" i="3"/>
  <c r="J297" i="3"/>
  <c r="K297" i="3"/>
  <c r="D298" i="3"/>
  <c r="E298" i="3"/>
  <c r="F298" i="3"/>
  <c r="G298" i="3"/>
  <c r="H298" i="3"/>
  <c r="J298" i="3"/>
  <c r="K298" i="3"/>
  <c r="D299" i="3"/>
  <c r="E299" i="3"/>
  <c r="F299" i="3"/>
  <c r="G299" i="3"/>
  <c r="H299" i="3"/>
  <c r="J299" i="3"/>
  <c r="K299" i="3"/>
  <c r="D300" i="3"/>
  <c r="E300" i="3"/>
  <c r="F300" i="3"/>
  <c r="G300" i="3"/>
  <c r="H300" i="3"/>
  <c r="J300" i="3"/>
  <c r="K300" i="3"/>
  <c r="D301" i="3"/>
  <c r="E301" i="3"/>
  <c r="F301" i="3"/>
  <c r="G301" i="3"/>
  <c r="H301" i="3"/>
  <c r="J301" i="3"/>
  <c r="K301" i="3"/>
  <c r="D302" i="3"/>
  <c r="E302" i="3"/>
  <c r="F302" i="3"/>
  <c r="G302" i="3"/>
  <c r="H302" i="3"/>
  <c r="J302" i="3"/>
  <c r="K302" i="3"/>
  <c r="D303" i="3"/>
  <c r="E303" i="3"/>
  <c r="F303" i="3"/>
  <c r="G303" i="3"/>
  <c r="H303" i="3"/>
  <c r="J303" i="3"/>
  <c r="K303" i="3"/>
  <c r="D304" i="3"/>
  <c r="E304" i="3"/>
  <c r="F304" i="3"/>
  <c r="G304" i="3"/>
  <c r="H304" i="3"/>
  <c r="J304" i="3"/>
  <c r="K304" i="3"/>
  <c r="D305" i="3"/>
  <c r="E305" i="3"/>
  <c r="F305" i="3"/>
  <c r="G305" i="3"/>
  <c r="H305" i="3"/>
  <c r="J305" i="3"/>
  <c r="K305" i="3"/>
  <c r="D306" i="3"/>
  <c r="E306" i="3"/>
  <c r="F306" i="3"/>
  <c r="G306" i="3"/>
  <c r="H306" i="3"/>
  <c r="J306" i="3"/>
  <c r="K306" i="3"/>
  <c r="D307" i="3"/>
  <c r="E307" i="3"/>
  <c r="F307" i="3"/>
  <c r="G307" i="3"/>
  <c r="H307" i="3"/>
  <c r="J307" i="3"/>
  <c r="K307" i="3"/>
  <c r="D308" i="3"/>
  <c r="E308" i="3"/>
  <c r="F308" i="3"/>
  <c r="G308" i="3"/>
  <c r="H308" i="3"/>
  <c r="J308" i="3"/>
  <c r="K308" i="3"/>
  <c r="D309" i="3"/>
  <c r="E309" i="3"/>
  <c r="F309" i="3"/>
  <c r="G309" i="3"/>
  <c r="H309" i="3"/>
  <c r="J309" i="3"/>
  <c r="K309" i="3"/>
  <c r="D310" i="3"/>
  <c r="E310" i="3"/>
  <c r="F310" i="3"/>
  <c r="G310" i="3"/>
  <c r="H310" i="3"/>
  <c r="J310" i="3"/>
  <c r="K310" i="3"/>
  <c r="D311" i="3"/>
  <c r="E311" i="3"/>
  <c r="F311" i="3"/>
  <c r="G311" i="3"/>
  <c r="H311" i="3"/>
  <c r="J311" i="3"/>
  <c r="K311" i="3"/>
  <c r="D312" i="3"/>
  <c r="E312" i="3"/>
  <c r="F312" i="3"/>
  <c r="G312" i="3"/>
  <c r="H312" i="3"/>
  <c r="J312" i="3"/>
  <c r="K312" i="3"/>
  <c r="D313" i="3"/>
  <c r="E313" i="3"/>
  <c r="F313" i="3"/>
  <c r="G313" i="3"/>
  <c r="H313" i="3"/>
  <c r="J313" i="3"/>
  <c r="K313" i="3"/>
  <c r="D314" i="3"/>
  <c r="E314" i="3"/>
  <c r="F314" i="3"/>
  <c r="G314" i="3"/>
  <c r="H314" i="3"/>
  <c r="J314" i="3"/>
  <c r="K314" i="3"/>
  <c r="D315" i="3"/>
  <c r="E315" i="3"/>
  <c r="F315" i="3"/>
  <c r="G315" i="3"/>
  <c r="H315" i="3"/>
  <c r="J315" i="3"/>
  <c r="K315" i="3"/>
  <c r="D316" i="3"/>
  <c r="E316" i="3"/>
  <c r="F316" i="3"/>
  <c r="G316" i="3"/>
  <c r="H316" i="3"/>
  <c r="J316" i="3"/>
  <c r="K316" i="3"/>
  <c r="D317" i="3"/>
  <c r="E317" i="3"/>
  <c r="F317" i="3"/>
  <c r="G317" i="3"/>
  <c r="H317" i="3"/>
  <c r="J317" i="3"/>
  <c r="K317" i="3"/>
  <c r="D318" i="3"/>
  <c r="E318" i="3"/>
  <c r="F318" i="3"/>
  <c r="G318" i="3"/>
  <c r="H318" i="3"/>
  <c r="J318" i="3"/>
  <c r="K318" i="3"/>
  <c r="D319" i="3"/>
  <c r="E319" i="3"/>
  <c r="F319" i="3"/>
  <c r="G319" i="3"/>
  <c r="H319" i="3"/>
  <c r="J319" i="3"/>
  <c r="K319" i="3"/>
  <c r="D320" i="3"/>
  <c r="E320" i="3"/>
  <c r="F320" i="3"/>
  <c r="G320" i="3"/>
  <c r="H320" i="3"/>
  <c r="J320" i="3"/>
  <c r="K320" i="3"/>
  <c r="D321" i="3"/>
  <c r="E321" i="3"/>
  <c r="F321" i="3"/>
  <c r="G321" i="3"/>
  <c r="H321" i="3"/>
  <c r="J321" i="3"/>
  <c r="K321" i="3"/>
  <c r="D322" i="3"/>
  <c r="E322" i="3"/>
  <c r="F322" i="3"/>
  <c r="G322" i="3"/>
  <c r="H322" i="3"/>
  <c r="J322" i="3"/>
  <c r="K322" i="3"/>
  <c r="D323" i="3"/>
  <c r="E323" i="3"/>
  <c r="F323" i="3"/>
  <c r="G323" i="3"/>
  <c r="H323" i="3"/>
  <c r="J323" i="3"/>
  <c r="K323" i="3"/>
  <c r="D324" i="3"/>
  <c r="E324" i="3"/>
  <c r="F324" i="3"/>
  <c r="G324" i="3"/>
  <c r="H324" i="3"/>
  <c r="J324" i="3"/>
  <c r="K324" i="3"/>
  <c r="D325" i="3"/>
  <c r="E325" i="3"/>
  <c r="F325" i="3"/>
  <c r="G325" i="3"/>
  <c r="H325" i="3"/>
  <c r="J325" i="3"/>
  <c r="K325" i="3"/>
  <c r="D326" i="3"/>
  <c r="E326" i="3"/>
  <c r="F326" i="3"/>
  <c r="G326" i="3"/>
  <c r="H326" i="3"/>
  <c r="J326" i="3"/>
  <c r="K326" i="3"/>
  <c r="D327" i="3"/>
  <c r="E327" i="3"/>
  <c r="F327" i="3"/>
  <c r="G327" i="3"/>
  <c r="H327" i="3"/>
  <c r="J327" i="3"/>
  <c r="K327" i="3"/>
  <c r="D328" i="3"/>
  <c r="E328" i="3"/>
  <c r="F328" i="3"/>
  <c r="G328" i="3"/>
  <c r="H328" i="3"/>
  <c r="J328" i="3"/>
  <c r="K328" i="3"/>
  <c r="D329" i="3"/>
  <c r="E329" i="3"/>
  <c r="F329" i="3"/>
  <c r="G329" i="3"/>
  <c r="H329" i="3"/>
  <c r="J329" i="3"/>
  <c r="K329" i="3"/>
  <c r="D330" i="3"/>
  <c r="E330" i="3"/>
  <c r="F330" i="3"/>
  <c r="G330" i="3"/>
  <c r="H330" i="3"/>
  <c r="J330" i="3"/>
  <c r="K330" i="3"/>
  <c r="D331" i="3"/>
  <c r="E331" i="3"/>
  <c r="F331" i="3"/>
  <c r="G331" i="3"/>
  <c r="H331" i="3"/>
  <c r="J331" i="3"/>
  <c r="K331" i="3"/>
  <c r="D332" i="3"/>
  <c r="E332" i="3"/>
  <c r="F332" i="3"/>
  <c r="G332" i="3"/>
  <c r="H332" i="3"/>
  <c r="J332" i="3"/>
  <c r="K332" i="3"/>
  <c r="D333" i="3"/>
  <c r="E333" i="3"/>
  <c r="F333" i="3"/>
  <c r="G333" i="3"/>
  <c r="H333" i="3"/>
  <c r="J333" i="3"/>
  <c r="K333" i="3"/>
  <c r="D334" i="3"/>
  <c r="E334" i="3"/>
  <c r="F334" i="3"/>
  <c r="G334" i="3"/>
  <c r="H334" i="3"/>
  <c r="J334" i="3"/>
  <c r="K334" i="3"/>
  <c r="D335" i="3"/>
  <c r="E335" i="3"/>
  <c r="F335" i="3"/>
  <c r="G335" i="3"/>
  <c r="H335" i="3"/>
  <c r="J335" i="3"/>
  <c r="K335" i="3"/>
  <c r="D336" i="3"/>
  <c r="E336" i="3"/>
  <c r="F336" i="3"/>
  <c r="G336" i="3"/>
  <c r="H336" i="3"/>
  <c r="J336" i="3"/>
  <c r="K336" i="3"/>
  <c r="D337" i="3"/>
  <c r="E337" i="3"/>
  <c r="F337" i="3"/>
  <c r="G337" i="3"/>
  <c r="H337" i="3"/>
  <c r="J337" i="3"/>
  <c r="K337" i="3"/>
  <c r="D338" i="3"/>
  <c r="E338" i="3"/>
  <c r="F338" i="3"/>
  <c r="G338" i="3"/>
  <c r="H338" i="3"/>
  <c r="J338" i="3"/>
  <c r="K338" i="3"/>
  <c r="D339" i="3"/>
  <c r="E339" i="3"/>
  <c r="F339" i="3"/>
  <c r="G339" i="3"/>
  <c r="H339" i="3"/>
  <c r="J339" i="3"/>
  <c r="K339" i="3"/>
  <c r="D340" i="3"/>
  <c r="E340" i="3"/>
  <c r="F340" i="3"/>
  <c r="G340" i="3"/>
  <c r="H340" i="3"/>
  <c r="J340" i="3"/>
  <c r="K340" i="3"/>
  <c r="D341" i="3"/>
  <c r="E341" i="3"/>
  <c r="F341" i="3"/>
  <c r="G341" i="3"/>
  <c r="H341" i="3"/>
  <c r="J341" i="3"/>
  <c r="K341" i="3"/>
  <c r="D342" i="3"/>
  <c r="E342" i="3"/>
  <c r="F342" i="3"/>
  <c r="G342" i="3"/>
  <c r="H342" i="3"/>
  <c r="J342" i="3"/>
  <c r="K342" i="3"/>
  <c r="D343" i="3"/>
  <c r="E343" i="3"/>
  <c r="F343" i="3"/>
  <c r="G343" i="3"/>
  <c r="H343" i="3"/>
  <c r="J343" i="3"/>
  <c r="K343" i="3"/>
  <c r="D344" i="3"/>
  <c r="E344" i="3"/>
  <c r="F344" i="3"/>
  <c r="G344" i="3"/>
  <c r="H344" i="3"/>
  <c r="J344" i="3"/>
  <c r="K344" i="3"/>
  <c r="D345" i="3"/>
  <c r="E345" i="3"/>
  <c r="F345" i="3"/>
  <c r="G345" i="3"/>
  <c r="H345" i="3"/>
  <c r="J345" i="3"/>
  <c r="K345" i="3"/>
  <c r="D346" i="3"/>
  <c r="E346" i="3"/>
  <c r="F346" i="3"/>
  <c r="G346" i="3"/>
  <c r="H346" i="3"/>
  <c r="J346" i="3"/>
  <c r="K346" i="3"/>
  <c r="D347" i="3"/>
  <c r="E347" i="3"/>
  <c r="F347" i="3"/>
  <c r="G347" i="3"/>
  <c r="H347" i="3"/>
  <c r="J347" i="3"/>
  <c r="K347" i="3"/>
  <c r="D348" i="3"/>
  <c r="E348" i="3"/>
  <c r="F348" i="3"/>
  <c r="G348" i="3"/>
  <c r="H348" i="3"/>
  <c r="J348" i="3"/>
  <c r="K348" i="3"/>
  <c r="D349" i="3"/>
  <c r="E349" i="3"/>
  <c r="F349" i="3"/>
  <c r="G349" i="3"/>
  <c r="H349" i="3"/>
  <c r="J349" i="3"/>
  <c r="K349" i="3"/>
  <c r="D350" i="3"/>
  <c r="E350" i="3"/>
  <c r="F350" i="3"/>
  <c r="G350" i="3"/>
  <c r="H350" i="3"/>
  <c r="J350" i="3"/>
  <c r="K350" i="3"/>
  <c r="D351" i="3"/>
  <c r="E351" i="3"/>
  <c r="F351" i="3"/>
  <c r="G351" i="3"/>
  <c r="H351" i="3"/>
  <c r="J351" i="3"/>
  <c r="K351" i="3"/>
  <c r="D352" i="3"/>
  <c r="E352" i="3"/>
  <c r="F352" i="3"/>
  <c r="G352" i="3"/>
  <c r="H352" i="3"/>
  <c r="J352" i="3"/>
  <c r="K352" i="3"/>
  <c r="D353" i="3"/>
  <c r="E353" i="3"/>
  <c r="F353" i="3"/>
  <c r="G353" i="3"/>
  <c r="H353" i="3"/>
  <c r="J353" i="3"/>
  <c r="K353" i="3"/>
  <c r="D354" i="3"/>
  <c r="E354" i="3"/>
  <c r="F354" i="3"/>
  <c r="G354" i="3"/>
  <c r="H354" i="3"/>
  <c r="J354" i="3"/>
  <c r="K354" i="3"/>
  <c r="D355" i="3"/>
  <c r="E355" i="3"/>
  <c r="F355" i="3"/>
  <c r="G355" i="3"/>
  <c r="H355" i="3"/>
  <c r="J355" i="3"/>
  <c r="K355" i="3"/>
  <c r="D356" i="3"/>
  <c r="E356" i="3"/>
  <c r="F356" i="3"/>
  <c r="G356" i="3"/>
  <c r="H356" i="3"/>
  <c r="J356" i="3"/>
  <c r="K356" i="3"/>
  <c r="D357" i="3"/>
  <c r="E357" i="3"/>
  <c r="F357" i="3"/>
  <c r="G357" i="3"/>
  <c r="H357" i="3"/>
  <c r="J357" i="3"/>
  <c r="K357" i="3"/>
  <c r="D358" i="3"/>
  <c r="E358" i="3"/>
  <c r="F358" i="3"/>
  <c r="G358" i="3"/>
  <c r="H358" i="3"/>
  <c r="J358" i="3"/>
  <c r="K358" i="3"/>
  <c r="D359" i="3"/>
  <c r="E359" i="3"/>
  <c r="F359" i="3"/>
  <c r="G359" i="3"/>
  <c r="H359" i="3"/>
  <c r="J359" i="3"/>
  <c r="K359" i="3"/>
  <c r="D360" i="3"/>
  <c r="E360" i="3"/>
  <c r="F360" i="3"/>
  <c r="G360" i="3"/>
  <c r="H360" i="3"/>
  <c r="J360" i="3"/>
  <c r="K360" i="3"/>
  <c r="D361" i="3"/>
  <c r="E361" i="3"/>
  <c r="F361" i="3"/>
  <c r="G361" i="3"/>
  <c r="H361" i="3"/>
  <c r="J361" i="3"/>
  <c r="K361" i="3"/>
  <c r="D362" i="3"/>
  <c r="E362" i="3"/>
  <c r="F362" i="3"/>
  <c r="G362" i="3"/>
  <c r="H362" i="3"/>
  <c r="J362" i="3"/>
  <c r="K362" i="3"/>
  <c r="D363" i="3"/>
  <c r="E363" i="3"/>
  <c r="F363" i="3"/>
  <c r="G363" i="3"/>
  <c r="H363" i="3"/>
  <c r="J363" i="3"/>
  <c r="K363" i="3"/>
  <c r="D364" i="3"/>
  <c r="E364" i="3"/>
  <c r="F364" i="3"/>
  <c r="G364" i="3"/>
  <c r="H364" i="3"/>
  <c r="J364" i="3"/>
  <c r="K364" i="3"/>
  <c r="D365" i="3"/>
  <c r="E365" i="3"/>
  <c r="F365" i="3"/>
  <c r="G365" i="3"/>
  <c r="H365" i="3"/>
  <c r="J365" i="3"/>
  <c r="K365" i="3"/>
  <c r="D366" i="3"/>
  <c r="E366" i="3"/>
  <c r="F366" i="3"/>
  <c r="G366" i="3"/>
  <c r="H366" i="3"/>
  <c r="J366" i="3"/>
  <c r="K366" i="3"/>
  <c r="D367" i="3"/>
  <c r="E367" i="3"/>
  <c r="F367" i="3"/>
  <c r="G367" i="3"/>
  <c r="H367" i="3"/>
  <c r="J367" i="3"/>
  <c r="K367" i="3"/>
  <c r="D368" i="3"/>
  <c r="E368" i="3"/>
  <c r="F368" i="3"/>
  <c r="G368" i="3"/>
  <c r="H368" i="3"/>
  <c r="J368" i="3"/>
  <c r="K368" i="3"/>
  <c r="D369" i="3"/>
  <c r="E369" i="3"/>
  <c r="F369" i="3"/>
  <c r="G369" i="3"/>
  <c r="H369" i="3"/>
  <c r="J369" i="3"/>
  <c r="K369" i="3"/>
  <c r="D370" i="3"/>
  <c r="E370" i="3"/>
  <c r="F370" i="3"/>
  <c r="G370" i="3"/>
  <c r="H370" i="3"/>
  <c r="J370" i="3"/>
  <c r="K370" i="3"/>
  <c r="D371" i="3"/>
  <c r="E371" i="3"/>
  <c r="F371" i="3"/>
  <c r="G371" i="3"/>
  <c r="H371" i="3"/>
  <c r="J371" i="3"/>
  <c r="K371" i="3"/>
  <c r="D372" i="3"/>
  <c r="E372" i="3"/>
  <c r="F372" i="3"/>
  <c r="G372" i="3"/>
  <c r="H372" i="3"/>
  <c r="J372" i="3"/>
  <c r="K372" i="3"/>
  <c r="D373" i="3"/>
  <c r="E373" i="3"/>
  <c r="F373" i="3"/>
  <c r="G373" i="3"/>
  <c r="H373" i="3"/>
  <c r="J373" i="3"/>
  <c r="K373" i="3"/>
  <c r="D374" i="3"/>
  <c r="E374" i="3"/>
  <c r="F374" i="3"/>
  <c r="G374" i="3"/>
  <c r="H374" i="3"/>
  <c r="J374" i="3"/>
  <c r="K374" i="3"/>
  <c r="D375" i="3"/>
  <c r="E375" i="3"/>
  <c r="F375" i="3"/>
  <c r="G375" i="3"/>
  <c r="H375" i="3"/>
  <c r="J375" i="3"/>
  <c r="K375" i="3"/>
  <c r="D376" i="3"/>
  <c r="E376" i="3"/>
  <c r="F376" i="3"/>
  <c r="G376" i="3"/>
  <c r="H376" i="3"/>
  <c r="J376" i="3"/>
  <c r="K376" i="3"/>
  <c r="D377" i="3"/>
  <c r="E377" i="3"/>
  <c r="F377" i="3"/>
  <c r="G377" i="3"/>
  <c r="H377" i="3"/>
  <c r="J377" i="3"/>
  <c r="K377" i="3"/>
  <c r="D378" i="3"/>
  <c r="E378" i="3"/>
  <c r="F378" i="3"/>
  <c r="G378" i="3"/>
  <c r="H378" i="3"/>
  <c r="J378" i="3"/>
  <c r="K378" i="3"/>
  <c r="D379" i="3"/>
  <c r="E379" i="3"/>
  <c r="F379" i="3"/>
  <c r="G379" i="3"/>
  <c r="H379" i="3"/>
  <c r="J379" i="3"/>
  <c r="K379" i="3"/>
  <c r="D380" i="3"/>
  <c r="E380" i="3"/>
  <c r="F380" i="3"/>
  <c r="G380" i="3"/>
  <c r="H380" i="3"/>
  <c r="J380" i="3"/>
  <c r="K380" i="3"/>
  <c r="D381" i="3"/>
  <c r="E381" i="3"/>
  <c r="F381" i="3"/>
  <c r="G381" i="3"/>
  <c r="H381" i="3"/>
  <c r="J381" i="3"/>
  <c r="K381" i="3"/>
  <c r="D382" i="3"/>
  <c r="E382" i="3"/>
  <c r="F382" i="3"/>
  <c r="G382" i="3"/>
  <c r="H382" i="3"/>
  <c r="J382" i="3"/>
  <c r="K382" i="3"/>
  <c r="D383" i="3"/>
  <c r="E383" i="3"/>
  <c r="F383" i="3"/>
  <c r="G383" i="3"/>
  <c r="H383" i="3"/>
  <c r="J383" i="3"/>
  <c r="K383" i="3"/>
  <c r="D384" i="3"/>
  <c r="E384" i="3"/>
  <c r="F384" i="3"/>
  <c r="G384" i="3"/>
  <c r="H384" i="3"/>
  <c r="J384" i="3"/>
  <c r="K384" i="3"/>
  <c r="D385" i="3"/>
  <c r="E385" i="3"/>
  <c r="F385" i="3"/>
  <c r="G385" i="3"/>
  <c r="H385" i="3"/>
  <c r="J385" i="3"/>
  <c r="K385" i="3"/>
  <c r="D386" i="3"/>
  <c r="E386" i="3"/>
  <c r="F386" i="3"/>
  <c r="G386" i="3"/>
  <c r="H386" i="3"/>
  <c r="J386" i="3"/>
  <c r="K386" i="3"/>
  <c r="D387" i="3"/>
  <c r="E387" i="3"/>
  <c r="F387" i="3"/>
  <c r="G387" i="3"/>
  <c r="H387" i="3"/>
  <c r="J387" i="3"/>
  <c r="K387" i="3"/>
  <c r="D388" i="3"/>
  <c r="E388" i="3"/>
  <c r="F388" i="3"/>
  <c r="G388" i="3"/>
  <c r="H388" i="3"/>
  <c r="J388" i="3"/>
  <c r="K388" i="3"/>
  <c r="D389" i="3"/>
  <c r="E389" i="3"/>
  <c r="F389" i="3"/>
  <c r="G389" i="3"/>
  <c r="H389" i="3"/>
  <c r="J389" i="3"/>
  <c r="K389" i="3"/>
  <c r="D390" i="3"/>
  <c r="E390" i="3"/>
  <c r="F390" i="3"/>
  <c r="G390" i="3"/>
  <c r="H390" i="3"/>
  <c r="J390" i="3"/>
  <c r="K390" i="3"/>
  <c r="D391" i="3"/>
  <c r="E391" i="3"/>
  <c r="F391" i="3"/>
  <c r="G391" i="3"/>
  <c r="H391" i="3"/>
  <c r="J391" i="3"/>
  <c r="K391" i="3"/>
  <c r="D392" i="3"/>
  <c r="E392" i="3"/>
  <c r="F392" i="3"/>
  <c r="G392" i="3"/>
  <c r="H392" i="3"/>
  <c r="J392" i="3"/>
  <c r="K392" i="3"/>
  <c r="D393" i="3"/>
  <c r="E393" i="3"/>
  <c r="F393" i="3"/>
  <c r="G393" i="3"/>
  <c r="H393" i="3"/>
  <c r="J393" i="3"/>
  <c r="K393" i="3"/>
  <c r="D394" i="3"/>
  <c r="E394" i="3"/>
  <c r="F394" i="3"/>
  <c r="G394" i="3"/>
  <c r="H394" i="3"/>
  <c r="J394" i="3"/>
  <c r="K394" i="3"/>
  <c r="D395" i="3"/>
  <c r="E395" i="3"/>
  <c r="F395" i="3"/>
  <c r="G395" i="3"/>
  <c r="H395" i="3"/>
  <c r="J395" i="3"/>
  <c r="K395" i="3"/>
  <c r="D396" i="3"/>
  <c r="E396" i="3"/>
  <c r="F396" i="3"/>
  <c r="G396" i="3"/>
  <c r="H396" i="3"/>
  <c r="J396" i="3"/>
  <c r="K396" i="3"/>
  <c r="D397" i="3"/>
  <c r="E397" i="3"/>
  <c r="F397" i="3"/>
  <c r="G397" i="3"/>
  <c r="H397" i="3"/>
  <c r="J397" i="3"/>
  <c r="K397" i="3"/>
  <c r="D398" i="3"/>
  <c r="E398" i="3"/>
  <c r="F398" i="3"/>
  <c r="G398" i="3"/>
  <c r="H398" i="3"/>
  <c r="J398" i="3"/>
  <c r="K398" i="3"/>
  <c r="D399" i="3"/>
  <c r="E399" i="3"/>
  <c r="F399" i="3"/>
  <c r="G399" i="3"/>
  <c r="H399" i="3"/>
  <c r="J399" i="3"/>
  <c r="K399" i="3"/>
  <c r="D400" i="3"/>
  <c r="E400" i="3"/>
  <c r="F400" i="3"/>
  <c r="G400" i="3"/>
  <c r="H400" i="3"/>
  <c r="J400" i="3"/>
  <c r="K400" i="3"/>
  <c r="D401" i="3"/>
  <c r="E401" i="3"/>
  <c r="F401" i="3"/>
  <c r="G401" i="3"/>
  <c r="H401" i="3"/>
  <c r="J401" i="3"/>
  <c r="K401" i="3"/>
  <c r="D402" i="3"/>
  <c r="E402" i="3"/>
  <c r="F402" i="3"/>
  <c r="G402" i="3"/>
  <c r="H402" i="3"/>
  <c r="J402" i="3"/>
  <c r="K402" i="3"/>
  <c r="D403" i="3"/>
  <c r="E403" i="3"/>
  <c r="F403" i="3"/>
  <c r="G403" i="3"/>
  <c r="H403" i="3"/>
  <c r="J403" i="3"/>
  <c r="K403" i="3"/>
  <c r="D404" i="3"/>
  <c r="E404" i="3"/>
  <c r="F404" i="3"/>
  <c r="G404" i="3"/>
  <c r="H404" i="3"/>
  <c r="J404" i="3"/>
  <c r="K404" i="3"/>
  <c r="D405" i="3"/>
  <c r="E405" i="3"/>
  <c r="F405" i="3"/>
  <c r="G405" i="3"/>
  <c r="H405" i="3"/>
  <c r="J405" i="3"/>
  <c r="K405" i="3"/>
  <c r="D406" i="3"/>
  <c r="E406" i="3"/>
  <c r="F406" i="3"/>
  <c r="G406" i="3"/>
  <c r="H406" i="3"/>
  <c r="J406" i="3"/>
  <c r="K406" i="3"/>
  <c r="D407" i="3"/>
  <c r="E407" i="3"/>
  <c r="F407" i="3"/>
  <c r="G407" i="3"/>
  <c r="H407" i="3"/>
  <c r="J407" i="3"/>
  <c r="K407" i="3"/>
  <c r="D408" i="3"/>
  <c r="E408" i="3"/>
  <c r="F408" i="3"/>
  <c r="G408" i="3"/>
  <c r="H408" i="3"/>
  <c r="J408" i="3"/>
  <c r="K408" i="3"/>
  <c r="D409" i="3"/>
  <c r="E409" i="3"/>
  <c r="F409" i="3"/>
  <c r="G409" i="3"/>
  <c r="H409" i="3"/>
  <c r="J409" i="3"/>
  <c r="K409" i="3"/>
  <c r="D410" i="3"/>
  <c r="E410" i="3"/>
  <c r="F410" i="3"/>
  <c r="G410" i="3"/>
  <c r="H410" i="3"/>
  <c r="J410" i="3"/>
  <c r="K410" i="3"/>
  <c r="D411" i="3"/>
  <c r="E411" i="3"/>
  <c r="F411" i="3"/>
  <c r="G411" i="3"/>
  <c r="H411" i="3"/>
  <c r="J411" i="3"/>
  <c r="K411" i="3"/>
  <c r="D412" i="3"/>
  <c r="E412" i="3"/>
  <c r="F412" i="3"/>
  <c r="G412" i="3"/>
  <c r="H412" i="3"/>
  <c r="J412" i="3"/>
  <c r="K412" i="3"/>
  <c r="D413" i="3"/>
  <c r="E413" i="3"/>
  <c r="F413" i="3"/>
  <c r="G413" i="3"/>
  <c r="H413" i="3"/>
  <c r="J413" i="3"/>
  <c r="K413" i="3"/>
  <c r="D414" i="3"/>
  <c r="E414" i="3"/>
  <c r="F414" i="3"/>
  <c r="G414" i="3"/>
  <c r="H414" i="3"/>
  <c r="J414" i="3"/>
  <c r="K414" i="3"/>
  <c r="D415" i="3"/>
  <c r="E415" i="3"/>
  <c r="F415" i="3"/>
  <c r="G415" i="3"/>
  <c r="H415" i="3"/>
  <c r="J415" i="3"/>
  <c r="K415" i="3"/>
  <c r="D416" i="3"/>
  <c r="E416" i="3"/>
  <c r="F416" i="3"/>
  <c r="G416" i="3"/>
  <c r="H416" i="3"/>
  <c r="J416" i="3"/>
  <c r="K416" i="3"/>
  <c r="D417" i="3"/>
  <c r="E417" i="3"/>
  <c r="F417" i="3"/>
  <c r="G417" i="3"/>
  <c r="H417" i="3"/>
  <c r="J417" i="3"/>
  <c r="K417" i="3"/>
  <c r="D418" i="3"/>
  <c r="E418" i="3"/>
  <c r="F418" i="3"/>
  <c r="G418" i="3"/>
  <c r="H418" i="3"/>
  <c r="J418" i="3"/>
  <c r="K418" i="3"/>
  <c r="D419" i="3"/>
  <c r="E419" i="3"/>
  <c r="F419" i="3"/>
  <c r="G419" i="3"/>
  <c r="H419" i="3"/>
  <c r="J419" i="3"/>
  <c r="K419" i="3"/>
  <c r="D420" i="3"/>
  <c r="E420" i="3"/>
  <c r="F420" i="3"/>
  <c r="G420" i="3"/>
  <c r="H420" i="3"/>
  <c r="J420" i="3"/>
  <c r="K420" i="3"/>
  <c r="D421" i="3"/>
  <c r="E421" i="3"/>
  <c r="F421" i="3"/>
  <c r="G421" i="3"/>
  <c r="H421" i="3"/>
  <c r="J421" i="3"/>
  <c r="K421" i="3"/>
  <c r="D422" i="3"/>
  <c r="E422" i="3"/>
  <c r="F422" i="3"/>
  <c r="G422" i="3"/>
  <c r="H422" i="3"/>
  <c r="J422" i="3"/>
  <c r="K422" i="3"/>
  <c r="D423" i="3"/>
  <c r="E423" i="3"/>
  <c r="F423" i="3"/>
  <c r="G423" i="3"/>
  <c r="H423" i="3"/>
  <c r="J423" i="3"/>
  <c r="K423" i="3"/>
  <c r="D424" i="3"/>
  <c r="E424" i="3"/>
  <c r="F424" i="3"/>
  <c r="G424" i="3"/>
  <c r="H424" i="3"/>
  <c r="J424" i="3"/>
  <c r="K424" i="3"/>
  <c r="D425" i="3"/>
  <c r="E425" i="3"/>
  <c r="F425" i="3"/>
  <c r="G425" i="3"/>
  <c r="H425" i="3"/>
  <c r="J425" i="3"/>
  <c r="K425" i="3"/>
  <c r="D426" i="3"/>
  <c r="E426" i="3"/>
  <c r="F426" i="3"/>
  <c r="G426" i="3"/>
  <c r="H426" i="3"/>
  <c r="J426" i="3"/>
  <c r="K426" i="3"/>
  <c r="D427" i="3"/>
  <c r="E427" i="3"/>
  <c r="F427" i="3"/>
  <c r="G427" i="3"/>
  <c r="H427" i="3"/>
  <c r="J427" i="3"/>
  <c r="K427" i="3"/>
  <c r="D428" i="3"/>
  <c r="E428" i="3"/>
  <c r="F428" i="3"/>
  <c r="G428" i="3"/>
  <c r="H428" i="3"/>
  <c r="J428" i="3"/>
  <c r="K428" i="3"/>
  <c r="D429" i="3"/>
  <c r="E429" i="3"/>
  <c r="F429" i="3"/>
  <c r="G429" i="3"/>
  <c r="H429" i="3"/>
  <c r="J429" i="3"/>
  <c r="K429" i="3"/>
  <c r="D430" i="3"/>
  <c r="E430" i="3"/>
  <c r="F430" i="3"/>
  <c r="G430" i="3"/>
  <c r="H430" i="3"/>
  <c r="J430" i="3"/>
  <c r="K430" i="3"/>
  <c r="D431" i="3"/>
  <c r="E431" i="3"/>
  <c r="F431" i="3"/>
  <c r="G431" i="3"/>
  <c r="H431" i="3"/>
  <c r="J431" i="3"/>
  <c r="K431" i="3"/>
  <c r="D432" i="3"/>
  <c r="E432" i="3"/>
  <c r="F432" i="3"/>
  <c r="G432" i="3"/>
  <c r="H432" i="3"/>
  <c r="J432" i="3"/>
  <c r="K432" i="3"/>
  <c r="D433" i="3"/>
  <c r="E433" i="3"/>
  <c r="F433" i="3"/>
  <c r="G433" i="3"/>
  <c r="H433" i="3"/>
  <c r="J433" i="3"/>
  <c r="K433" i="3"/>
  <c r="D434" i="3"/>
  <c r="E434" i="3"/>
  <c r="F434" i="3"/>
  <c r="G434" i="3"/>
  <c r="H434" i="3"/>
  <c r="J434" i="3"/>
  <c r="K434" i="3"/>
  <c r="D435" i="3"/>
  <c r="E435" i="3"/>
  <c r="F435" i="3"/>
  <c r="G435" i="3"/>
  <c r="H435" i="3"/>
  <c r="J435" i="3"/>
  <c r="K435" i="3"/>
  <c r="D436" i="3"/>
  <c r="E436" i="3"/>
  <c r="F436" i="3"/>
  <c r="G436" i="3"/>
  <c r="H436" i="3"/>
  <c r="J436" i="3"/>
  <c r="K436" i="3"/>
  <c r="D437" i="3"/>
  <c r="E437" i="3"/>
  <c r="F437" i="3"/>
  <c r="G437" i="3"/>
  <c r="H437" i="3"/>
  <c r="J437" i="3"/>
  <c r="K437" i="3"/>
  <c r="D438" i="3"/>
  <c r="E438" i="3"/>
  <c r="F438" i="3"/>
  <c r="G438" i="3"/>
  <c r="H438" i="3"/>
  <c r="J438" i="3"/>
  <c r="K438" i="3"/>
  <c r="D439" i="3"/>
  <c r="E439" i="3"/>
  <c r="F439" i="3"/>
  <c r="G439" i="3"/>
  <c r="H439" i="3"/>
  <c r="J439" i="3"/>
  <c r="K439" i="3"/>
  <c r="D440" i="3"/>
  <c r="E440" i="3"/>
  <c r="F440" i="3"/>
  <c r="G440" i="3"/>
  <c r="H440" i="3"/>
  <c r="J440" i="3"/>
  <c r="K440" i="3"/>
  <c r="D441" i="3"/>
  <c r="E441" i="3"/>
  <c r="F441" i="3"/>
  <c r="G441" i="3"/>
  <c r="H441" i="3"/>
  <c r="J441" i="3"/>
  <c r="K441" i="3"/>
  <c r="D442" i="3"/>
  <c r="E442" i="3"/>
  <c r="F442" i="3"/>
  <c r="G442" i="3"/>
  <c r="H442" i="3"/>
  <c r="J442" i="3"/>
  <c r="K442" i="3"/>
  <c r="D443" i="3"/>
  <c r="E443" i="3"/>
  <c r="F443" i="3"/>
  <c r="G443" i="3"/>
  <c r="H443" i="3"/>
  <c r="J443" i="3"/>
  <c r="K443" i="3"/>
  <c r="D444" i="3"/>
  <c r="E444" i="3"/>
  <c r="F444" i="3"/>
  <c r="G444" i="3"/>
  <c r="H444" i="3"/>
  <c r="J444" i="3"/>
  <c r="K444" i="3"/>
  <c r="D445" i="3"/>
  <c r="E445" i="3"/>
  <c r="F445" i="3"/>
  <c r="G445" i="3"/>
  <c r="H445" i="3"/>
  <c r="J445" i="3"/>
  <c r="K445" i="3"/>
  <c r="D446" i="3"/>
  <c r="E446" i="3"/>
  <c r="F446" i="3"/>
  <c r="G446" i="3"/>
  <c r="H446" i="3"/>
  <c r="J446" i="3"/>
  <c r="K446" i="3"/>
  <c r="D447" i="3"/>
  <c r="E447" i="3"/>
  <c r="F447" i="3"/>
  <c r="G447" i="3"/>
  <c r="H447" i="3"/>
  <c r="J447" i="3"/>
  <c r="K447" i="3"/>
  <c r="D448" i="3"/>
  <c r="E448" i="3"/>
  <c r="F448" i="3"/>
  <c r="G448" i="3"/>
  <c r="H448" i="3"/>
  <c r="J448" i="3"/>
  <c r="K448" i="3"/>
  <c r="D449" i="3"/>
  <c r="E449" i="3"/>
  <c r="F449" i="3"/>
  <c r="G449" i="3"/>
  <c r="H449" i="3"/>
  <c r="J449" i="3"/>
  <c r="K449" i="3"/>
  <c r="D450" i="3"/>
  <c r="E450" i="3"/>
  <c r="F450" i="3"/>
  <c r="G450" i="3"/>
  <c r="H450" i="3"/>
  <c r="J450" i="3"/>
  <c r="K450" i="3"/>
  <c r="D451" i="3"/>
  <c r="E451" i="3"/>
  <c r="F451" i="3"/>
  <c r="G451" i="3"/>
  <c r="H451" i="3"/>
  <c r="J451" i="3"/>
  <c r="K451" i="3"/>
  <c r="D452" i="3"/>
  <c r="E452" i="3"/>
  <c r="F452" i="3"/>
  <c r="G452" i="3"/>
  <c r="H452" i="3"/>
  <c r="J452" i="3"/>
  <c r="K452" i="3"/>
  <c r="D453" i="3"/>
  <c r="E453" i="3"/>
  <c r="F453" i="3"/>
  <c r="G453" i="3"/>
  <c r="H453" i="3"/>
  <c r="J453" i="3"/>
  <c r="K453" i="3"/>
  <c r="D454" i="3"/>
  <c r="E454" i="3"/>
  <c r="F454" i="3"/>
  <c r="G454" i="3"/>
  <c r="H454" i="3"/>
  <c r="J454" i="3"/>
  <c r="K454" i="3"/>
  <c r="D455" i="3"/>
  <c r="E455" i="3"/>
  <c r="F455" i="3"/>
  <c r="G455" i="3"/>
  <c r="H455" i="3"/>
  <c r="J455" i="3"/>
  <c r="K455" i="3"/>
  <c r="D456" i="3"/>
  <c r="E456" i="3"/>
  <c r="F456" i="3"/>
  <c r="G456" i="3"/>
  <c r="H456" i="3"/>
  <c r="J456" i="3"/>
  <c r="K456" i="3"/>
  <c r="D457" i="3"/>
  <c r="E457" i="3"/>
  <c r="F457" i="3"/>
  <c r="G457" i="3"/>
  <c r="H457" i="3"/>
  <c r="J457" i="3"/>
  <c r="K457" i="3"/>
  <c r="D458" i="3"/>
  <c r="E458" i="3"/>
  <c r="F458" i="3"/>
  <c r="G458" i="3"/>
  <c r="H458" i="3"/>
  <c r="J458" i="3"/>
  <c r="K458" i="3"/>
  <c r="D459" i="3"/>
  <c r="E459" i="3"/>
  <c r="F459" i="3"/>
  <c r="G459" i="3"/>
  <c r="H459" i="3"/>
  <c r="J459" i="3"/>
  <c r="K459" i="3"/>
  <c r="D460" i="3"/>
  <c r="E460" i="3"/>
  <c r="F460" i="3"/>
  <c r="G460" i="3"/>
  <c r="H460" i="3"/>
  <c r="J460" i="3"/>
  <c r="K460" i="3"/>
  <c r="D461" i="3"/>
  <c r="E461" i="3"/>
  <c r="F461" i="3"/>
  <c r="G461" i="3"/>
  <c r="H461" i="3"/>
  <c r="J461" i="3"/>
  <c r="K461" i="3"/>
  <c r="D462" i="3"/>
  <c r="E462" i="3"/>
  <c r="F462" i="3"/>
  <c r="G462" i="3"/>
  <c r="H462" i="3"/>
  <c r="J462" i="3"/>
  <c r="K462" i="3"/>
  <c r="D463" i="3"/>
  <c r="E463" i="3"/>
  <c r="F463" i="3"/>
  <c r="G463" i="3"/>
  <c r="H463" i="3"/>
  <c r="J463" i="3"/>
  <c r="K463" i="3"/>
  <c r="D464" i="3"/>
  <c r="E464" i="3"/>
  <c r="F464" i="3"/>
  <c r="G464" i="3"/>
  <c r="H464" i="3"/>
  <c r="J464" i="3"/>
  <c r="K464" i="3"/>
  <c r="D465" i="3"/>
  <c r="E465" i="3"/>
  <c r="F465" i="3"/>
  <c r="G465" i="3"/>
  <c r="H465" i="3"/>
  <c r="J465" i="3"/>
  <c r="K465" i="3"/>
  <c r="D466" i="3"/>
  <c r="E466" i="3"/>
  <c r="F466" i="3"/>
  <c r="G466" i="3"/>
  <c r="H466" i="3"/>
  <c r="J466" i="3"/>
  <c r="K466" i="3"/>
  <c r="D467" i="3"/>
  <c r="E467" i="3"/>
  <c r="F467" i="3"/>
  <c r="G467" i="3"/>
  <c r="H467" i="3"/>
  <c r="J467" i="3"/>
  <c r="K467" i="3"/>
  <c r="D468" i="3"/>
  <c r="E468" i="3"/>
  <c r="F468" i="3"/>
  <c r="G468" i="3"/>
  <c r="H468" i="3"/>
  <c r="J468" i="3"/>
  <c r="K468" i="3"/>
  <c r="D469" i="3"/>
  <c r="E469" i="3"/>
  <c r="F469" i="3"/>
  <c r="G469" i="3"/>
  <c r="H469" i="3"/>
  <c r="J469" i="3"/>
  <c r="K469" i="3"/>
  <c r="D470" i="3"/>
  <c r="E470" i="3"/>
  <c r="F470" i="3"/>
  <c r="G470" i="3"/>
  <c r="H470" i="3"/>
  <c r="J470" i="3"/>
  <c r="K470" i="3"/>
  <c r="D471" i="3"/>
  <c r="E471" i="3"/>
  <c r="F471" i="3"/>
  <c r="G471" i="3"/>
  <c r="H471" i="3"/>
  <c r="J471" i="3"/>
  <c r="K471" i="3"/>
  <c r="D472" i="3"/>
  <c r="E472" i="3"/>
  <c r="F472" i="3"/>
  <c r="G472" i="3"/>
  <c r="H472" i="3"/>
  <c r="J472" i="3"/>
  <c r="K472" i="3"/>
  <c r="D473" i="3"/>
  <c r="E473" i="3"/>
  <c r="F473" i="3"/>
  <c r="G473" i="3"/>
  <c r="H473" i="3"/>
  <c r="J473" i="3"/>
  <c r="K473" i="3"/>
  <c r="D474" i="3"/>
  <c r="E474" i="3"/>
  <c r="F474" i="3"/>
  <c r="G474" i="3"/>
  <c r="H474" i="3"/>
  <c r="J474" i="3"/>
  <c r="K474" i="3"/>
  <c r="D475" i="3"/>
  <c r="E475" i="3"/>
  <c r="F475" i="3"/>
  <c r="G475" i="3"/>
  <c r="H475" i="3"/>
  <c r="J475" i="3"/>
  <c r="K475" i="3"/>
  <c r="D476" i="3"/>
  <c r="E476" i="3"/>
  <c r="F476" i="3"/>
  <c r="G476" i="3"/>
  <c r="H476" i="3"/>
  <c r="J476" i="3"/>
  <c r="K476" i="3"/>
  <c r="D477" i="3"/>
  <c r="E477" i="3"/>
  <c r="F477" i="3"/>
  <c r="G477" i="3"/>
  <c r="H477" i="3"/>
  <c r="J477" i="3"/>
  <c r="K477" i="3"/>
  <c r="D478" i="3"/>
  <c r="E478" i="3"/>
  <c r="F478" i="3"/>
  <c r="G478" i="3"/>
  <c r="H478" i="3"/>
  <c r="J478" i="3"/>
  <c r="K478" i="3"/>
  <c r="D479" i="3"/>
  <c r="E479" i="3"/>
  <c r="F479" i="3"/>
  <c r="G479" i="3"/>
  <c r="H479" i="3"/>
  <c r="J479" i="3"/>
  <c r="K479" i="3"/>
  <c r="D480" i="3"/>
  <c r="E480" i="3"/>
  <c r="F480" i="3"/>
  <c r="G480" i="3"/>
  <c r="H480" i="3"/>
  <c r="J480" i="3"/>
  <c r="K480" i="3"/>
  <c r="D481" i="3"/>
  <c r="E481" i="3"/>
  <c r="F481" i="3"/>
  <c r="G481" i="3"/>
  <c r="H481" i="3"/>
  <c r="J481" i="3"/>
  <c r="K481" i="3"/>
  <c r="D482" i="3"/>
  <c r="E482" i="3"/>
  <c r="F482" i="3"/>
  <c r="G482" i="3"/>
  <c r="H482" i="3"/>
  <c r="J482" i="3"/>
  <c r="K482" i="3"/>
  <c r="D483" i="3"/>
  <c r="E483" i="3"/>
  <c r="F483" i="3"/>
  <c r="G483" i="3"/>
  <c r="H483" i="3"/>
  <c r="J483" i="3"/>
  <c r="K483" i="3"/>
  <c r="D484" i="3"/>
  <c r="E484" i="3"/>
  <c r="F484" i="3"/>
  <c r="G484" i="3"/>
  <c r="H484" i="3"/>
  <c r="J484" i="3"/>
  <c r="K484" i="3"/>
  <c r="D485" i="3"/>
  <c r="E485" i="3"/>
  <c r="F485" i="3"/>
  <c r="G485" i="3"/>
  <c r="H485" i="3"/>
  <c r="J485" i="3"/>
  <c r="K485" i="3"/>
  <c r="D486" i="3"/>
  <c r="E486" i="3"/>
  <c r="F486" i="3"/>
  <c r="G486" i="3"/>
  <c r="H486" i="3"/>
  <c r="J486" i="3"/>
  <c r="K486" i="3"/>
  <c r="D487" i="3"/>
  <c r="E487" i="3"/>
  <c r="F487" i="3"/>
  <c r="G487" i="3"/>
  <c r="H487" i="3"/>
  <c r="J487" i="3"/>
  <c r="K487" i="3"/>
  <c r="D488" i="3"/>
  <c r="E488" i="3"/>
  <c r="F488" i="3"/>
  <c r="G488" i="3"/>
  <c r="H488" i="3"/>
  <c r="J488" i="3"/>
  <c r="K488" i="3"/>
  <c r="D489" i="3"/>
  <c r="E489" i="3"/>
  <c r="F489" i="3"/>
  <c r="G489" i="3"/>
  <c r="H489" i="3"/>
  <c r="J489" i="3"/>
  <c r="K489" i="3"/>
  <c r="D490" i="3"/>
  <c r="E490" i="3"/>
  <c r="F490" i="3"/>
  <c r="G490" i="3"/>
  <c r="H490" i="3"/>
  <c r="J490" i="3"/>
  <c r="K490" i="3"/>
  <c r="D491" i="3"/>
  <c r="E491" i="3"/>
  <c r="F491" i="3"/>
  <c r="G491" i="3"/>
  <c r="H491" i="3"/>
  <c r="J491" i="3"/>
  <c r="K491" i="3"/>
  <c r="D492" i="3"/>
  <c r="E492" i="3"/>
  <c r="F492" i="3"/>
  <c r="G492" i="3"/>
  <c r="H492" i="3"/>
  <c r="J492" i="3"/>
  <c r="K492" i="3"/>
  <c r="D493" i="3"/>
  <c r="E493" i="3"/>
  <c r="F493" i="3"/>
  <c r="G493" i="3"/>
  <c r="H493" i="3"/>
  <c r="J493" i="3"/>
  <c r="K493" i="3"/>
  <c r="D494" i="3"/>
  <c r="E494" i="3"/>
  <c r="F494" i="3"/>
  <c r="G494" i="3"/>
  <c r="H494" i="3"/>
  <c r="J494" i="3"/>
  <c r="K494" i="3"/>
  <c r="D495" i="3"/>
  <c r="E495" i="3"/>
  <c r="F495" i="3"/>
  <c r="G495" i="3"/>
  <c r="H495" i="3"/>
  <c r="J495" i="3"/>
  <c r="K495" i="3"/>
  <c r="D496" i="3"/>
  <c r="E496" i="3"/>
  <c r="F496" i="3"/>
  <c r="G496" i="3"/>
  <c r="H496" i="3"/>
  <c r="J496" i="3"/>
  <c r="K496" i="3"/>
  <c r="D497" i="3"/>
  <c r="E497" i="3"/>
  <c r="F497" i="3"/>
  <c r="G497" i="3"/>
  <c r="H497" i="3"/>
  <c r="J497" i="3"/>
  <c r="K497" i="3"/>
  <c r="D498" i="3"/>
  <c r="E498" i="3"/>
  <c r="F498" i="3"/>
  <c r="G498" i="3"/>
  <c r="H498" i="3"/>
  <c r="J498" i="3"/>
  <c r="K498" i="3"/>
  <c r="D499" i="3"/>
  <c r="E499" i="3"/>
  <c r="F499" i="3"/>
  <c r="G499" i="3"/>
  <c r="H499" i="3"/>
  <c r="J499" i="3"/>
  <c r="K499" i="3"/>
  <c r="D500" i="3"/>
  <c r="E500" i="3"/>
  <c r="F500" i="3"/>
  <c r="G500" i="3"/>
  <c r="H500" i="3"/>
  <c r="J500" i="3"/>
  <c r="K500" i="3"/>
  <c r="D501" i="3"/>
  <c r="E501" i="3"/>
  <c r="F501" i="3"/>
  <c r="G501" i="3"/>
  <c r="H501" i="3"/>
  <c r="J501" i="3"/>
  <c r="K501" i="3"/>
  <c r="D502" i="3"/>
  <c r="E502" i="3"/>
  <c r="F502" i="3"/>
  <c r="G502" i="3"/>
  <c r="H502" i="3"/>
  <c r="J502" i="3"/>
  <c r="K502" i="3"/>
  <c r="D503" i="3"/>
  <c r="E503" i="3"/>
  <c r="F503" i="3"/>
  <c r="G503" i="3"/>
  <c r="H503" i="3"/>
  <c r="J503" i="3"/>
  <c r="K503" i="3"/>
  <c r="D504" i="3"/>
  <c r="E504" i="3"/>
  <c r="F504" i="3"/>
  <c r="G504" i="3"/>
  <c r="H504" i="3"/>
  <c r="J504" i="3"/>
  <c r="K504" i="3"/>
  <c r="D505" i="3"/>
  <c r="E505" i="3"/>
  <c r="F505" i="3"/>
  <c r="G505" i="3"/>
  <c r="H505" i="3"/>
  <c r="J505" i="3"/>
  <c r="K505" i="3"/>
  <c r="D506" i="3"/>
  <c r="E506" i="3"/>
  <c r="F506" i="3"/>
  <c r="G506" i="3"/>
  <c r="H506" i="3"/>
  <c r="J506" i="3"/>
  <c r="K506" i="3"/>
  <c r="D507" i="3"/>
  <c r="E507" i="3"/>
  <c r="F507" i="3"/>
  <c r="G507" i="3"/>
  <c r="H507" i="3"/>
  <c r="J507" i="3"/>
  <c r="K507" i="3"/>
  <c r="D508" i="3"/>
  <c r="E508" i="3"/>
  <c r="F508" i="3"/>
  <c r="G508" i="3"/>
  <c r="H508" i="3"/>
  <c r="J508" i="3"/>
  <c r="K508" i="3"/>
  <c r="D509" i="3"/>
  <c r="E509" i="3"/>
  <c r="F509" i="3"/>
  <c r="G509" i="3"/>
  <c r="H509" i="3"/>
  <c r="J509" i="3"/>
  <c r="K509" i="3"/>
  <c r="D510" i="3"/>
  <c r="E510" i="3"/>
  <c r="F510" i="3"/>
  <c r="G510" i="3"/>
  <c r="H510" i="3"/>
  <c r="J510" i="3"/>
  <c r="K510" i="3"/>
  <c r="D511" i="3"/>
  <c r="E511" i="3"/>
  <c r="F511" i="3"/>
  <c r="G511" i="3"/>
  <c r="H511" i="3"/>
  <c r="J511" i="3"/>
  <c r="K511" i="3"/>
  <c r="D512" i="3"/>
  <c r="E512" i="3"/>
  <c r="F512" i="3"/>
  <c r="G512" i="3"/>
  <c r="H512" i="3"/>
  <c r="J512" i="3"/>
  <c r="K512" i="3"/>
  <c r="D513" i="3"/>
  <c r="E513" i="3"/>
  <c r="F513" i="3"/>
  <c r="G513" i="3"/>
  <c r="H513" i="3"/>
  <c r="J513" i="3"/>
  <c r="K513" i="3"/>
  <c r="D514" i="3"/>
  <c r="E514" i="3"/>
  <c r="F514" i="3"/>
  <c r="G514" i="3"/>
  <c r="H514" i="3"/>
  <c r="J514" i="3"/>
  <c r="K514" i="3"/>
  <c r="D515" i="3"/>
  <c r="E515" i="3"/>
  <c r="F515" i="3"/>
  <c r="G515" i="3"/>
  <c r="H515" i="3"/>
  <c r="J515" i="3"/>
  <c r="K515" i="3"/>
  <c r="D516" i="3"/>
  <c r="E516" i="3"/>
  <c r="F516" i="3"/>
  <c r="G516" i="3"/>
  <c r="H516" i="3"/>
  <c r="J516" i="3"/>
  <c r="K516" i="3"/>
  <c r="D517" i="3"/>
  <c r="E517" i="3"/>
  <c r="F517" i="3"/>
  <c r="G517" i="3"/>
  <c r="H517" i="3"/>
  <c r="J517" i="3"/>
  <c r="K517" i="3"/>
  <c r="D518" i="3"/>
  <c r="E518" i="3"/>
  <c r="F518" i="3"/>
  <c r="G518" i="3"/>
  <c r="H518" i="3"/>
  <c r="J518" i="3"/>
  <c r="K518" i="3"/>
  <c r="D519" i="3"/>
  <c r="E519" i="3"/>
  <c r="F519" i="3"/>
  <c r="G519" i="3"/>
  <c r="H519" i="3"/>
  <c r="J519" i="3"/>
  <c r="K519" i="3"/>
  <c r="D520" i="3"/>
  <c r="E520" i="3"/>
  <c r="F520" i="3"/>
  <c r="G520" i="3"/>
  <c r="H520" i="3"/>
  <c r="J520" i="3"/>
  <c r="K520" i="3"/>
  <c r="D521" i="3"/>
  <c r="E521" i="3"/>
  <c r="F521" i="3"/>
  <c r="G521" i="3"/>
  <c r="H521" i="3"/>
  <c r="J521" i="3"/>
  <c r="K521" i="3"/>
  <c r="D522" i="3"/>
  <c r="E522" i="3"/>
  <c r="F522" i="3"/>
  <c r="G522" i="3"/>
  <c r="H522" i="3"/>
  <c r="J522" i="3"/>
  <c r="K522" i="3"/>
  <c r="D523" i="3"/>
  <c r="E523" i="3"/>
  <c r="F523" i="3"/>
  <c r="G523" i="3"/>
  <c r="H523" i="3"/>
  <c r="J523" i="3"/>
  <c r="K523" i="3"/>
  <c r="D524" i="3"/>
  <c r="E524" i="3"/>
  <c r="F524" i="3"/>
  <c r="G524" i="3"/>
  <c r="H524" i="3"/>
  <c r="J524" i="3"/>
  <c r="K524" i="3"/>
  <c r="D525" i="3"/>
  <c r="E525" i="3"/>
  <c r="F525" i="3"/>
  <c r="G525" i="3"/>
  <c r="H525" i="3"/>
  <c r="J525" i="3"/>
  <c r="K525" i="3"/>
  <c r="D526" i="3"/>
  <c r="E526" i="3"/>
  <c r="F526" i="3"/>
  <c r="G526" i="3"/>
  <c r="H526" i="3"/>
  <c r="J526" i="3"/>
  <c r="K526" i="3"/>
  <c r="D527" i="3"/>
  <c r="E527" i="3"/>
  <c r="F527" i="3"/>
  <c r="G527" i="3"/>
  <c r="H527" i="3"/>
  <c r="J527" i="3"/>
  <c r="K527" i="3"/>
  <c r="D528" i="3"/>
  <c r="E528" i="3"/>
  <c r="F528" i="3"/>
  <c r="G528" i="3"/>
  <c r="H528" i="3"/>
  <c r="J528" i="3"/>
  <c r="K528" i="3"/>
  <c r="D529" i="3"/>
  <c r="E529" i="3"/>
  <c r="F529" i="3"/>
  <c r="G529" i="3"/>
  <c r="H529" i="3"/>
  <c r="J529" i="3"/>
  <c r="K529" i="3"/>
  <c r="D530" i="3"/>
  <c r="E530" i="3"/>
  <c r="F530" i="3"/>
  <c r="G530" i="3"/>
  <c r="H530" i="3"/>
  <c r="J530" i="3"/>
  <c r="K530" i="3"/>
  <c r="D531" i="3"/>
  <c r="E531" i="3"/>
  <c r="F531" i="3"/>
  <c r="G531" i="3"/>
  <c r="H531" i="3"/>
  <c r="J531" i="3"/>
  <c r="K531" i="3"/>
  <c r="D532" i="3"/>
  <c r="E532" i="3"/>
  <c r="F532" i="3"/>
  <c r="G532" i="3"/>
  <c r="H532" i="3"/>
  <c r="J532" i="3"/>
  <c r="K532" i="3"/>
  <c r="D533" i="3"/>
  <c r="E533" i="3"/>
  <c r="F533" i="3"/>
  <c r="G533" i="3"/>
  <c r="H533" i="3"/>
  <c r="J533" i="3"/>
  <c r="K533" i="3"/>
  <c r="D534" i="3"/>
  <c r="E534" i="3"/>
  <c r="F534" i="3"/>
  <c r="G534" i="3"/>
  <c r="H534" i="3"/>
  <c r="J534" i="3"/>
  <c r="K534" i="3"/>
  <c r="D535" i="3"/>
  <c r="E535" i="3"/>
  <c r="F535" i="3"/>
  <c r="G535" i="3"/>
  <c r="H535" i="3"/>
  <c r="J535" i="3"/>
  <c r="K535" i="3"/>
  <c r="D536" i="3"/>
  <c r="E536" i="3"/>
  <c r="F536" i="3"/>
  <c r="G536" i="3"/>
  <c r="H536" i="3"/>
  <c r="J536" i="3"/>
  <c r="K536" i="3"/>
  <c r="D537" i="3"/>
  <c r="E537" i="3"/>
  <c r="F537" i="3"/>
  <c r="G537" i="3"/>
  <c r="H537" i="3"/>
  <c r="J537" i="3"/>
  <c r="K537" i="3"/>
  <c r="D538" i="3"/>
  <c r="E538" i="3"/>
  <c r="F538" i="3"/>
  <c r="G538" i="3"/>
  <c r="H538" i="3"/>
  <c r="J538" i="3"/>
  <c r="K538" i="3"/>
  <c r="D539" i="3"/>
  <c r="E539" i="3"/>
  <c r="F539" i="3"/>
  <c r="G539" i="3"/>
  <c r="H539" i="3"/>
  <c r="J539" i="3"/>
  <c r="K539" i="3"/>
  <c r="D540" i="3"/>
  <c r="E540" i="3"/>
  <c r="F540" i="3"/>
  <c r="G540" i="3"/>
  <c r="H540" i="3"/>
  <c r="J540" i="3"/>
  <c r="K540" i="3"/>
  <c r="D541" i="3"/>
  <c r="E541" i="3"/>
  <c r="F541" i="3"/>
  <c r="G541" i="3"/>
  <c r="H541" i="3"/>
  <c r="J541" i="3"/>
  <c r="K541" i="3"/>
  <c r="D542" i="3"/>
  <c r="E542" i="3"/>
  <c r="F542" i="3"/>
  <c r="G542" i="3"/>
  <c r="H542" i="3"/>
  <c r="J542" i="3"/>
  <c r="K542" i="3"/>
  <c r="D543" i="3"/>
  <c r="E543" i="3"/>
  <c r="F543" i="3"/>
  <c r="G543" i="3"/>
  <c r="H543" i="3"/>
  <c r="J543" i="3"/>
  <c r="K543" i="3"/>
  <c r="D544" i="3"/>
  <c r="E544" i="3"/>
  <c r="F544" i="3"/>
  <c r="G544" i="3"/>
  <c r="H544" i="3"/>
  <c r="J544" i="3"/>
  <c r="K544" i="3"/>
  <c r="D545" i="3"/>
  <c r="E545" i="3"/>
  <c r="F545" i="3"/>
  <c r="G545" i="3"/>
  <c r="H545" i="3"/>
  <c r="J545" i="3"/>
  <c r="K545" i="3"/>
  <c r="D546" i="3"/>
  <c r="E546" i="3"/>
  <c r="F546" i="3"/>
  <c r="G546" i="3"/>
  <c r="H546" i="3"/>
  <c r="J546" i="3"/>
  <c r="K546" i="3"/>
  <c r="D547" i="3"/>
  <c r="E547" i="3"/>
  <c r="F547" i="3"/>
  <c r="G547" i="3"/>
  <c r="H547" i="3"/>
  <c r="J547" i="3"/>
  <c r="K547" i="3"/>
  <c r="D548" i="3"/>
  <c r="E548" i="3"/>
  <c r="F548" i="3"/>
  <c r="G548" i="3"/>
  <c r="H548" i="3"/>
  <c r="J548" i="3"/>
  <c r="K548" i="3"/>
  <c r="D549" i="3"/>
  <c r="E549" i="3"/>
  <c r="F549" i="3"/>
  <c r="G549" i="3"/>
  <c r="H549" i="3"/>
  <c r="J549" i="3"/>
  <c r="K549" i="3"/>
  <c r="D550" i="3"/>
  <c r="E550" i="3"/>
  <c r="F550" i="3"/>
  <c r="G550" i="3"/>
  <c r="H550" i="3"/>
  <c r="J550" i="3"/>
  <c r="K550" i="3"/>
  <c r="D551" i="3"/>
  <c r="E551" i="3"/>
  <c r="F551" i="3"/>
  <c r="G551" i="3"/>
  <c r="H551" i="3"/>
  <c r="J551" i="3"/>
  <c r="K551" i="3"/>
  <c r="D552" i="3"/>
  <c r="E552" i="3"/>
  <c r="F552" i="3"/>
  <c r="G552" i="3"/>
  <c r="H552" i="3"/>
  <c r="J552" i="3"/>
  <c r="K552" i="3"/>
  <c r="D553" i="3"/>
  <c r="E553" i="3"/>
  <c r="F553" i="3"/>
  <c r="G553" i="3"/>
  <c r="H553" i="3"/>
  <c r="J553" i="3"/>
  <c r="K553" i="3"/>
  <c r="D554" i="3"/>
  <c r="E554" i="3"/>
  <c r="F554" i="3"/>
  <c r="G554" i="3"/>
  <c r="H554" i="3"/>
  <c r="J554" i="3"/>
  <c r="K554" i="3"/>
  <c r="D555" i="3"/>
  <c r="E555" i="3"/>
  <c r="F555" i="3"/>
  <c r="G555" i="3"/>
  <c r="H555" i="3"/>
  <c r="J555" i="3"/>
  <c r="K555" i="3"/>
  <c r="D556" i="3"/>
  <c r="E556" i="3"/>
  <c r="F556" i="3"/>
  <c r="G556" i="3"/>
  <c r="H556" i="3"/>
  <c r="J556" i="3"/>
  <c r="K556" i="3"/>
  <c r="D557" i="3"/>
  <c r="E557" i="3"/>
  <c r="F557" i="3"/>
  <c r="G557" i="3"/>
  <c r="H557" i="3"/>
  <c r="J557" i="3"/>
  <c r="K557" i="3"/>
  <c r="D558" i="3"/>
  <c r="E558" i="3"/>
  <c r="F558" i="3"/>
  <c r="G558" i="3"/>
  <c r="H558" i="3"/>
  <c r="J558" i="3"/>
  <c r="K558" i="3"/>
  <c r="D559" i="3"/>
  <c r="E559" i="3"/>
  <c r="F559" i="3"/>
  <c r="G559" i="3"/>
  <c r="H559" i="3"/>
  <c r="J559" i="3"/>
  <c r="K559" i="3"/>
  <c r="D560" i="3"/>
  <c r="E560" i="3"/>
  <c r="F560" i="3"/>
  <c r="G560" i="3"/>
  <c r="H560" i="3"/>
  <c r="J560" i="3"/>
  <c r="K560" i="3"/>
  <c r="D561" i="3"/>
  <c r="E561" i="3"/>
  <c r="F561" i="3"/>
  <c r="G561" i="3"/>
  <c r="H561" i="3"/>
  <c r="J561" i="3"/>
  <c r="K561" i="3"/>
  <c r="D562" i="3"/>
  <c r="E562" i="3"/>
  <c r="F562" i="3"/>
  <c r="G562" i="3"/>
  <c r="H562" i="3"/>
  <c r="J562" i="3"/>
  <c r="K562" i="3"/>
  <c r="D563" i="3"/>
  <c r="E563" i="3"/>
  <c r="F563" i="3"/>
  <c r="G563" i="3"/>
  <c r="H563" i="3"/>
  <c r="J563" i="3"/>
  <c r="K563" i="3"/>
  <c r="D564" i="3"/>
  <c r="E564" i="3"/>
  <c r="F564" i="3"/>
  <c r="G564" i="3"/>
  <c r="H564" i="3"/>
  <c r="J564" i="3"/>
  <c r="K564" i="3"/>
  <c r="D565" i="3"/>
  <c r="E565" i="3"/>
  <c r="F565" i="3"/>
  <c r="G565" i="3"/>
  <c r="H565" i="3"/>
  <c r="J565" i="3"/>
  <c r="K565" i="3"/>
  <c r="D566" i="3"/>
  <c r="E566" i="3"/>
  <c r="F566" i="3"/>
  <c r="G566" i="3"/>
  <c r="H566" i="3"/>
  <c r="J566" i="3"/>
  <c r="K566" i="3"/>
  <c r="D567" i="3"/>
  <c r="E567" i="3"/>
  <c r="F567" i="3"/>
  <c r="G567" i="3"/>
  <c r="H567" i="3"/>
  <c r="J567" i="3"/>
  <c r="K567" i="3"/>
  <c r="D568" i="3"/>
  <c r="E568" i="3"/>
  <c r="F568" i="3"/>
  <c r="G568" i="3"/>
  <c r="H568" i="3"/>
  <c r="J568" i="3"/>
  <c r="K568" i="3"/>
  <c r="D569" i="3"/>
  <c r="E569" i="3"/>
  <c r="F569" i="3"/>
  <c r="G569" i="3"/>
  <c r="H569" i="3"/>
  <c r="J569" i="3"/>
  <c r="K569" i="3"/>
  <c r="D570" i="3"/>
  <c r="E570" i="3"/>
  <c r="F570" i="3"/>
  <c r="G570" i="3"/>
  <c r="H570" i="3"/>
  <c r="J570" i="3"/>
  <c r="K570" i="3"/>
  <c r="D571" i="3"/>
  <c r="E571" i="3"/>
  <c r="F571" i="3"/>
  <c r="G571" i="3"/>
  <c r="H571" i="3"/>
  <c r="J571" i="3"/>
  <c r="K571" i="3"/>
  <c r="D572" i="3"/>
  <c r="E572" i="3"/>
  <c r="F572" i="3"/>
  <c r="G572" i="3"/>
  <c r="H572" i="3"/>
  <c r="J572" i="3"/>
  <c r="K572" i="3"/>
  <c r="D573" i="3"/>
  <c r="E573" i="3"/>
  <c r="F573" i="3"/>
  <c r="G573" i="3"/>
  <c r="H573" i="3"/>
  <c r="J573" i="3"/>
  <c r="K573" i="3"/>
  <c r="D574" i="3"/>
  <c r="E574" i="3"/>
  <c r="F574" i="3"/>
  <c r="G574" i="3"/>
  <c r="H574" i="3"/>
  <c r="J574" i="3"/>
  <c r="K574" i="3"/>
  <c r="D575" i="3"/>
  <c r="E575" i="3"/>
  <c r="F575" i="3"/>
  <c r="G575" i="3"/>
  <c r="H575" i="3"/>
  <c r="J575" i="3"/>
  <c r="K575" i="3"/>
  <c r="D576" i="3"/>
  <c r="E576" i="3"/>
  <c r="F576" i="3"/>
  <c r="G576" i="3"/>
  <c r="H576" i="3"/>
  <c r="J576" i="3"/>
  <c r="K576" i="3"/>
  <c r="D577" i="3"/>
  <c r="E577" i="3"/>
  <c r="F577" i="3"/>
  <c r="G577" i="3"/>
  <c r="H577" i="3"/>
  <c r="J577" i="3"/>
  <c r="K577" i="3"/>
  <c r="D578" i="3"/>
  <c r="E578" i="3"/>
  <c r="F578" i="3"/>
  <c r="G578" i="3"/>
  <c r="H578" i="3"/>
  <c r="J578" i="3"/>
  <c r="K578" i="3"/>
  <c r="D579" i="3"/>
  <c r="E579" i="3"/>
  <c r="F579" i="3"/>
  <c r="G579" i="3"/>
  <c r="H579" i="3"/>
  <c r="J579" i="3"/>
  <c r="K579" i="3"/>
  <c r="D580" i="3"/>
  <c r="E580" i="3"/>
  <c r="F580" i="3"/>
  <c r="G580" i="3"/>
  <c r="H580" i="3"/>
  <c r="J580" i="3"/>
  <c r="K580" i="3"/>
  <c r="D581" i="3"/>
  <c r="E581" i="3"/>
  <c r="F581" i="3"/>
  <c r="G581" i="3"/>
  <c r="H581" i="3"/>
  <c r="J581" i="3"/>
  <c r="K581" i="3"/>
  <c r="D582" i="3"/>
  <c r="E582" i="3"/>
  <c r="F582" i="3"/>
  <c r="G582" i="3"/>
  <c r="H582" i="3"/>
  <c r="J582" i="3"/>
  <c r="K582" i="3"/>
  <c r="D583" i="3"/>
  <c r="E583" i="3"/>
  <c r="F583" i="3"/>
  <c r="G583" i="3"/>
  <c r="H583" i="3"/>
  <c r="J583" i="3"/>
  <c r="K583" i="3"/>
  <c r="D584" i="3"/>
  <c r="E584" i="3"/>
  <c r="F584" i="3"/>
  <c r="G584" i="3"/>
  <c r="H584" i="3"/>
  <c r="J584" i="3"/>
  <c r="K584" i="3"/>
  <c r="D585" i="3"/>
  <c r="E585" i="3"/>
  <c r="F585" i="3"/>
  <c r="G585" i="3"/>
  <c r="H585" i="3"/>
  <c r="J585" i="3"/>
  <c r="K585" i="3"/>
  <c r="D586" i="3"/>
  <c r="E586" i="3"/>
  <c r="F586" i="3"/>
  <c r="G586" i="3"/>
  <c r="H586" i="3"/>
  <c r="J586" i="3"/>
  <c r="K586" i="3"/>
  <c r="D587" i="3"/>
  <c r="E587" i="3"/>
  <c r="F587" i="3"/>
  <c r="G587" i="3"/>
  <c r="H587" i="3"/>
  <c r="J587" i="3"/>
  <c r="K587" i="3"/>
  <c r="D588" i="3"/>
  <c r="E588" i="3"/>
  <c r="F588" i="3"/>
  <c r="G588" i="3"/>
  <c r="H588" i="3"/>
  <c r="J588" i="3"/>
  <c r="K588" i="3"/>
  <c r="D589" i="3"/>
  <c r="E589" i="3"/>
  <c r="F589" i="3"/>
  <c r="G589" i="3"/>
  <c r="H589" i="3"/>
  <c r="J589" i="3"/>
  <c r="K589" i="3"/>
  <c r="D590" i="3"/>
  <c r="E590" i="3"/>
  <c r="F590" i="3"/>
  <c r="G590" i="3"/>
  <c r="H590" i="3"/>
  <c r="J590" i="3"/>
  <c r="K590" i="3"/>
  <c r="D591" i="3"/>
  <c r="E591" i="3"/>
  <c r="F591" i="3"/>
  <c r="G591" i="3"/>
  <c r="H591" i="3"/>
  <c r="J591" i="3"/>
  <c r="K591" i="3"/>
  <c r="D592" i="3"/>
  <c r="E592" i="3"/>
  <c r="F592" i="3"/>
  <c r="G592" i="3"/>
  <c r="H592" i="3"/>
  <c r="J592" i="3"/>
  <c r="K592" i="3"/>
  <c r="D593" i="3"/>
  <c r="E593" i="3"/>
  <c r="F593" i="3"/>
  <c r="G593" i="3"/>
  <c r="H593" i="3"/>
  <c r="J593" i="3"/>
  <c r="K593" i="3"/>
  <c r="D594" i="3"/>
  <c r="E594" i="3"/>
  <c r="F594" i="3"/>
  <c r="G594" i="3"/>
  <c r="H594" i="3"/>
  <c r="J594" i="3"/>
  <c r="K594" i="3"/>
  <c r="D595" i="3"/>
  <c r="E595" i="3"/>
  <c r="F595" i="3"/>
  <c r="G595" i="3"/>
  <c r="H595" i="3"/>
  <c r="J595" i="3"/>
  <c r="K595" i="3"/>
  <c r="D596" i="3"/>
  <c r="E596" i="3"/>
  <c r="F596" i="3"/>
  <c r="G596" i="3"/>
  <c r="H596" i="3"/>
  <c r="J596" i="3"/>
  <c r="K596" i="3"/>
  <c r="D597" i="3"/>
  <c r="E597" i="3"/>
  <c r="F597" i="3"/>
  <c r="G597" i="3"/>
  <c r="H597" i="3"/>
  <c r="J597" i="3"/>
  <c r="K597" i="3"/>
  <c r="D598" i="3"/>
  <c r="E598" i="3"/>
  <c r="F598" i="3"/>
  <c r="G598" i="3"/>
  <c r="H598" i="3"/>
  <c r="J598" i="3"/>
  <c r="K598" i="3"/>
  <c r="D599" i="3"/>
  <c r="E599" i="3"/>
  <c r="F599" i="3"/>
  <c r="G599" i="3"/>
  <c r="H599" i="3"/>
  <c r="J599" i="3"/>
  <c r="K599" i="3"/>
  <c r="D600" i="3"/>
  <c r="E600" i="3"/>
  <c r="F600" i="3"/>
  <c r="G600" i="3"/>
  <c r="H600" i="3"/>
  <c r="J600" i="3"/>
  <c r="K600" i="3"/>
  <c r="D601" i="3"/>
  <c r="E601" i="3"/>
  <c r="F601" i="3"/>
  <c r="G601" i="3"/>
  <c r="H601" i="3"/>
  <c r="J601" i="3"/>
  <c r="K601" i="3"/>
  <c r="D602" i="3"/>
  <c r="E602" i="3"/>
  <c r="F602" i="3"/>
  <c r="G602" i="3"/>
  <c r="H602" i="3"/>
  <c r="J602" i="3"/>
  <c r="K602" i="3"/>
  <c r="D603" i="3"/>
  <c r="E603" i="3"/>
  <c r="F603" i="3"/>
  <c r="G603" i="3"/>
  <c r="H603" i="3"/>
  <c r="J603" i="3"/>
  <c r="K603" i="3"/>
  <c r="D604" i="3"/>
  <c r="E604" i="3"/>
  <c r="F604" i="3"/>
  <c r="G604" i="3"/>
  <c r="H604" i="3"/>
  <c r="J604" i="3"/>
  <c r="K604" i="3"/>
  <c r="D605" i="3"/>
  <c r="E605" i="3"/>
  <c r="F605" i="3"/>
  <c r="G605" i="3"/>
  <c r="H605" i="3"/>
  <c r="J605" i="3"/>
  <c r="K605" i="3"/>
  <c r="D606" i="3"/>
  <c r="E606" i="3"/>
  <c r="F606" i="3"/>
  <c r="G606" i="3"/>
  <c r="H606" i="3"/>
  <c r="J606" i="3"/>
  <c r="K606" i="3"/>
  <c r="D607" i="3"/>
  <c r="E607" i="3"/>
  <c r="F607" i="3"/>
  <c r="G607" i="3"/>
  <c r="H607" i="3"/>
  <c r="J607" i="3"/>
  <c r="K607" i="3"/>
  <c r="D608" i="3"/>
  <c r="E608" i="3"/>
  <c r="F608" i="3"/>
  <c r="G608" i="3"/>
  <c r="H608" i="3"/>
  <c r="J608" i="3"/>
  <c r="K608" i="3"/>
  <c r="D609" i="3"/>
  <c r="E609" i="3"/>
  <c r="F609" i="3"/>
  <c r="G609" i="3"/>
  <c r="H609" i="3"/>
  <c r="J609" i="3"/>
  <c r="K609" i="3"/>
  <c r="D610" i="3"/>
  <c r="E610" i="3"/>
  <c r="F610" i="3"/>
  <c r="G610" i="3"/>
  <c r="H610" i="3"/>
  <c r="J610" i="3"/>
  <c r="K610" i="3"/>
  <c r="D611" i="3"/>
  <c r="E611" i="3"/>
  <c r="F611" i="3"/>
  <c r="G611" i="3"/>
  <c r="H611" i="3"/>
  <c r="J611" i="3"/>
  <c r="K611" i="3"/>
  <c r="D612" i="3"/>
  <c r="E612" i="3"/>
  <c r="F612" i="3"/>
  <c r="G612" i="3"/>
  <c r="H612" i="3"/>
  <c r="J612" i="3"/>
  <c r="K612" i="3"/>
  <c r="D613" i="3"/>
  <c r="E613" i="3"/>
  <c r="F613" i="3"/>
  <c r="G613" i="3"/>
  <c r="H613" i="3"/>
  <c r="J613" i="3"/>
  <c r="K613" i="3"/>
  <c r="D614" i="3"/>
  <c r="E614" i="3"/>
  <c r="F614" i="3"/>
  <c r="G614" i="3"/>
  <c r="H614" i="3"/>
  <c r="J614" i="3"/>
  <c r="K614" i="3"/>
  <c r="D615" i="3"/>
  <c r="E615" i="3"/>
  <c r="F615" i="3"/>
  <c r="G615" i="3"/>
  <c r="H615" i="3"/>
  <c r="J615" i="3"/>
  <c r="K615" i="3"/>
  <c r="D616" i="3"/>
  <c r="E616" i="3"/>
  <c r="F616" i="3"/>
  <c r="G616" i="3"/>
  <c r="H616" i="3"/>
  <c r="J616" i="3"/>
  <c r="K616" i="3"/>
  <c r="D617" i="3"/>
  <c r="E617" i="3"/>
  <c r="F617" i="3"/>
  <c r="G617" i="3"/>
  <c r="H617" i="3"/>
  <c r="J617" i="3"/>
  <c r="K617" i="3"/>
  <c r="D618" i="3"/>
  <c r="E618" i="3"/>
  <c r="F618" i="3"/>
  <c r="G618" i="3"/>
  <c r="H618" i="3"/>
  <c r="J618" i="3"/>
  <c r="K618" i="3"/>
  <c r="D619" i="3"/>
  <c r="E619" i="3"/>
  <c r="F619" i="3"/>
  <c r="G619" i="3"/>
  <c r="H619" i="3"/>
  <c r="J619" i="3"/>
  <c r="K619" i="3"/>
  <c r="D620" i="3"/>
  <c r="E620" i="3"/>
  <c r="F620" i="3"/>
  <c r="G620" i="3"/>
  <c r="H620" i="3"/>
  <c r="J620" i="3"/>
  <c r="K620" i="3"/>
  <c r="D621" i="3"/>
  <c r="E621" i="3"/>
  <c r="F621" i="3"/>
  <c r="G621" i="3"/>
  <c r="H621" i="3"/>
  <c r="J621" i="3"/>
  <c r="K621" i="3"/>
  <c r="D622" i="3"/>
  <c r="E622" i="3"/>
  <c r="F622" i="3"/>
  <c r="G622" i="3"/>
  <c r="H622" i="3"/>
  <c r="J622" i="3"/>
  <c r="K622" i="3"/>
  <c r="D623" i="3"/>
  <c r="E623" i="3"/>
  <c r="F623" i="3"/>
  <c r="G623" i="3"/>
  <c r="H623" i="3"/>
  <c r="J623" i="3"/>
  <c r="K623" i="3"/>
  <c r="D624" i="3"/>
  <c r="E624" i="3"/>
  <c r="F624" i="3"/>
  <c r="G624" i="3"/>
  <c r="H624" i="3"/>
  <c r="J624" i="3"/>
  <c r="K624" i="3"/>
  <c r="D625" i="3"/>
  <c r="E625" i="3"/>
  <c r="F625" i="3"/>
  <c r="G625" i="3"/>
  <c r="H625" i="3"/>
  <c r="J625" i="3"/>
  <c r="K625" i="3"/>
  <c r="D626" i="3"/>
  <c r="E626" i="3"/>
  <c r="F626" i="3"/>
  <c r="G626" i="3"/>
  <c r="H626" i="3"/>
  <c r="J626" i="3"/>
  <c r="K626" i="3"/>
  <c r="D627" i="3"/>
  <c r="E627" i="3"/>
  <c r="F627" i="3"/>
  <c r="G627" i="3"/>
  <c r="H627" i="3"/>
  <c r="J627" i="3"/>
  <c r="K627" i="3"/>
  <c r="D628" i="3"/>
  <c r="E628" i="3"/>
  <c r="F628" i="3"/>
  <c r="G628" i="3"/>
  <c r="H628" i="3"/>
  <c r="J628" i="3"/>
  <c r="K628" i="3"/>
  <c r="D629" i="3"/>
  <c r="E629" i="3"/>
  <c r="F629" i="3"/>
  <c r="G629" i="3"/>
  <c r="H629" i="3"/>
  <c r="J629" i="3"/>
  <c r="K629" i="3"/>
  <c r="D630" i="3"/>
  <c r="E630" i="3"/>
  <c r="F630" i="3"/>
  <c r="G630" i="3"/>
  <c r="H630" i="3"/>
  <c r="J630" i="3"/>
  <c r="K630" i="3"/>
  <c r="D631" i="3"/>
  <c r="E631" i="3"/>
  <c r="F631" i="3"/>
  <c r="G631" i="3"/>
  <c r="H631" i="3"/>
  <c r="J631" i="3"/>
  <c r="K631" i="3"/>
  <c r="D632" i="3"/>
  <c r="E632" i="3"/>
  <c r="F632" i="3"/>
  <c r="G632" i="3"/>
  <c r="H632" i="3"/>
  <c r="J632" i="3"/>
  <c r="K632" i="3"/>
  <c r="D633" i="3"/>
  <c r="E633" i="3"/>
  <c r="F633" i="3"/>
  <c r="G633" i="3"/>
  <c r="H633" i="3"/>
  <c r="J633" i="3"/>
  <c r="K633" i="3"/>
  <c r="D634" i="3"/>
  <c r="E634" i="3"/>
  <c r="F634" i="3"/>
  <c r="G634" i="3"/>
  <c r="H634" i="3"/>
  <c r="J634" i="3"/>
  <c r="K634" i="3"/>
  <c r="D635" i="3"/>
  <c r="E635" i="3"/>
  <c r="F635" i="3"/>
  <c r="G635" i="3"/>
  <c r="H635" i="3"/>
  <c r="J635" i="3"/>
  <c r="K635" i="3"/>
  <c r="D636" i="3"/>
  <c r="E636" i="3"/>
  <c r="F636" i="3"/>
  <c r="G636" i="3"/>
  <c r="H636" i="3"/>
  <c r="J636" i="3"/>
  <c r="K636" i="3"/>
  <c r="D637" i="3"/>
  <c r="E637" i="3"/>
  <c r="F637" i="3"/>
  <c r="G637" i="3"/>
  <c r="H637" i="3"/>
  <c r="J637" i="3"/>
  <c r="K637" i="3"/>
  <c r="D638" i="3"/>
  <c r="E638" i="3"/>
  <c r="F638" i="3"/>
  <c r="G638" i="3"/>
  <c r="H638" i="3"/>
  <c r="J638" i="3"/>
  <c r="K638" i="3"/>
  <c r="D639" i="3"/>
  <c r="E639" i="3"/>
  <c r="F639" i="3"/>
  <c r="G639" i="3"/>
  <c r="H639" i="3"/>
  <c r="J639" i="3"/>
  <c r="K639" i="3"/>
  <c r="D640" i="3"/>
  <c r="E640" i="3"/>
  <c r="F640" i="3"/>
  <c r="G640" i="3"/>
  <c r="H640" i="3"/>
  <c r="J640" i="3"/>
  <c r="K640" i="3"/>
  <c r="D641" i="3"/>
  <c r="E641" i="3"/>
  <c r="F641" i="3"/>
  <c r="G641" i="3"/>
  <c r="H641" i="3"/>
  <c r="J641" i="3"/>
  <c r="K641" i="3"/>
  <c r="D642" i="3"/>
  <c r="E642" i="3"/>
  <c r="F642" i="3"/>
  <c r="G642" i="3"/>
  <c r="H642" i="3"/>
  <c r="J642" i="3"/>
  <c r="K642" i="3"/>
  <c r="D643" i="3"/>
  <c r="E643" i="3"/>
  <c r="F643" i="3"/>
  <c r="G643" i="3"/>
  <c r="H643" i="3"/>
  <c r="J643" i="3"/>
  <c r="K643" i="3"/>
  <c r="D644" i="3"/>
  <c r="E644" i="3"/>
  <c r="F644" i="3"/>
  <c r="G644" i="3"/>
  <c r="H644" i="3"/>
  <c r="J644" i="3"/>
  <c r="K644" i="3"/>
  <c r="D645" i="3"/>
  <c r="E645" i="3"/>
  <c r="F645" i="3"/>
  <c r="G645" i="3"/>
  <c r="H645" i="3"/>
  <c r="J645" i="3"/>
  <c r="K645" i="3"/>
  <c r="D646" i="3"/>
  <c r="E646" i="3"/>
  <c r="F646" i="3"/>
  <c r="G646" i="3"/>
  <c r="H646" i="3"/>
  <c r="J646" i="3"/>
  <c r="K646" i="3"/>
  <c r="D647" i="3"/>
  <c r="E647" i="3"/>
  <c r="F647" i="3"/>
  <c r="G647" i="3"/>
  <c r="H647" i="3"/>
  <c r="J647" i="3"/>
  <c r="K647" i="3"/>
  <c r="D648" i="3"/>
  <c r="E648" i="3"/>
  <c r="F648" i="3"/>
  <c r="G648" i="3"/>
  <c r="H648" i="3"/>
  <c r="J648" i="3"/>
  <c r="K648" i="3"/>
  <c r="D649" i="3"/>
  <c r="E649" i="3"/>
  <c r="F649" i="3"/>
  <c r="G649" i="3"/>
  <c r="H649" i="3"/>
  <c r="J649" i="3"/>
  <c r="K649" i="3"/>
  <c r="D650" i="3"/>
  <c r="E650" i="3"/>
  <c r="F650" i="3"/>
  <c r="G650" i="3"/>
  <c r="H650" i="3"/>
  <c r="J650" i="3"/>
  <c r="K650" i="3"/>
  <c r="D651" i="3"/>
  <c r="E651" i="3"/>
  <c r="F651" i="3"/>
  <c r="G651" i="3"/>
  <c r="H651" i="3"/>
  <c r="J651" i="3"/>
  <c r="K651" i="3"/>
  <c r="D652" i="3"/>
  <c r="E652" i="3"/>
  <c r="F652" i="3"/>
  <c r="G652" i="3"/>
  <c r="H652" i="3"/>
  <c r="J652" i="3"/>
  <c r="K652" i="3"/>
  <c r="D653" i="3"/>
  <c r="E653" i="3"/>
  <c r="F653" i="3"/>
  <c r="G653" i="3"/>
  <c r="H653" i="3"/>
  <c r="J653" i="3"/>
  <c r="K653" i="3"/>
  <c r="D654" i="3"/>
  <c r="E654" i="3"/>
  <c r="F654" i="3"/>
  <c r="G654" i="3"/>
  <c r="H654" i="3"/>
  <c r="J654" i="3"/>
  <c r="K654" i="3"/>
  <c r="D655" i="3"/>
  <c r="E655" i="3"/>
  <c r="F655" i="3"/>
  <c r="G655" i="3"/>
  <c r="H655" i="3"/>
  <c r="J655" i="3"/>
  <c r="K655" i="3"/>
  <c r="D656" i="3"/>
  <c r="E656" i="3"/>
  <c r="F656" i="3"/>
  <c r="G656" i="3"/>
  <c r="H656" i="3"/>
  <c r="J656" i="3"/>
  <c r="K656" i="3"/>
  <c r="D657" i="3"/>
  <c r="E657" i="3"/>
  <c r="F657" i="3"/>
  <c r="G657" i="3"/>
  <c r="H657" i="3"/>
  <c r="J657" i="3"/>
  <c r="K657" i="3"/>
  <c r="D658" i="3"/>
  <c r="E658" i="3"/>
  <c r="F658" i="3"/>
  <c r="G658" i="3"/>
  <c r="H658" i="3"/>
  <c r="J658" i="3"/>
  <c r="K658" i="3"/>
  <c r="D659" i="3"/>
  <c r="E659" i="3"/>
  <c r="F659" i="3"/>
  <c r="G659" i="3"/>
  <c r="H659" i="3"/>
  <c r="J659" i="3"/>
  <c r="K659" i="3"/>
  <c r="D660" i="3"/>
  <c r="E660" i="3"/>
  <c r="F660" i="3"/>
  <c r="G660" i="3"/>
  <c r="H660" i="3"/>
  <c r="J660" i="3"/>
  <c r="K660" i="3"/>
  <c r="D661" i="3"/>
  <c r="E661" i="3"/>
  <c r="F661" i="3"/>
  <c r="G661" i="3"/>
  <c r="H661" i="3"/>
  <c r="J661" i="3"/>
  <c r="K661" i="3"/>
  <c r="D662" i="3"/>
  <c r="E662" i="3"/>
  <c r="F662" i="3"/>
  <c r="G662" i="3"/>
  <c r="H662" i="3"/>
  <c r="J662" i="3"/>
  <c r="K662" i="3"/>
  <c r="D663" i="3"/>
  <c r="E663" i="3"/>
  <c r="F663" i="3"/>
  <c r="G663" i="3"/>
  <c r="H663" i="3"/>
  <c r="J663" i="3"/>
  <c r="K663" i="3"/>
  <c r="D664" i="3"/>
  <c r="E664" i="3"/>
  <c r="F664" i="3"/>
  <c r="G664" i="3"/>
  <c r="H664" i="3"/>
  <c r="J664" i="3"/>
  <c r="K664" i="3"/>
  <c r="D665" i="3"/>
  <c r="E665" i="3"/>
  <c r="F665" i="3"/>
  <c r="G665" i="3"/>
  <c r="H665" i="3"/>
  <c r="J665" i="3"/>
  <c r="K665" i="3"/>
  <c r="D666" i="3"/>
  <c r="E666" i="3"/>
  <c r="F666" i="3"/>
  <c r="G666" i="3"/>
  <c r="H666" i="3"/>
  <c r="J666" i="3"/>
  <c r="K666" i="3"/>
  <c r="D667" i="3"/>
  <c r="E667" i="3"/>
  <c r="F667" i="3"/>
  <c r="G667" i="3"/>
  <c r="H667" i="3"/>
  <c r="J667" i="3"/>
  <c r="K667" i="3"/>
  <c r="D668" i="3"/>
  <c r="E668" i="3"/>
  <c r="F668" i="3"/>
  <c r="G668" i="3"/>
  <c r="H668" i="3"/>
  <c r="J668" i="3"/>
  <c r="K668" i="3"/>
  <c r="D669" i="3"/>
  <c r="E669" i="3"/>
  <c r="F669" i="3"/>
  <c r="G669" i="3"/>
  <c r="H669" i="3"/>
  <c r="J669" i="3"/>
  <c r="K669" i="3"/>
  <c r="D670" i="3"/>
  <c r="E670" i="3"/>
  <c r="F670" i="3"/>
  <c r="G670" i="3"/>
  <c r="H670" i="3"/>
  <c r="J670" i="3"/>
  <c r="K670" i="3"/>
  <c r="D671" i="3"/>
  <c r="E671" i="3"/>
  <c r="F671" i="3"/>
  <c r="G671" i="3"/>
  <c r="H671" i="3"/>
  <c r="J671" i="3"/>
  <c r="K671" i="3"/>
  <c r="D672" i="3"/>
  <c r="E672" i="3"/>
  <c r="F672" i="3"/>
  <c r="G672" i="3"/>
  <c r="H672" i="3"/>
  <c r="J672" i="3"/>
  <c r="K672" i="3"/>
  <c r="D673" i="3"/>
  <c r="E673" i="3"/>
  <c r="F673" i="3"/>
  <c r="G673" i="3"/>
  <c r="H673" i="3"/>
  <c r="J673" i="3"/>
  <c r="K673" i="3"/>
  <c r="D674" i="3"/>
  <c r="E674" i="3"/>
  <c r="F674" i="3"/>
  <c r="G674" i="3"/>
  <c r="H674" i="3"/>
  <c r="J674" i="3"/>
  <c r="K674" i="3"/>
  <c r="D675" i="3"/>
  <c r="E675" i="3"/>
  <c r="F675" i="3"/>
  <c r="G675" i="3"/>
  <c r="H675" i="3"/>
  <c r="J675" i="3"/>
  <c r="K675" i="3"/>
  <c r="D676" i="3"/>
  <c r="E676" i="3"/>
  <c r="F676" i="3"/>
  <c r="G676" i="3"/>
  <c r="H676" i="3"/>
  <c r="J676" i="3"/>
  <c r="K676" i="3"/>
  <c r="D677" i="3"/>
  <c r="E677" i="3"/>
  <c r="F677" i="3"/>
  <c r="G677" i="3"/>
  <c r="H677" i="3"/>
  <c r="J677" i="3"/>
  <c r="K677" i="3"/>
  <c r="D678" i="3"/>
  <c r="E678" i="3"/>
  <c r="F678" i="3"/>
  <c r="G678" i="3"/>
  <c r="H678" i="3"/>
  <c r="J678" i="3"/>
  <c r="K678" i="3"/>
  <c r="D679" i="3"/>
  <c r="E679" i="3"/>
  <c r="F679" i="3"/>
  <c r="G679" i="3"/>
  <c r="H679" i="3"/>
  <c r="J679" i="3"/>
  <c r="K679" i="3"/>
  <c r="D680" i="3"/>
  <c r="E680" i="3"/>
  <c r="F680" i="3"/>
  <c r="G680" i="3"/>
  <c r="H680" i="3"/>
  <c r="J680" i="3"/>
  <c r="K680" i="3"/>
  <c r="D681" i="3"/>
  <c r="E681" i="3"/>
  <c r="F681" i="3"/>
  <c r="G681" i="3"/>
  <c r="H681" i="3"/>
  <c r="J681" i="3"/>
  <c r="K681" i="3"/>
  <c r="D682" i="3"/>
  <c r="E682" i="3"/>
  <c r="F682" i="3"/>
  <c r="G682" i="3"/>
  <c r="H682" i="3"/>
  <c r="J682" i="3"/>
  <c r="K682" i="3"/>
  <c r="D683" i="3"/>
  <c r="E683" i="3"/>
  <c r="F683" i="3"/>
  <c r="G683" i="3"/>
  <c r="H683" i="3"/>
  <c r="J683" i="3"/>
  <c r="K683" i="3"/>
  <c r="D684" i="3"/>
  <c r="E684" i="3"/>
  <c r="F684" i="3"/>
  <c r="G684" i="3"/>
  <c r="H684" i="3"/>
  <c r="J684" i="3"/>
  <c r="K684" i="3"/>
  <c r="D685" i="3"/>
  <c r="E685" i="3"/>
  <c r="F685" i="3"/>
  <c r="G685" i="3"/>
  <c r="H685" i="3"/>
  <c r="J685" i="3"/>
  <c r="K685" i="3"/>
  <c r="D686" i="3"/>
  <c r="E686" i="3"/>
  <c r="F686" i="3"/>
  <c r="G686" i="3"/>
  <c r="H686" i="3"/>
  <c r="J686" i="3"/>
  <c r="K686" i="3"/>
  <c r="D687" i="3"/>
  <c r="E687" i="3"/>
  <c r="F687" i="3"/>
  <c r="G687" i="3"/>
  <c r="H687" i="3"/>
  <c r="J687" i="3"/>
  <c r="K687" i="3"/>
  <c r="D688" i="3"/>
  <c r="E688" i="3"/>
  <c r="F688" i="3"/>
  <c r="G688" i="3"/>
  <c r="H688" i="3"/>
  <c r="J688" i="3"/>
  <c r="K688" i="3"/>
  <c r="D689" i="3"/>
  <c r="E689" i="3"/>
  <c r="F689" i="3"/>
  <c r="G689" i="3"/>
  <c r="H689" i="3"/>
  <c r="J689" i="3"/>
  <c r="K689" i="3"/>
  <c r="D690" i="3"/>
  <c r="E690" i="3"/>
  <c r="F690" i="3"/>
  <c r="G690" i="3"/>
  <c r="H690" i="3"/>
  <c r="J690" i="3"/>
  <c r="K690" i="3"/>
  <c r="D691" i="3"/>
  <c r="E691" i="3"/>
  <c r="F691" i="3"/>
  <c r="G691" i="3"/>
  <c r="H691" i="3"/>
  <c r="J691" i="3"/>
  <c r="K691" i="3"/>
  <c r="D692" i="3"/>
  <c r="E692" i="3"/>
  <c r="F692" i="3"/>
  <c r="G692" i="3"/>
  <c r="H692" i="3"/>
  <c r="J692" i="3"/>
  <c r="K692" i="3"/>
  <c r="D693" i="3"/>
  <c r="E693" i="3"/>
  <c r="F693" i="3"/>
  <c r="G693" i="3"/>
  <c r="H693" i="3"/>
  <c r="J693" i="3"/>
  <c r="K693" i="3"/>
  <c r="D694" i="3"/>
  <c r="E694" i="3"/>
  <c r="F694" i="3"/>
  <c r="G694" i="3"/>
  <c r="H694" i="3"/>
  <c r="J694" i="3"/>
  <c r="K694" i="3"/>
  <c r="D695" i="3"/>
  <c r="E695" i="3"/>
  <c r="F695" i="3"/>
  <c r="G695" i="3"/>
  <c r="H695" i="3"/>
  <c r="J695" i="3"/>
  <c r="K695" i="3"/>
  <c r="D696" i="3"/>
  <c r="E696" i="3"/>
  <c r="F696" i="3"/>
  <c r="G696" i="3"/>
  <c r="H696" i="3"/>
  <c r="J696" i="3"/>
  <c r="K696" i="3"/>
  <c r="D697" i="3"/>
  <c r="E697" i="3"/>
  <c r="F697" i="3"/>
  <c r="G697" i="3"/>
  <c r="H697" i="3"/>
  <c r="J697" i="3"/>
  <c r="K697" i="3"/>
  <c r="D698" i="3"/>
  <c r="E698" i="3"/>
  <c r="F698" i="3"/>
  <c r="G698" i="3"/>
  <c r="H698" i="3"/>
  <c r="J698" i="3"/>
  <c r="K698" i="3"/>
  <c r="D699" i="3"/>
  <c r="E699" i="3"/>
  <c r="F699" i="3"/>
  <c r="G699" i="3"/>
  <c r="H699" i="3"/>
  <c r="J699" i="3"/>
  <c r="K699" i="3"/>
  <c r="D700" i="3"/>
  <c r="E700" i="3"/>
  <c r="F700" i="3"/>
  <c r="G700" i="3"/>
  <c r="H700" i="3"/>
  <c r="J700" i="3"/>
  <c r="K700" i="3"/>
  <c r="D701" i="3"/>
  <c r="E701" i="3"/>
  <c r="F701" i="3"/>
  <c r="G701" i="3"/>
  <c r="H701" i="3"/>
  <c r="J701" i="3"/>
  <c r="K701" i="3"/>
  <c r="D702" i="3"/>
  <c r="E702" i="3"/>
  <c r="F702" i="3"/>
  <c r="G702" i="3"/>
  <c r="H702" i="3"/>
  <c r="J702" i="3"/>
  <c r="K702" i="3"/>
  <c r="D703" i="3"/>
  <c r="E703" i="3"/>
  <c r="F703" i="3"/>
  <c r="G703" i="3"/>
  <c r="H703" i="3"/>
  <c r="J703" i="3"/>
  <c r="K703" i="3"/>
  <c r="D704" i="3"/>
  <c r="E704" i="3"/>
  <c r="F704" i="3"/>
  <c r="G704" i="3"/>
  <c r="H704" i="3"/>
  <c r="J704" i="3"/>
  <c r="K704" i="3"/>
  <c r="D705" i="3"/>
  <c r="E705" i="3"/>
  <c r="F705" i="3"/>
  <c r="G705" i="3"/>
  <c r="H705" i="3"/>
  <c r="J705" i="3"/>
  <c r="K705" i="3"/>
  <c r="D706" i="3"/>
  <c r="E706" i="3"/>
  <c r="F706" i="3"/>
  <c r="G706" i="3"/>
  <c r="H706" i="3"/>
  <c r="J706" i="3"/>
  <c r="K706" i="3"/>
  <c r="D707" i="3"/>
  <c r="E707" i="3"/>
  <c r="F707" i="3"/>
  <c r="G707" i="3"/>
  <c r="H707" i="3"/>
  <c r="J707" i="3"/>
  <c r="K707" i="3"/>
  <c r="D708" i="3"/>
  <c r="E708" i="3"/>
  <c r="F708" i="3"/>
  <c r="G708" i="3"/>
  <c r="H708" i="3"/>
  <c r="J708" i="3"/>
  <c r="K708" i="3"/>
  <c r="D709" i="3"/>
  <c r="E709" i="3"/>
  <c r="F709" i="3"/>
  <c r="G709" i="3"/>
  <c r="H709" i="3"/>
  <c r="J709" i="3"/>
  <c r="K709" i="3"/>
  <c r="D710" i="3"/>
  <c r="E710" i="3"/>
  <c r="F710" i="3"/>
  <c r="G710" i="3"/>
  <c r="H710" i="3"/>
  <c r="J710" i="3"/>
  <c r="K710" i="3"/>
  <c r="D711" i="3"/>
  <c r="E711" i="3"/>
  <c r="F711" i="3"/>
  <c r="G711" i="3"/>
  <c r="H711" i="3"/>
  <c r="J711" i="3"/>
  <c r="K711" i="3"/>
  <c r="D712" i="3"/>
  <c r="E712" i="3"/>
  <c r="F712" i="3"/>
  <c r="G712" i="3"/>
  <c r="H712" i="3"/>
  <c r="J712" i="3"/>
  <c r="K712" i="3"/>
  <c r="D713" i="3"/>
  <c r="E713" i="3"/>
  <c r="F713" i="3"/>
  <c r="G713" i="3"/>
  <c r="H713" i="3"/>
  <c r="J713" i="3"/>
  <c r="K713" i="3"/>
  <c r="D714" i="3"/>
  <c r="E714" i="3"/>
  <c r="F714" i="3"/>
  <c r="G714" i="3"/>
  <c r="H714" i="3"/>
  <c r="J714" i="3"/>
  <c r="K714" i="3"/>
  <c r="D715" i="3"/>
  <c r="E715" i="3"/>
  <c r="F715" i="3"/>
  <c r="G715" i="3"/>
  <c r="H715" i="3"/>
  <c r="J715" i="3"/>
  <c r="K715" i="3"/>
  <c r="D716" i="3"/>
  <c r="E716" i="3"/>
  <c r="F716" i="3"/>
  <c r="G716" i="3"/>
  <c r="H716" i="3"/>
  <c r="J716" i="3"/>
  <c r="K716" i="3"/>
  <c r="D717" i="3"/>
  <c r="E717" i="3"/>
  <c r="F717" i="3"/>
  <c r="G717" i="3"/>
  <c r="H717" i="3"/>
  <c r="J717" i="3"/>
  <c r="K717" i="3"/>
  <c r="D718" i="3"/>
  <c r="E718" i="3"/>
  <c r="F718" i="3"/>
  <c r="G718" i="3"/>
  <c r="H718" i="3"/>
  <c r="J718" i="3"/>
  <c r="K718" i="3"/>
  <c r="D719" i="3"/>
  <c r="E719" i="3"/>
  <c r="F719" i="3"/>
  <c r="G719" i="3"/>
  <c r="H719" i="3"/>
  <c r="J719" i="3"/>
  <c r="K719" i="3"/>
  <c r="D720" i="3"/>
  <c r="E720" i="3"/>
  <c r="F720" i="3"/>
  <c r="G720" i="3"/>
  <c r="H720" i="3"/>
  <c r="J720" i="3"/>
  <c r="K720" i="3"/>
  <c r="D721" i="3"/>
  <c r="E721" i="3"/>
  <c r="F721" i="3"/>
  <c r="G721" i="3"/>
  <c r="H721" i="3"/>
  <c r="J721" i="3"/>
  <c r="K721" i="3"/>
  <c r="D722" i="3"/>
  <c r="E722" i="3"/>
  <c r="F722" i="3"/>
  <c r="G722" i="3"/>
  <c r="H722" i="3"/>
  <c r="J722" i="3"/>
  <c r="K722" i="3"/>
  <c r="D723" i="3"/>
  <c r="E723" i="3"/>
  <c r="F723" i="3"/>
  <c r="G723" i="3"/>
  <c r="H723" i="3"/>
  <c r="J723" i="3"/>
  <c r="K723" i="3"/>
  <c r="D724" i="3"/>
  <c r="E724" i="3"/>
  <c r="F724" i="3"/>
  <c r="G724" i="3"/>
  <c r="H724" i="3"/>
  <c r="J724" i="3"/>
  <c r="K724" i="3"/>
  <c r="D725" i="3"/>
  <c r="E725" i="3"/>
  <c r="F725" i="3"/>
  <c r="G725" i="3"/>
  <c r="H725" i="3"/>
  <c r="J725" i="3"/>
  <c r="K725" i="3"/>
  <c r="D726" i="3"/>
  <c r="E726" i="3"/>
  <c r="F726" i="3"/>
  <c r="G726" i="3"/>
  <c r="H726" i="3"/>
  <c r="J726" i="3"/>
  <c r="K726" i="3"/>
  <c r="D727" i="3"/>
  <c r="E727" i="3"/>
  <c r="F727" i="3"/>
  <c r="G727" i="3"/>
  <c r="H727" i="3"/>
  <c r="J727" i="3"/>
  <c r="K727" i="3"/>
  <c r="D728" i="3"/>
  <c r="E728" i="3"/>
  <c r="F728" i="3"/>
  <c r="G728" i="3"/>
  <c r="H728" i="3"/>
  <c r="J728" i="3"/>
  <c r="K728" i="3"/>
  <c r="D729" i="3"/>
  <c r="E729" i="3"/>
  <c r="F729" i="3"/>
  <c r="G729" i="3"/>
  <c r="H729" i="3"/>
  <c r="J729" i="3"/>
  <c r="K729" i="3"/>
  <c r="D730" i="3"/>
  <c r="E730" i="3"/>
  <c r="F730" i="3"/>
  <c r="G730" i="3"/>
  <c r="H730" i="3"/>
  <c r="J730" i="3"/>
  <c r="K730" i="3"/>
  <c r="D731" i="3"/>
  <c r="E731" i="3"/>
  <c r="F731" i="3"/>
  <c r="G731" i="3"/>
  <c r="H731" i="3"/>
  <c r="J731" i="3"/>
  <c r="K731" i="3"/>
  <c r="D732" i="3"/>
  <c r="E732" i="3"/>
  <c r="F732" i="3"/>
  <c r="G732" i="3"/>
  <c r="H732" i="3"/>
  <c r="J732" i="3"/>
  <c r="K732" i="3"/>
  <c r="D733" i="3"/>
  <c r="E733" i="3"/>
  <c r="F733" i="3"/>
  <c r="G733" i="3"/>
  <c r="H733" i="3"/>
  <c r="J733" i="3"/>
  <c r="K733" i="3"/>
  <c r="D734" i="3"/>
  <c r="E734" i="3"/>
  <c r="F734" i="3"/>
  <c r="G734" i="3"/>
  <c r="H734" i="3"/>
  <c r="J734" i="3"/>
  <c r="K734" i="3"/>
  <c r="D735" i="3"/>
  <c r="E735" i="3"/>
  <c r="F735" i="3"/>
  <c r="G735" i="3"/>
  <c r="H735" i="3"/>
  <c r="J735" i="3"/>
  <c r="K735" i="3"/>
  <c r="D736" i="3"/>
  <c r="E736" i="3"/>
  <c r="F736" i="3"/>
  <c r="G736" i="3"/>
  <c r="H736" i="3"/>
  <c r="J736" i="3"/>
  <c r="K736" i="3"/>
  <c r="D737" i="3"/>
  <c r="E737" i="3"/>
  <c r="F737" i="3"/>
  <c r="G737" i="3"/>
  <c r="H737" i="3"/>
  <c r="J737" i="3"/>
  <c r="K737" i="3"/>
  <c r="D738" i="3"/>
  <c r="E738" i="3"/>
  <c r="F738" i="3"/>
  <c r="G738" i="3"/>
  <c r="H738" i="3"/>
  <c r="J738" i="3"/>
  <c r="K738" i="3"/>
  <c r="D739" i="3"/>
  <c r="E739" i="3"/>
  <c r="F739" i="3"/>
  <c r="G739" i="3"/>
  <c r="H739" i="3"/>
  <c r="J739" i="3"/>
  <c r="K739" i="3"/>
  <c r="D740" i="3"/>
  <c r="E740" i="3"/>
  <c r="F740" i="3"/>
  <c r="G740" i="3"/>
  <c r="H740" i="3"/>
  <c r="J740" i="3"/>
  <c r="K740" i="3"/>
  <c r="D741" i="3"/>
  <c r="E741" i="3"/>
  <c r="F741" i="3"/>
  <c r="G741" i="3"/>
  <c r="H741" i="3"/>
  <c r="J741" i="3"/>
  <c r="K741" i="3"/>
  <c r="D742" i="3"/>
  <c r="E742" i="3"/>
  <c r="F742" i="3"/>
  <c r="G742" i="3"/>
  <c r="H742" i="3"/>
  <c r="J742" i="3"/>
  <c r="K742" i="3"/>
  <c r="D743" i="3"/>
  <c r="E743" i="3"/>
  <c r="F743" i="3"/>
  <c r="G743" i="3"/>
  <c r="H743" i="3"/>
  <c r="J743" i="3"/>
  <c r="K743" i="3"/>
  <c r="D744" i="3"/>
  <c r="E744" i="3"/>
  <c r="F744" i="3"/>
  <c r="G744" i="3"/>
  <c r="H744" i="3"/>
  <c r="J744" i="3"/>
  <c r="K744" i="3"/>
  <c r="D745" i="3"/>
  <c r="E745" i="3"/>
  <c r="F745" i="3"/>
  <c r="G745" i="3"/>
  <c r="H745" i="3"/>
  <c r="J745" i="3"/>
  <c r="K745" i="3"/>
  <c r="D746" i="3"/>
  <c r="E746" i="3"/>
  <c r="F746" i="3"/>
  <c r="G746" i="3"/>
  <c r="H746" i="3"/>
  <c r="J746" i="3"/>
  <c r="K746" i="3"/>
  <c r="D747" i="3"/>
  <c r="E747" i="3"/>
  <c r="F747" i="3"/>
  <c r="G747" i="3"/>
  <c r="H747" i="3"/>
  <c r="J747" i="3"/>
  <c r="K747" i="3"/>
  <c r="D748" i="3"/>
  <c r="E748" i="3"/>
  <c r="F748" i="3"/>
  <c r="G748" i="3"/>
  <c r="H748" i="3"/>
  <c r="J748" i="3"/>
  <c r="K748" i="3"/>
  <c r="D749" i="3"/>
  <c r="E749" i="3"/>
  <c r="F749" i="3"/>
  <c r="G749" i="3"/>
  <c r="H749" i="3"/>
  <c r="J749" i="3"/>
  <c r="K749" i="3"/>
  <c r="D750" i="3"/>
  <c r="E750" i="3"/>
  <c r="F750" i="3"/>
  <c r="G750" i="3"/>
  <c r="H750" i="3"/>
  <c r="J750" i="3"/>
  <c r="K750" i="3"/>
  <c r="D751" i="3"/>
  <c r="E751" i="3"/>
  <c r="F751" i="3"/>
  <c r="G751" i="3"/>
  <c r="H751" i="3"/>
  <c r="J751" i="3"/>
  <c r="K751" i="3"/>
  <c r="D752" i="3"/>
  <c r="E752" i="3"/>
  <c r="F752" i="3"/>
  <c r="G752" i="3"/>
  <c r="H752" i="3"/>
  <c r="J752" i="3"/>
  <c r="K752" i="3"/>
  <c r="D753" i="3"/>
  <c r="E753" i="3"/>
  <c r="F753" i="3"/>
  <c r="G753" i="3"/>
  <c r="H753" i="3"/>
  <c r="J753" i="3"/>
  <c r="K753" i="3"/>
  <c r="D754" i="3"/>
  <c r="E754" i="3"/>
  <c r="F754" i="3"/>
  <c r="G754" i="3"/>
  <c r="H754" i="3"/>
  <c r="J754" i="3"/>
  <c r="K754" i="3"/>
  <c r="D755" i="3"/>
  <c r="E755" i="3"/>
  <c r="F755" i="3"/>
  <c r="G755" i="3"/>
  <c r="H755" i="3"/>
  <c r="J755" i="3"/>
  <c r="K755" i="3"/>
  <c r="D756" i="3"/>
  <c r="E756" i="3"/>
  <c r="F756" i="3"/>
  <c r="G756" i="3"/>
  <c r="H756" i="3"/>
  <c r="J756" i="3"/>
  <c r="K756" i="3"/>
  <c r="D757" i="3"/>
  <c r="E757" i="3"/>
  <c r="F757" i="3"/>
  <c r="G757" i="3"/>
  <c r="H757" i="3"/>
  <c r="J757" i="3"/>
  <c r="K757" i="3"/>
  <c r="D758" i="3"/>
  <c r="E758" i="3"/>
  <c r="F758" i="3"/>
  <c r="G758" i="3"/>
  <c r="H758" i="3"/>
  <c r="J758" i="3"/>
  <c r="K758" i="3"/>
  <c r="D759" i="3"/>
  <c r="E759" i="3"/>
  <c r="F759" i="3"/>
  <c r="G759" i="3"/>
  <c r="H759" i="3"/>
  <c r="J759" i="3"/>
  <c r="K759" i="3"/>
  <c r="D760" i="3"/>
  <c r="E760" i="3"/>
  <c r="F760" i="3"/>
  <c r="G760" i="3"/>
  <c r="H760" i="3"/>
  <c r="J760" i="3"/>
  <c r="K760" i="3"/>
  <c r="D761" i="3"/>
  <c r="E761" i="3"/>
  <c r="F761" i="3"/>
  <c r="G761" i="3"/>
  <c r="H761" i="3"/>
  <c r="J761" i="3"/>
  <c r="K761" i="3"/>
  <c r="D762" i="3"/>
  <c r="E762" i="3"/>
  <c r="F762" i="3"/>
  <c r="G762" i="3"/>
  <c r="H762" i="3"/>
  <c r="J762" i="3"/>
  <c r="K762" i="3"/>
  <c r="D763" i="3"/>
  <c r="E763" i="3"/>
  <c r="F763" i="3"/>
  <c r="G763" i="3"/>
  <c r="H763" i="3"/>
  <c r="J763" i="3"/>
  <c r="K763" i="3"/>
  <c r="D764" i="3"/>
  <c r="E764" i="3"/>
  <c r="F764" i="3"/>
  <c r="G764" i="3"/>
  <c r="H764" i="3"/>
  <c r="J764" i="3"/>
  <c r="K764" i="3"/>
  <c r="D765" i="3"/>
  <c r="E765" i="3"/>
  <c r="F765" i="3"/>
  <c r="G765" i="3"/>
  <c r="H765" i="3"/>
  <c r="J765" i="3"/>
  <c r="K765" i="3"/>
  <c r="D766" i="3"/>
  <c r="E766" i="3"/>
  <c r="F766" i="3"/>
  <c r="G766" i="3"/>
  <c r="H766" i="3"/>
  <c r="J766" i="3"/>
  <c r="K766" i="3"/>
  <c r="D767" i="3"/>
  <c r="E767" i="3"/>
  <c r="F767" i="3"/>
  <c r="G767" i="3"/>
  <c r="H767" i="3"/>
  <c r="J767" i="3"/>
  <c r="K767" i="3"/>
  <c r="D768" i="3"/>
  <c r="E768" i="3"/>
  <c r="F768" i="3"/>
  <c r="G768" i="3"/>
  <c r="H768" i="3"/>
  <c r="J768" i="3"/>
  <c r="K768" i="3"/>
  <c r="D769" i="3"/>
  <c r="E769" i="3"/>
  <c r="F769" i="3"/>
  <c r="G769" i="3"/>
  <c r="H769" i="3"/>
  <c r="J769" i="3"/>
  <c r="K769" i="3"/>
  <c r="D770" i="3"/>
  <c r="E770" i="3"/>
  <c r="F770" i="3"/>
  <c r="G770" i="3"/>
  <c r="H770" i="3"/>
  <c r="J770" i="3"/>
  <c r="K770" i="3"/>
  <c r="D771" i="3"/>
  <c r="E771" i="3"/>
  <c r="F771" i="3"/>
  <c r="G771" i="3"/>
  <c r="H771" i="3"/>
  <c r="J771" i="3"/>
  <c r="K771" i="3"/>
  <c r="D772" i="3"/>
  <c r="E772" i="3"/>
  <c r="F772" i="3"/>
  <c r="G772" i="3"/>
  <c r="H772" i="3"/>
  <c r="J772" i="3"/>
  <c r="K772" i="3"/>
  <c r="D773" i="3"/>
  <c r="E773" i="3"/>
  <c r="F773" i="3"/>
  <c r="G773" i="3"/>
  <c r="H773" i="3"/>
  <c r="J773" i="3"/>
  <c r="K773" i="3"/>
  <c r="D774" i="3"/>
  <c r="E774" i="3"/>
  <c r="F774" i="3"/>
  <c r="G774" i="3"/>
  <c r="H774" i="3"/>
  <c r="J774" i="3"/>
  <c r="K774" i="3"/>
  <c r="D775" i="3"/>
  <c r="E775" i="3"/>
  <c r="F775" i="3"/>
  <c r="G775" i="3"/>
  <c r="H775" i="3"/>
  <c r="J775" i="3"/>
  <c r="K775" i="3"/>
  <c r="D776" i="3"/>
  <c r="E776" i="3"/>
  <c r="F776" i="3"/>
  <c r="G776" i="3"/>
  <c r="H776" i="3"/>
  <c r="J776" i="3"/>
  <c r="K776" i="3"/>
  <c r="D777" i="3"/>
  <c r="E777" i="3"/>
  <c r="F777" i="3"/>
  <c r="G777" i="3"/>
  <c r="H777" i="3"/>
  <c r="J777" i="3"/>
  <c r="K777" i="3"/>
  <c r="D778" i="3"/>
  <c r="E778" i="3"/>
  <c r="F778" i="3"/>
  <c r="G778" i="3"/>
  <c r="H778" i="3"/>
  <c r="J778" i="3"/>
  <c r="K778" i="3"/>
  <c r="D779" i="3"/>
  <c r="E779" i="3"/>
  <c r="F779" i="3"/>
  <c r="G779" i="3"/>
  <c r="H779" i="3"/>
  <c r="J779" i="3"/>
  <c r="K779" i="3"/>
  <c r="D780" i="3"/>
  <c r="E780" i="3"/>
  <c r="F780" i="3"/>
  <c r="G780" i="3"/>
  <c r="H780" i="3"/>
  <c r="J780" i="3"/>
  <c r="K780" i="3"/>
  <c r="D781" i="3"/>
  <c r="E781" i="3"/>
  <c r="F781" i="3"/>
  <c r="G781" i="3"/>
  <c r="H781" i="3"/>
  <c r="J781" i="3"/>
  <c r="K781" i="3"/>
  <c r="D782" i="3"/>
  <c r="E782" i="3"/>
  <c r="F782" i="3"/>
  <c r="G782" i="3"/>
  <c r="H782" i="3"/>
  <c r="J782" i="3"/>
  <c r="K782" i="3"/>
  <c r="D783" i="3"/>
  <c r="E783" i="3"/>
  <c r="F783" i="3"/>
  <c r="G783" i="3"/>
  <c r="H783" i="3"/>
  <c r="J783" i="3"/>
  <c r="K783" i="3"/>
  <c r="D784" i="3"/>
  <c r="E784" i="3"/>
  <c r="F784" i="3"/>
  <c r="G784" i="3"/>
  <c r="H784" i="3"/>
  <c r="J784" i="3"/>
  <c r="K784" i="3"/>
  <c r="D785" i="3"/>
  <c r="E785" i="3"/>
  <c r="F785" i="3"/>
  <c r="G785" i="3"/>
  <c r="H785" i="3"/>
  <c r="J785" i="3"/>
  <c r="K785" i="3"/>
  <c r="D786" i="3"/>
  <c r="E786" i="3"/>
  <c r="F786" i="3"/>
  <c r="G786" i="3"/>
  <c r="H786" i="3"/>
  <c r="J786" i="3"/>
  <c r="K786" i="3"/>
  <c r="D787" i="3"/>
  <c r="E787" i="3"/>
  <c r="F787" i="3"/>
  <c r="G787" i="3"/>
  <c r="H787" i="3"/>
  <c r="J787" i="3"/>
  <c r="K787" i="3"/>
  <c r="D788" i="3"/>
  <c r="E788" i="3"/>
  <c r="F788" i="3"/>
  <c r="G788" i="3"/>
  <c r="H788" i="3"/>
  <c r="J788" i="3"/>
  <c r="K788" i="3"/>
  <c r="D789" i="3"/>
  <c r="E789" i="3"/>
  <c r="F789" i="3"/>
  <c r="G789" i="3"/>
  <c r="H789" i="3"/>
  <c r="J789" i="3"/>
  <c r="K789" i="3"/>
  <c r="D790" i="3"/>
  <c r="E790" i="3"/>
  <c r="F790" i="3"/>
  <c r="G790" i="3"/>
  <c r="H790" i="3"/>
  <c r="J790" i="3"/>
  <c r="K790" i="3"/>
  <c r="D791" i="3"/>
  <c r="E791" i="3"/>
  <c r="F791" i="3"/>
  <c r="G791" i="3"/>
  <c r="H791" i="3"/>
  <c r="J791" i="3"/>
  <c r="K791" i="3"/>
  <c r="D792" i="3"/>
  <c r="E792" i="3"/>
  <c r="F792" i="3"/>
  <c r="G792" i="3"/>
  <c r="H792" i="3"/>
  <c r="J792" i="3"/>
  <c r="K792" i="3"/>
  <c r="D793" i="3"/>
  <c r="E793" i="3"/>
  <c r="F793" i="3"/>
  <c r="G793" i="3"/>
  <c r="H793" i="3"/>
  <c r="J793" i="3"/>
  <c r="K793" i="3"/>
  <c r="D794" i="3"/>
  <c r="E794" i="3"/>
  <c r="F794" i="3"/>
  <c r="G794" i="3"/>
  <c r="H794" i="3"/>
  <c r="J794" i="3"/>
  <c r="K794" i="3"/>
  <c r="D795" i="3"/>
  <c r="E795" i="3"/>
  <c r="F795" i="3"/>
  <c r="G795" i="3"/>
  <c r="H795" i="3"/>
  <c r="J795" i="3"/>
  <c r="K795" i="3"/>
  <c r="D796" i="3"/>
  <c r="E796" i="3"/>
  <c r="F796" i="3"/>
  <c r="G796" i="3"/>
  <c r="H796" i="3"/>
  <c r="J796" i="3"/>
  <c r="K796" i="3"/>
  <c r="D797" i="3"/>
  <c r="E797" i="3"/>
  <c r="F797" i="3"/>
  <c r="G797" i="3"/>
  <c r="H797" i="3"/>
  <c r="J797" i="3"/>
  <c r="K797" i="3"/>
  <c r="D798" i="3"/>
  <c r="E798" i="3"/>
  <c r="F798" i="3"/>
  <c r="G798" i="3"/>
  <c r="H798" i="3"/>
  <c r="J798" i="3"/>
  <c r="K798" i="3"/>
  <c r="D799" i="3"/>
  <c r="E799" i="3"/>
  <c r="F799" i="3"/>
  <c r="G799" i="3"/>
  <c r="H799" i="3"/>
  <c r="J799" i="3"/>
  <c r="K799" i="3"/>
  <c r="D800" i="3"/>
  <c r="E800" i="3"/>
  <c r="F800" i="3"/>
  <c r="G800" i="3"/>
  <c r="H800" i="3"/>
  <c r="J800" i="3"/>
  <c r="K800" i="3"/>
  <c r="D801" i="3"/>
  <c r="E801" i="3"/>
  <c r="F801" i="3"/>
  <c r="G801" i="3"/>
  <c r="H801" i="3"/>
  <c r="J801" i="3"/>
  <c r="K801" i="3"/>
  <c r="D802" i="3"/>
  <c r="E802" i="3"/>
  <c r="F802" i="3"/>
  <c r="G802" i="3"/>
  <c r="H802" i="3"/>
  <c r="J802" i="3"/>
  <c r="K802" i="3"/>
  <c r="D803" i="3"/>
  <c r="E803" i="3"/>
  <c r="F803" i="3"/>
  <c r="G803" i="3"/>
  <c r="H803" i="3"/>
  <c r="J803" i="3"/>
  <c r="K803" i="3"/>
  <c r="D804" i="3"/>
  <c r="E804" i="3"/>
  <c r="F804" i="3"/>
  <c r="G804" i="3"/>
  <c r="H804" i="3"/>
  <c r="J804" i="3"/>
  <c r="K804" i="3"/>
  <c r="D805" i="3"/>
  <c r="E805" i="3"/>
  <c r="F805" i="3"/>
  <c r="G805" i="3"/>
  <c r="H805" i="3"/>
  <c r="J805" i="3"/>
  <c r="K805" i="3"/>
  <c r="D806" i="3"/>
  <c r="E806" i="3"/>
  <c r="F806" i="3"/>
  <c r="G806" i="3"/>
  <c r="H806" i="3"/>
  <c r="J806" i="3"/>
  <c r="K806" i="3"/>
  <c r="D807" i="3"/>
  <c r="E807" i="3"/>
  <c r="F807" i="3"/>
  <c r="G807" i="3"/>
  <c r="H807" i="3"/>
  <c r="J807" i="3"/>
  <c r="K807" i="3"/>
  <c r="D808" i="3"/>
  <c r="E808" i="3"/>
  <c r="F808" i="3"/>
  <c r="G808" i="3"/>
  <c r="H808" i="3"/>
  <c r="J808" i="3"/>
  <c r="K808" i="3"/>
  <c r="D809" i="3"/>
  <c r="E809" i="3"/>
  <c r="F809" i="3"/>
  <c r="G809" i="3"/>
  <c r="H809" i="3"/>
  <c r="J809" i="3"/>
  <c r="K809" i="3"/>
  <c r="D810" i="3"/>
  <c r="E810" i="3"/>
  <c r="F810" i="3"/>
  <c r="G810" i="3"/>
  <c r="H810" i="3"/>
  <c r="J810" i="3"/>
  <c r="K810" i="3"/>
  <c r="D811" i="3"/>
  <c r="E811" i="3"/>
  <c r="F811" i="3"/>
  <c r="G811" i="3"/>
  <c r="H811" i="3"/>
  <c r="J811" i="3"/>
  <c r="K811" i="3"/>
  <c r="D812" i="3"/>
  <c r="E812" i="3"/>
  <c r="F812" i="3"/>
  <c r="G812" i="3"/>
  <c r="H812" i="3"/>
  <c r="J812" i="3"/>
  <c r="K812" i="3"/>
  <c r="D813" i="3"/>
  <c r="E813" i="3"/>
  <c r="F813" i="3"/>
  <c r="G813" i="3"/>
  <c r="H813" i="3"/>
  <c r="J813" i="3"/>
  <c r="K813" i="3"/>
  <c r="D814" i="3"/>
  <c r="E814" i="3"/>
  <c r="F814" i="3"/>
  <c r="G814" i="3"/>
  <c r="H814" i="3"/>
  <c r="J814" i="3"/>
  <c r="K814" i="3"/>
  <c r="D815" i="3"/>
  <c r="E815" i="3"/>
  <c r="F815" i="3"/>
  <c r="G815" i="3"/>
  <c r="H815" i="3"/>
  <c r="J815" i="3"/>
  <c r="K815" i="3"/>
  <c r="D816" i="3"/>
  <c r="E816" i="3"/>
  <c r="F816" i="3"/>
  <c r="G816" i="3"/>
  <c r="H816" i="3"/>
  <c r="J816" i="3"/>
  <c r="K816" i="3"/>
  <c r="D817" i="3"/>
  <c r="E817" i="3"/>
  <c r="F817" i="3"/>
  <c r="G817" i="3"/>
  <c r="H817" i="3"/>
  <c r="J817" i="3"/>
  <c r="K817" i="3"/>
  <c r="D818" i="3"/>
  <c r="E818" i="3"/>
  <c r="F818" i="3"/>
  <c r="G818" i="3"/>
  <c r="H818" i="3"/>
  <c r="J818" i="3"/>
  <c r="K818" i="3"/>
  <c r="D819" i="3"/>
  <c r="E819" i="3"/>
  <c r="F819" i="3"/>
  <c r="G819" i="3"/>
  <c r="H819" i="3"/>
  <c r="J819" i="3"/>
  <c r="K819" i="3"/>
  <c r="D820" i="3"/>
  <c r="E820" i="3"/>
  <c r="F820" i="3"/>
  <c r="G820" i="3"/>
  <c r="H820" i="3"/>
  <c r="J820" i="3"/>
  <c r="K820" i="3"/>
  <c r="D821" i="3"/>
  <c r="E821" i="3"/>
  <c r="F821" i="3"/>
  <c r="G821" i="3"/>
  <c r="H821" i="3"/>
  <c r="J821" i="3"/>
  <c r="K821" i="3"/>
  <c r="D822" i="3"/>
  <c r="E822" i="3"/>
  <c r="F822" i="3"/>
  <c r="G822" i="3"/>
  <c r="H822" i="3"/>
  <c r="J822" i="3"/>
  <c r="K822" i="3"/>
  <c r="D823" i="3"/>
  <c r="E823" i="3"/>
  <c r="F823" i="3"/>
  <c r="G823" i="3"/>
  <c r="H823" i="3"/>
  <c r="J823" i="3"/>
  <c r="K823" i="3"/>
  <c r="D824" i="3"/>
  <c r="E824" i="3"/>
  <c r="F824" i="3"/>
  <c r="G824" i="3"/>
  <c r="H824" i="3"/>
  <c r="J824" i="3"/>
  <c r="K824" i="3"/>
  <c r="D825" i="3"/>
  <c r="E825" i="3"/>
  <c r="F825" i="3"/>
  <c r="G825" i="3"/>
  <c r="H825" i="3"/>
  <c r="J825" i="3"/>
  <c r="K825" i="3"/>
  <c r="D826" i="3"/>
  <c r="E826" i="3"/>
  <c r="F826" i="3"/>
  <c r="G826" i="3"/>
  <c r="H826" i="3"/>
  <c r="J826" i="3"/>
  <c r="K826" i="3"/>
  <c r="D827" i="3"/>
  <c r="E827" i="3"/>
  <c r="F827" i="3"/>
  <c r="G827" i="3"/>
  <c r="H827" i="3"/>
  <c r="J827" i="3"/>
  <c r="K827" i="3"/>
  <c r="D828" i="3"/>
  <c r="E828" i="3"/>
  <c r="F828" i="3"/>
  <c r="G828" i="3"/>
  <c r="H828" i="3"/>
  <c r="J828" i="3"/>
  <c r="K828" i="3"/>
  <c r="D829" i="3"/>
  <c r="E829" i="3"/>
  <c r="F829" i="3"/>
  <c r="G829" i="3"/>
  <c r="H829" i="3"/>
  <c r="J829" i="3"/>
  <c r="K829" i="3"/>
  <c r="D830" i="3"/>
  <c r="E830" i="3"/>
  <c r="F830" i="3"/>
  <c r="G830" i="3"/>
  <c r="H830" i="3"/>
  <c r="J830" i="3"/>
  <c r="K830" i="3"/>
  <c r="D831" i="3"/>
  <c r="E831" i="3"/>
  <c r="F831" i="3"/>
  <c r="G831" i="3"/>
  <c r="H831" i="3"/>
  <c r="J831" i="3"/>
  <c r="K831" i="3"/>
  <c r="D832" i="3"/>
  <c r="E832" i="3"/>
  <c r="F832" i="3"/>
  <c r="G832" i="3"/>
  <c r="H832" i="3"/>
  <c r="J832" i="3"/>
  <c r="K832" i="3"/>
  <c r="D833" i="3"/>
  <c r="E833" i="3"/>
  <c r="F833" i="3"/>
  <c r="G833" i="3"/>
  <c r="H833" i="3"/>
  <c r="J833" i="3"/>
  <c r="K833" i="3"/>
  <c r="D834" i="3"/>
  <c r="E834" i="3"/>
  <c r="F834" i="3"/>
  <c r="G834" i="3"/>
  <c r="H834" i="3"/>
  <c r="J834" i="3"/>
  <c r="K834" i="3"/>
  <c r="D835" i="3"/>
  <c r="E835" i="3"/>
  <c r="F835" i="3"/>
  <c r="G835" i="3"/>
  <c r="H835" i="3"/>
  <c r="J835" i="3"/>
  <c r="K835" i="3"/>
  <c r="D836" i="3"/>
  <c r="E836" i="3"/>
  <c r="F836" i="3"/>
  <c r="G836" i="3"/>
  <c r="H836" i="3"/>
  <c r="J836" i="3"/>
  <c r="K836" i="3"/>
  <c r="D837" i="3"/>
  <c r="E837" i="3"/>
  <c r="F837" i="3"/>
  <c r="G837" i="3"/>
  <c r="H837" i="3"/>
  <c r="J837" i="3"/>
  <c r="K837" i="3"/>
  <c r="D838" i="3"/>
  <c r="E838" i="3"/>
  <c r="F838" i="3"/>
  <c r="G838" i="3"/>
  <c r="H838" i="3"/>
  <c r="J838" i="3"/>
  <c r="K838" i="3"/>
  <c r="D839" i="3"/>
  <c r="E839" i="3"/>
  <c r="F839" i="3"/>
  <c r="G839" i="3"/>
  <c r="H839" i="3"/>
  <c r="J839" i="3"/>
  <c r="K839" i="3"/>
  <c r="D840" i="3"/>
  <c r="E840" i="3"/>
  <c r="F840" i="3"/>
  <c r="G840" i="3"/>
  <c r="H840" i="3"/>
  <c r="J840" i="3"/>
  <c r="K840" i="3"/>
  <c r="D841" i="3"/>
  <c r="E841" i="3"/>
  <c r="F841" i="3"/>
  <c r="G841" i="3"/>
  <c r="H841" i="3"/>
  <c r="J841" i="3"/>
  <c r="K841" i="3"/>
  <c r="D842" i="3"/>
  <c r="E842" i="3"/>
  <c r="F842" i="3"/>
  <c r="G842" i="3"/>
  <c r="H842" i="3"/>
  <c r="J842" i="3"/>
  <c r="K842" i="3"/>
  <c r="D843" i="3"/>
  <c r="E843" i="3"/>
  <c r="F843" i="3"/>
  <c r="G843" i="3"/>
  <c r="H843" i="3"/>
  <c r="J843" i="3"/>
  <c r="K843" i="3"/>
  <c r="D844" i="3"/>
  <c r="E844" i="3"/>
  <c r="F844" i="3"/>
  <c r="G844" i="3"/>
  <c r="H844" i="3"/>
  <c r="J844" i="3"/>
  <c r="K844" i="3"/>
  <c r="D845" i="3"/>
  <c r="E845" i="3"/>
  <c r="F845" i="3"/>
  <c r="G845" i="3"/>
  <c r="H845" i="3"/>
  <c r="J845" i="3"/>
  <c r="K845" i="3"/>
  <c r="D846" i="3"/>
  <c r="E846" i="3"/>
  <c r="F846" i="3"/>
  <c r="G846" i="3"/>
  <c r="H846" i="3"/>
  <c r="J846" i="3"/>
  <c r="K846" i="3"/>
  <c r="D847" i="3"/>
  <c r="E847" i="3"/>
  <c r="F847" i="3"/>
  <c r="G847" i="3"/>
  <c r="H847" i="3"/>
  <c r="J847" i="3"/>
  <c r="K847" i="3"/>
  <c r="D848" i="3"/>
  <c r="E848" i="3"/>
  <c r="F848" i="3"/>
  <c r="G848" i="3"/>
  <c r="H848" i="3"/>
  <c r="J848" i="3"/>
  <c r="K848" i="3"/>
  <c r="D849" i="3"/>
  <c r="E849" i="3"/>
  <c r="F849" i="3"/>
  <c r="G849" i="3"/>
  <c r="H849" i="3"/>
  <c r="J849" i="3"/>
  <c r="K849" i="3"/>
  <c r="D850" i="3"/>
  <c r="E850" i="3"/>
  <c r="F850" i="3"/>
  <c r="G850" i="3"/>
  <c r="H850" i="3"/>
  <c r="J850" i="3"/>
  <c r="K850" i="3"/>
  <c r="D851" i="3"/>
  <c r="E851" i="3"/>
  <c r="F851" i="3"/>
  <c r="G851" i="3"/>
  <c r="H851" i="3"/>
  <c r="J851" i="3"/>
  <c r="K851" i="3"/>
  <c r="D852" i="3"/>
  <c r="E852" i="3"/>
  <c r="F852" i="3"/>
  <c r="G852" i="3"/>
  <c r="H852" i="3"/>
  <c r="J852" i="3"/>
  <c r="K852" i="3"/>
  <c r="D853" i="3"/>
  <c r="E853" i="3"/>
  <c r="F853" i="3"/>
  <c r="G853" i="3"/>
  <c r="H853" i="3"/>
  <c r="J853" i="3"/>
  <c r="K853" i="3"/>
  <c r="D854" i="3"/>
  <c r="E854" i="3"/>
  <c r="F854" i="3"/>
  <c r="G854" i="3"/>
  <c r="H854" i="3"/>
  <c r="J854" i="3"/>
  <c r="K854" i="3"/>
  <c r="D855" i="3"/>
  <c r="E855" i="3"/>
  <c r="F855" i="3"/>
  <c r="G855" i="3"/>
  <c r="H855" i="3"/>
  <c r="J855" i="3"/>
  <c r="K855" i="3"/>
  <c r="D856" i="3"/>
  <c r="E856" i="3"/>
  <c r="F856" i="3"/>
  <c r="G856" i="3"/>
  <c r="H856" i="3"/>
  <c r="J856" i="3"/>
  <c r="K856" i="3"/>
  <c r="D857" i="3"/>
  <c r="E857" i="3"/>
  <c r="F857" i="3"/>
  <c r="G857" i="3"/>
  <c r="H857" i="3"/>
  <c r="J857" i="3"/>
  <c r="K857" i="3"/>
  <c r="D858" i="3"/>
  <c r="E858" i="3"/>
  <c r="F858" i="3"/>
  <c r="G858" i="3"/>
  <c r="H858" i="3"/>
  <c r="J858" i="3"/>
  <c r="K858" i="3"/>
  <c r="D859" i="3"/>
  <c r="E859" i="3"/>
  <c r="F859" i="3"/>
  <c r="G859" i="3"/>
  <c r="H859" i="3"/>
  <c r="J859" i="3"/>
  <c r="K859" i="3"/>
  <c r="D860" i="3"/>
  <c r="E860" i="3"/>
  <c r="F860" i="3"/>
  <c r="G860" i="3"/>
  <c r="H860" i="3"/>
  <c r="J860" i="3"/>
  <c r="K860" i="3"/>
  <c r="D861" i="3"/>
  <c r="E861" i="3"/>
  <c r="F861" i="3"/>
  <c r="G861" i="3"/>
  <c r="H861" i="3"/>
  <c r="J861" i="3"/>
  <c r="K861" i="3"/>
  <c r="D862" i="3"/>
  <c r="E862" i="3"/>
  <c r="F862" i="3"/>
  <c r="G862" i="3"/>
  <c r="H862" i="3"/>
  <c r="J862" i="3"/>
  <c r="K862" i="3"/>
  <c r="D863" i="3"/>
  <c r="E863" i="3"/>
  <c r="F863" i="3"/>
  <c r="G863" i="3"/>
  <c r="H863" i="3"/>
  <c r="J863" i="3"/>
  <c r="K863" i="3"/>
  <c r="D864" i="3"/>
  <c r="E864" i="3"/>
  <c r="F864" i="3"/>
  <c r="G864" i="3"/>
  <c r="H864" i="3"/>
  <c r="J864" i="3"/>
  <c r="K864" i="3"/>
  <c r="D865" i="3"/>
  <c r="E865" i="3"/>
  <c r="F865" i="3"/>
  <c r="G865" i="3"/>
  <c r="H865" i="3"/>
  <c r="J865" i="3"/>
  <c r="K865" i="3"/>
  <c r="D866" i="3"/>
  <c r="E866" i="3"/>
  <c r="F866" i="3"/>
  <c r="G866" i="3"/>
  <c r="H866" i="3"/>
  <c r="J866" i="3"/>
  <c r="K866" i="3"/>
  <c r="D867" i="3"/>
  <c r="E867" i="3"/>
  <c r="F867" i="3"/>
  <c r="G867" i="3"/>
  <c r="H867" i="3"/>
  <c r="J867" i="3"/>
  <c r="K867" i="3"/>
  <c r="D868" i="3"/>
  <c r="E868" i="3"/>
  <c r="F868" i="3"/>
  <c r="G868" i="3"/>
  <c r="H868" i="3"/>
  <c r="J868" i="3"/>
  <c r="K868" i="3"/>
  <c r="D869" i="3"/>
  <c r="E869" i="3"/>
  <c r="F869" i="3"/>
  <c r="G869" i="3"/>
  <c r="H869" i="3"/>
  <c r="J869" i="3"/>
  <c r="K869" i="3"/>
  <c r="D870" i="3"/>
  <c r="E870" i="3"/>
  <c r="F870" i="3"/>
  <c r="G870" i="3"/>
  <c r="H870" i="3"/>
  <c r="J870" i="3"/>
  <c r="K870" i="3"/>
  <c r="D871" i="3"/>
  <c r="E871" i="3"/>
  <c r="F871" i="3"/>
  <c r="G871" i="3"/>
  <c r="H871" i="3"/>
  <c r="J871" i="3"/>
  <c r="K871" i="3"/>
  <c r="D872" i="3"/>
  <c r="E872" i="3"/>
  <c r="F872" i="3"/>
  <c r="G872" i="3"/>
  <c r="H872" i="3"/>
  <c r="J872" i="3"/>
  <c r="K872" i="3"/>
  <c r="D873" i="3"/>
  <c r="E873" i="3"/>
  <c r="F873" i="3"/>
  <c r="G873" i="3"/>
  <c r="H873" i="3"/>
  <c r="J873" i="3"/>
  <c r="K873" i="3"/>
  <c r="D874" i="3"/>
  <c r="E874" i="3"/>
  <c r="F874" i="3"/>
  <c r="G874" i="3"/>
  <c r="H874" i="3"/>
  <c r="J874" i="3"/>
  <c r="K874" i="3"/>
  <c r="D875" i="3"/>
  <c r="E875" i="3"/>
  <c r="F875" i="3"/>
  <c r="G875" i="3"/>
  <c r="H875" i="3"/>
  <c r="J875" i="3"/>
  <c r="K875" i="3"/>
  <c r="D876" i="3"/>
  <c r="E876" i="3"/>
  <c r="F876" i="3"/>
  <c r="G876" i="3"/>
  <c r="H876" i="3"/>
  <c r="J876" i="3"/>
  <c r="K876" i="3"/>
  <c r="D877" i="3"/>
  <c r="E877" i="3"/>
  <c r="F877" i="3"/>
  <c r="G877" i="3"/>
  <c r="H877" i="3"/>
  <c r="J877" i="3"/>
  <c r="K877" i="3"/>
  <c r="D878" i="3"/>
  <c r="E878" i="3"/>
  <c r="F878" i="3"/>
  <c r="G878" i="3"/>
  <c r="H878" i="3"/>
  <c r="J878" i="3"/>
  <c r="K878" i="3"/>
  <c r="D879" i="3"/>
  <c r="E879" i="3"/>
  <c r="F879" i="3"/>
  <c r="G879" i="3"/>
  <c r="H879" i="3"/>
  <c r="J879" i="3"/>
  <c r="K879" i="3"/>
  <c r="D880" i="3"/>
  <c r="E880" i="3"/>
  <c r="F880" i="3"/>
  <c r="G880" i="3"/>
  <c r="H880" i="3"/>
  <c r="J880" i="3"/>
  <c r="K880" i="3"/>
  <c r="D881" i="3"/>
  <c r="E881" i="3"/>
  <c r="F881" i="3"/>
  <c r="G881" i="3"/>
  <c r="H881" i="3"/>
  <c r="J881" i="3"/>
  <c r="K881" i="3"/>
  <c r="D882" i="3"/>
  <c r="E882" i="3"/>
  <c r="F882" i="3"/>
  <c r="G882" i="3"/>
  <c r="H882" i="3"/>
  <c r="J882" i="3"/>
  <c r="K882" i="3"/>
  <c r="D883" i="3"/>
  <c r="E883" i="3"/>
  <c r="F883" i="3"/>
  <c r="G883" i="3"/>
  <c r="H883" i="3"/>
  <c r="J883" i="3"/>
  <c r="K883" i="3"/>
  <c r="D884" i="3"/>
  <c r="E884" i="3"/>
  <c r="F884" i="3"/>
  <c r="G884" i="3"/>
  <c r="H884" i="3"/>
  <c r="J884" i="3"/>
  <c r="K884" i="3"/>
  <c r="D885" i="3"/>
  <c r="E885" i="3"/>
  <c r="F885" i="3"/>
  <c r="G885" i="3"/>
  <c r="H885" i="3"/>
  <c r="J885" i="3"/>
  <c r="K885" i="3"/>
  <c r="D886" i="3"/>
  <c r="E886" i="3"/>
  <c r="F886" i="3"/>
  <c r="G886" i="3"/>
  <c r="H886" i="3"/>
  <c r="J886" i="3"/>
  <c r="K886" i="3"/>
  <c r="D887" i="3"/>
  <c r="E887" i="3"/>
  <c r="F887" i="3"/>
  <c r="G887" i="3"/>
  <c r="H887" i="3"/>
  <c r="J887" i="3"/>
  <c r="K887" i="3"/>
  <c r="D888" i="3"/>
  <c r="E888" i="3"/>
  <c r="F888" i="3"/>
  <c r="G888" i="3"/>
  <c r="H888" i="3"/>
  <c r="J888" i="3"/>
  <c r="K888" i="3"/>
  <c r="D889" i="3"/>
  <c r="E889" i="3"/>
  <c r="F889" i="3"/>
  <c r="G889" i="3"/>
  <c r="H889" i="3"/>
  <c r="J889" i="3"/>
  <c r="K889" i="3"/>
  <c r="D890" i="3"/>
  <c r="E890" i="3"/>
  <c r="F890" i="3"/>
  <c r="G890" i="3"/>
  <c r="H890" i="3"/>
  <c r="J890" i="3"/>
  <c r="K890" i="3"/>
  <c r="D891" i="3"/>
  <c r="E891" i="3"/>
  <c r="F891" i="3"/>
  <c r="G891" i="3"/>
  <c r="H891" i="3"/>
  <c r="J891" i="3"/>
  <c r="K891" i="3"/>
  <c r="D892" i="3"/>
  <c r="E892" i="3"/>
  <c r="F892" i="3"/>
  <c r="G892" i="3"/>
  <c r="H892" i="3"/>
  <c r="J892" i="3"/>
  <c r="K892" i="3"/>
  <c r="D893" i="3"/>
  <c r="E893" i="3"/>
  <c r="F893" i="3"/>
  <c r="G893" i="3"/>
  <c r="H893" i="3"/>
  <c r="J893" i="3"/>
  <c r="K893" i="3"/>
  <c r="D894" i="3"/>
  <c r="E894" i="3"/>
  <c r="F894" i="3"/>
  <c r="G894" i="3"/>
  <c r="H894" i="3"/>
  <c r="J894" i="3"/>
  <c r="K894" i="3"/>
  <c r="D895" i="3"/>
  <c r="E895" i="3"/>
  <c r="F895" i="3"/>
  <c r="G895" i="3"/>
  <c r="H895" i="3"/>
  <c r="J895" i="3"/>
  <c r="K895" i="3"/>
  <c r="D896" i="3"/>
  <c r="E896" i="3"/>
  <c r="F896" i="3"/>
  <c r="G896" i="3"/>
  <c r="H896" i="3"/>
  <c r="J896" i="3"/>
  <c r="K896" i="3"/>
  <c r="D897" i="3"/>
  <c r="E897" i="3"/>
  <c r="F897" i="3"/>
  <c r="G897" i="3"/>
  <c r="H897" i="3"/>
  <c r="J897" i="3"/>
  <c r="K897" i="3"/>
  <c r="D898" i="3"/>
  <c r="E898" i="3"/>
  <c r="F898" i="3"/>
  <c r="G898" i="3"/>
  <c r="H898" i="3"/>
  <c r="J898" i="3"/>
  <c r="K898" i="3"/>
  <c r="D899" i="3"/>
  <c r="E899" i="3"/>
  <c r="F899" i="3"/>
  <c r="G899" i="3"/>
  <c r="H899" i="3"/>
  <c r="J899" i="3"/>
  <c r="K899" i="3"/>
  <c r="D900" i="3"/>
  <c r="E900" i="3"/>
  <c r="F900" i="3"/>
  <c r="G900" i="3"/>
  <c r="H900" i="3"/>
  <c r="J900" i="3"/>
  <c r="K900" i="3"/>
  <c r="D901" i="3"/>
  <c r="E901" i="3"/>
  <c r="F901" i="3"/>
  <c r="G901" i="3"/>
  <c r="H901" i="3"/>
  <c r="J901" i="3"/>
  <c r="K901" i="3"/>
  <c r="D902" i="3"/>
  <c r="E902" i="3"/>
  <c r="F902" i="3"/>
  <c r="G902" i="3"/>
  <c r="H902" i="3"/>
  <c r="J902" i="3"/>
  <c r="K902" i="3"/>
  <c r="D903" i="3"/>
  <c r="E903" i="3"/>
  <c r="F903" i="3"/>
  <c r="G903" i="3"/>
  <c r="H903" i="3"/>
  <c r="J903" i="3"/>
  <c r="K903" i="3"/>
  <c r="D904" i="3"/>
  <c r="E904" i="3"/>
  <c r="F904" i="3"/>
  <c r="G904" i="3"/>
  <c r="H904" i="3"/>
  <c r="J904" i="3"/>
  <c r="K904" i="3"/>
  <c r="D905" i="3"/>
  <c r="E905" i="3"/>
  <c r="F905" i="3"/>
  <c r="G905" i="3"/>
  <c r="H905" i="3"/>
  <c r="J905" i="3"/>
  <c r="K905" i="3"/>
  <c r="D906" i="3"/>
  <c r="E906" i="3"/>
  <c r="F906" i="3"/>
  <c r="G906" i="3"/>
  <c r="H906" i="3"/>
  <c r="J906" i="3"/>
  <c r="K906" i="3"/>
  <c r="D907" i="3"/>
  <c r="E907" i="3"/>
  <c r="F907" i="3"/>
  <c r="G907" i="3"/>
  <c r="H907" i="3"/>
  <c r="J907" i="3"/>
  <c r="K907" i="3"/>
  <c r="D908" i="3"/>
  <c r="E908" i="3"/>
  <c r="F908" i="3"/>
  <c r="G908" i="3"/>
  <c r="H908" i="3"/>
  <c r="J908" i="3"/>
  <c r="K908" i="3"/>
  <c r="D909" i="3"/>
  <c r="E909" i="3"/>
  <c r="F909" i="3"/>
  <c r="G909" i="3"/>
  <c r="H909" i="3"/>
  <c r="J909" i="3"/>
  <c r="K909" i="3"/>
  <c r="D910" i="3"/>
  <c r="E910" i="3"/>
  <c r="F910" i="3"/>
  <c r="G910" i="3"/>
  <c r="H910" i="3"/>
  <c r="J910" i="3"/>
  <c r="K910" i="3"/>
  <c r="D911" i="3"/>
  <c r="E911" i="3"/>
  <c r="F911" i="3"/>
  <c r="G911" i="3"/>
  <c r="H911" i="3"/>
  <c r="J911" i="3"/>
  <c r="K911" i="3"/>
  <c r="D912" i="3"/>
  <c r="E912" i="3"/>
  <c r="F912" i="3"/>
  <c r="G912" i="3"/>
  <c r="H912" i="3"/>
  <c r="J912" i="3"/>
  <c r="K912" i="3"/>
  <c r="D913" i="3"/>
  <c r="E913" i="3"/>
  <c r="F913" i="3"/>
  <c r="G913" i="3"/>
  <c r="H913" i="3"/>
  <c r="J913" i="3"/>
  <c r="K913" i="3"/>
  <c r="D914" i="3"/>
  <c r="E914" i="3"/>
  <c r="F914" i="3"/>
  <c r="G914" i="3"/>
  <c r="H914" i="3"/>
  <c r="J914" i="3"/>
  <c r="K914" i="3"/>
  <c r="D915" i="3"/>
  <c r="E915" i="3"/>
  <c r="F915" i="3"/>
  <c r="G915" i="3"/>
  <c r="H915" i="3"/>
  <c r="J915" i="3"/>
  <c r="K915" i="3"/>
  <c r="D916" i="3"/>
  <c r="E916" i="3"/>
  <c r="F916" i="3"/>
  <c r="G916" i="3"/>
  <c r="H916" i="3"/>
  <c r="J916" i="3"/>
  <c r="K916" i="3"/>
  <c r="D917" i="3"/>
  <c r="E917" i="3"/>
  <c r="F917" i="3"/>
  <c r="G917" i="3"/>
  <c r="H917" i="3"/>
  <c r="J917" i="3"/>
  <c r="K917" i="3"/>
  <c r="D918" i="3"/>
  <c r="E918" i="3"/>
  <c r="F918" i="3"/>
  <c r="G918" i="3"/>
  <c r="H918" i="3"/>
  <c r="J918" i="3"/>
  <c r="K918" i="3"/>
  <c r="D919" i="3"/>
  <c r="E919" i="3"/>
  <c r="F919" i="3"/>
  <c r="G919" i="3"/>
  <c r="H919" i="3"/>
  <c r="J919" i="3"/>
  <c r="K919" i="3"/>
  <c r="D920" i="3"/>
  <c r="E920" i="3"/>
  <c r="F920" i="3"/>
  <c r="G920" i="3"/>
  <c r="H920" i="3"/>
  <c r="J920" i="3"/>
  <c r="K920" i="3"/>
  <c r="D921" i="3"/>
  <c r="E921" i="3"/>
  <c r="F921" i="3"/>
  <c r="G921" i="3"/>
  <c r="H921" i="3"/>
  <c r="J921" i="3"/>
  <c r="K921" i="3"/>
  <c r="D922" i="3"/>
  <c r="E922" i="3"/>
  <c r="F922" i="3"/>
  <c r="G922" i="3"/>
  <c r="H922" i="3"/>
  <c r="J922" i="3"/>
  <c r="K922" i="3"/>
  <c r="D923" i="3"/>
  <c r="E923" i="3"/>
  <c r="F923" i="3"/>
  <c r="G923" i="3"/>
  <c r="H923" i="3"/>
  <c r="J923" i="3"/>
  <c r="K923" i="3"/>
  <c r="D924" i="3"/>
  <c r="E924" i="3"/>
  <c r="F924" i="3"/>
  <c r="G924" i="3"/>
  <c r="H924" i="3"/>
  <c r="J924" i="3"/>
  <c r="K924" i="3"/>
  <c r="D925" i="3"/>
  <c r="E925" i="3"/>
  <c r="F925" i="3"/>
  <c r="G925" i="3"/>
  <c r="H925" i="3"/>
  <c r="J925" i="3"/>
  <c r="K925" i="3"/>
  <c r="D926" i="3"/>
  <c r="E926" i="3"/>
  <c r="F926" i="3"/>
  <c r="G926" i="3"/>
  <c r="H926" i="3"/>
  <c r="J926" i="3"/>
  <c r="K926" i="3"/>
  <c r="D927" i="3"/>
  <c r="E927" i="3"/>
  <c r="F927" i="3"/>
  <c r="G927" i="3"/>
  <c r="H927" i="3"/>
  <c r="J927" i="3"/>
  <c r="K927" i="3"/>
  <c r="D928" i="3"/>
  <c r="E928" i="3"/>
  <c r="F928" i="3"/>
  <c r="G928" i="3"/>
  <c r="H928" i="3"/>
  <c r="J928" i="3"/>
  <c r="K928" i="3"/>
  <c r="D929" i="3"/>
  <c r="E929" i="3"/>
  <c r="F929" i="3"/>
  <c r="G929" i="3"/>
  <c r="H929" i="3"/>
  <c r="J929" i="3"/>
  <c r="K929" i="3"/>
  <c r="D930" i="3"/>
  <c r="E930" i="3"/>
  <c r="F930" i="3"/>
  <c r="G930" i="3"/>
  <c r="H930" i="3"/>
  <c r="J930" i="3"/>
  <c r="K930" i="3"/>
  <c r="D931" i="3"/>
  <c r="E931" i="3"/>
  <c r="F931" i="3"/>
  <c r="G931" i="3"/>
  <c r="H931" i="3"/>
  <c r="J931" i="3"/>
  <c r="K931" i="3"/>
  <c r="D932" i="3"/>
  <c r="E932" i="3"/>
  <c r="F932" i="3"/>
  <c r="G932" i="3"/>
  <c r="H932" i="3"/>
  <c r="J932" i="3"/>
  <c r="K932" i="3"/>
  <c r="D933" i="3"/>
  <c r="E933" i="3"/>
  <c r="F933" i="3"/>
  <c r="G933" i="3"/>
  <c r="H933" i="3"/>
  <c r="J933" i="3"/>
  <c r="K933" i="3"/>
  <c r="D934" i="3"/>
  <c r="E934" i="3"/>
  <c r="F934" i="3"/>
  <c r="G934" i="3"/>
  <c r="H934" i="3"/>
  <c r="J934" i="3"/>
  <c r="K934" i="3"/>
  <c r="D935" i="3"/>
  <c r="E935" i="3"/>
  <c r="F935" i="3"/>
  <c r="G935" i="3"/>
  <c r="H935" i="3"/>
  <c r="J935" i="3"/>
  <c r="K935" i="3"/>
  <c r="D936" i="3"/>
  <c r="E936" i="3"/>
  <c r="F936" i="3"/>
  <c r="G936" i="3"/>
  <c r="H936" i="3"/>
  <c r="J936" i="3"/>
  <c r="K936" i="3"/>
  <c r="D937" i="3"/>
  <c r="E937" i="3"/>
  <c r="F937" i="3"/>
  <c r="G937" i="3"/>
  <c r="H937" i="3"/>
  <c r="J937" i="3"/>
  <c r="K937" i="3"/>
  <c r="D938" i="3"/>
  <c r="E938" i="3"/>
  <c r="F938" i="3"/>
  <c r="G938" i="3"/>
  <c r="H938" i="3"/>
  <c r="J938" i="3"/>
  <c r="K938" i="3"/>
  <c r="D939" i="3"/>
  <c r="E939" i="3"/>
  <c r="F939" i="3"/>
  <c r="G939" i="3"/>
  <c r="H939" i="3"/>
  <c r="J939" i="3"/>
  <c r="K939" i="3"/>
  <c r="D940" i="3"/>
  <c r="E940" i="3"/>
  <c r="F940" i="3"/>
  <c r="G940" i="3"/>
  <c r="H940" i="3"/>
  <c r="J940" i="3"/>
  <c r="K940" i="3"/>
  <c r="D941" i="3"/>
  <c r="E941" i="3"/>
  <c r="F941" i="3"/>
  <c r="G941" i="3"/>
  <c r="H941" i="3"/>
  <c r="J941" i="3"/>
  <c r="K941" i="3"/>
  <c r="D942" i="3"/>
  <c r="E942" i="3"/>
  <c r="F942" i="3"/>
  <c r="G942" i="3"/>
  <c r="H942" i="3"/>
  <c r="J942" i="3"/>
  <c r="K942" i="3"/>
  <c r="D943" i="3"/>
  <c r="E943" i="3"/>
  <c r="F943" i="3"/>
  <c r="G943" i="3"/>
  <c r="H943" i="3"/>
  <c r="J943" i="3"/>
  <c r="K943" i="3"/>
  <c r="D944" i="3"/>
  <c r="E944" i="3"/>
  <c r="F944" i="3"/>
  <c r="G944" i="3"/>
  <c r="H944" i="3"/>
  <c r="J944" i="3"/>
  <c r="K944" i="3"/>
  <c r="D945" i="3"/>
  <c r="E945" i="3"/>
  <c r="F945" i="3"/>
  <c r="G945" i="3"/>
  <c r="H945" i="3"/>
  <c r="J945" i="3"/>
  <c r="K945" i="3"/>
  <c r="D946" i="3"/>
  <c r="E946" i="3"/>
  <c r="F946" i="3"/>
  <c r="G946" i="3"/>
  <c r="H946" i="3"/>
  <c r="J946" i="3"/>
  <c r="K946" i="3"/>
  <c r="D947" i="3"/>
  <c r="E947" i="3"/>
  <c r="F947" i="3"/>
  <c r="G947" i="3"/>
  <c r="H947" i="3"/>
  <c r="J947" i="3"/>
  <c r="K947" i="3"/>
  <c r="D948" i="3"/>
  <c r="E948" i="3"/>
  <c r="F948" i="3"/>
  <c r="G948" i="3"/>
  <c r="H948" i="3"/>
  <c r="J948" i="3"/>
  <c r="K948" i="3"/>
  <c r="D949" i="3"/>
  <c r="E949" i="3"/>
  <c r="F949" i="3"/>
  <c r="G949" i="3"/>
  <c r="H949" i="3"/>
  <c r="J949" i="3"/>
  <c r="K949" i="3"/>
  <c r="D950" i="3"/>
  <c r="E950" i="3"/>
  <c r="F950" i="3"/>
  <c r="G950" i="3"/>
  <c r="H950" i="3"/>
  <c r="J950" i="3"/>
  <c r="K950" i="3"/>
  <c r="D951" i="3"/>
  <c r="E951" i="3"/>
  <c r="F951" i="3"/>
  <c r="G951" i="3"/>
  <c r="H951" i="3"/>
  <c r="J951" i="3"/>
  <c r="K951" i="3"/>
  <c r="D952" i="3"/>
  <c r="E952" i="3"/>
  <c r="F952" i="3"/>
  <c r="G952" i="3"/>
  <c r="H952" i="3"/>
  <c r="J952" i="3"/>
  <c r="K952" i="3"/>
  <c r="D953" i="3"/>
  <c r="E953" i="3"/>
  <c r="F953" i="3"/>
  <c r="G953" i="3"/>
  <c r="H953" i="3"/>
  <c r="J953" i="3"/>
  <c r="K953" i="3"/>
  <c r="D954" i="3"/>
  <c r="E954" i="3"/>
  <c r="F954" i="3"/>
  <c r="G954" i="3"/>
  <c r="H954" i="3"/>
  <c r="J954" i="3"/>
  <c r="K954" i="3"/>
  <c r="D955" i="3"/>
  <c r="E955" i="3"/>
  <c r="F955" i="3"/>
  <c r="G955" i="3"/>
  <c r="H955" i="3"/>
  <c r="J955" i="3"/>
  <c r="K955" i="3"/>
  <c r="D956" i="3"/>
  <c r="E956" i="3"/>
  <c r="F956" i="3"/>
  <c r="G956" i="3"/>
  <c r="H956" i="3"/>
  <c r="J956" i="3"/>
  <c r="K956" i="3"/>
  <c r="D957" i="3"/>
  <c r="E957" i="3"/>
  <c r="F957" i="3"/>
  <c r="G957" i="3"/>
  <c r="H957" i="3"/>
  <c r="J957" i="3"/>
  <c r="K957" i="3"/>
  <c r="D958" i="3"/>
  <c r="E958" i="3"/>
  <c r="F958" i="3"/>
  <c r="G958" i="3"/>
  <c r="H958" i="3"/>
  <c r="J958" i="3"/>
  <c r="K958" i="3"/>
  <c r="D959" i="3"/>
  <c r="E959" i="3"/>
  <c r="F959" i="3"/>
  <c r="G959" i="3"/>
  <c r="H959" i="3"/>
  <c r="J959" i="3"/>
  <c r="K959" i="3"/>
  <c r="D960" i="3"/>
  <c r="E960" i="3"/>
  <c r="F960" i="3"/>
  <c r="G960" i="3"/>
  <c r="H960" i="3"/>
  <c r="J960" i="3"/>
  <c r="K960" i="3"/>
  <c r="D961" i="3"/>
  <c r="E961" i="3"/>
  <c r="F961" i="3"/>
  <c r="G961" i="3"/>
  <c r="H961" i="3"/>
  <c r="J961" i="3"/>
  <c r="K961" i="3"/>
  <c r="D962" i="3"/>
  <c r="E962" i="3"/>
  <c r="F962" i="3"/>
  <c r="G962" i="3"/>
  <c r="H962" i="3"/>
  <c r="J962" i="3"/>
  <c r="K962" i="3"/>
  <c r="D963" i="3"/>
  <c r="E963" i="3"/>
  <c r="F963" i="3"/>
  <c r="G963" i="3"/>
  <c r="H963" i="3"/>
  <c r="J963" i="3"/>
  <c r="K963" i="3"/>
  <c r="D964" i="3"/>
  <c r="E964" i="3"/>
  <c r="F964" i="3"/>
  <c r="G964" i="3"/>
  <c r="H964" i="3"/>
  <c r="J964" i="3"/>
  <c r="K964" i="3"/>
  <c r="D965" i="3"/>
  <c r="E965" i="3"/>
  <c r="F965" i="3"/>
  <c r="G965" i="3"/>
  <c r="H965" i="3"/>
  <c r="J965" i="3"/>
  <c r="K965" i="3"/>
  <c r="D966" i="3"/>
  <c r="E966" i="3"/>
  <c r="F966" i="3"/>
  <c r="G966" i="3"/>
  <c r="H966" i="3"/>
  <c r="J966" i="3"/>
  <c r="K966" i="3"/>
  <c r="D967" i="3"/>
  <c r="E967" i="3"/>
  <c r="F967" i="3"/>
  <c r="G967" i="3"/>
  <c r="H967" i="3"/>
  <c r="J967" i="3"/>
  <c r="K967" i="3"/>
  <c r="D968" i="3"/>
  <c r="E968" i="3"/>
  <c r="F968" i="3"/>
  <c r="G968" i="3"/>
  <c r="H968" i="3"/>
  <c r="J968" i="3"/>
  <c r="K968" i="3"/>
  <c r="D969" i="3"/>
  <c r="E969" i="3"/>
  <c r="F969" i="3"/>
  <c r="G969" i="3"/>
  <c r="H969" i="3"/>
  <c r="J969" i="3"/>
  <c r="K969" i="3"/>
  <c r="D970" i="3"/>
  <c r="E970" i="3"/>
  <c r="F970" i="3"/>
  <c r="G970" i="3"/>
  <c r="H970" i="3"/>
  <c r="J970" i="3"/>
  <c r="K970" i="3"/>
  <c r="D971" i="3"/>
  <c r="E971" i="3"/>
  <c r="F971" i="3"/>
  <c r="G971" i="3"/>
  <c r="H971" i="3"/>
  <c r="J971" i="3"/>
  <c r="K971" i="3"/>
  <c r="D972" i="3"/>
  <c r="E972" i="3"/>
  <c r="F972" i="3"/>
  <c r="G972" i="3"/>
  <c r="H972" i="3"/>
  <c r="J972" i="3"/>
  <c r="K972" i="3"/>
  <c r="D973" i="3"/>
  <c r="E973" i="3"/>
  <c r="F973" i="3"/>
  <c r="G973" i="3"/>
  <c r="H973" i="3"/>
  <c r="J973" i="3"/>
  <c r="K973" i="3"/>
  <c r="D974" i="3"/>
  <c r="E974" i="3"/>
  <c r="F974" i="3"/>
  <c r="G974" i="3"/>
  <c r="H974" i="3"/>
  <c r="J974" i="3"/>
  <c r="K974" i="3"/>
  <c r="D975" i="3"/>
  <c r="E975" i="3"/>
  <c r="F975" i="3"/>
  <c r="G975" i="3"/>
  <c r="H975" i="3"/>
  <c r="J975" i="3"/>
  <c r="K975" i="3"/>
  <c r="D976" i="3"/>
  <c r="E976" i="3"/>
  <c r="F976" i="3"/>
  <c r="G976" i="3"/>
  <c r="H976" i="3"/>
  <c r="J976" i="3"/>
  <c r="K976" i="3"/>
  <c r="D977" i="3"/>
  <c r="E977" i="3"/>
  <c r="F977" i="3"/>
  <c r="G977" i="3"/>
  <c r="H977" i="3"/>
  <c r="J977" i="3"/>
  <c r="K977" i="3"/>
  <c r="D978" i="3"/>
  <c r="E978" i="3"/>
  <c r="F978" i="3"/>
  <c r="G978" i="3"/>
  <c r="H978" i="3"/>
  <c r="J978" i="3"/>
  <c r="K978" i="3"/>
  <c r="D979" i="3"/>
  <c r="E979" i="3"/>
  <c r="F979" i="3"/>
  <c r="G979" i="3"/>
  <c r="H979" i="3"/>
  <c r="J979" i="3"/>
  <c r="K979" i="3"/>
  <c r="D980" i="3"/>
  <c r="E980" i="3"/>
  <c r="F980" i="3"/>
  <c r="G980" i="3"/>
  <c r="H980" i="3"/>
  <c r="J980" i="3"/>
  <c r="K980" i="3"/>
  <c r="D981" i="3"/>
  <c r="E981" i="3"/>
  <c r="F981" i="3"/>
  <c r="G981" i="3"/>
  <c r="H981" i="3"/>
  <c r="J981" i="3"/>
  <c r="K981" i="3"/>
  <c r="D982" i="3"/>
  <c r="E982" i="3"/>
  <c r="F982" i="3"/>
  <c r="G982" i="3"/>
  <c r="H982" i="3"/>
  <c r="J982" i="3"/>
  <c r="K982" i="3"/>
  <c r="D983" i="3"/>
  <c r="E983" i="3"/>
  <c r="F983" i="3"/>
  <c r="G983" i="3"/>
  <c r="H983" i="3"/>
  <c r="J983" i="3"/>
  <c r="K983" i="3"/>
  <c r="D984" i="3"/>
  <c r="E984" i="3"/>
  <c r="F984" i="3"/>
  <c r="G984" i="3"/>
  <c r="H984" i="3"/>
  <c r="J984" i="3"/>
  <c r="K984" i="3"/>
  <c r="D985" i="3"/>
  <c r="E985" i="3"/>
  <c r="F985" i="3"/>
  <c r="G985" i="3"/>
  <c r="H985" i="3"/>
  <c r="J985" i="3"/>
  <c r="K985" i="3"/>
  <c r="D986" i="3"/>
  <c r="E986" i="3"/>
  <c r="F986" i="3"/>
  <c r="G986" i="3"/>
  <c r="H986" i="3"/>
  <c r="J986" i="3"/>
  <c r="K986" i="3"/>
  <c r="D987" i="3"/>
  <c r="E987" i="3"/>
  <c r="F987" i="3"/>
  <c r="G987" i="3"/>
  <c r="H987" i="3"/>
  <c r="J987" i="3"/>
  <c r="K987" i="3"/>
  <c r="D988" i="3"/>
  <c r="E988" i="3"/>
  <c r="F988" i="3"/>
  <c r="G988" i="3"/>
  <c r="H988" i="3"/>
  <c r="J988" i="3"/>
  <c r="K988" i="3"/>
  <c r="D989" i="3"/>
  <c r="E989" i="3"/>
  <c r="F989" i="3"/>
  <c r="G989" i="3"/>
  <c r="H989" i="3"/>
  <c r="J989" i="3"/>
  <c r="K989" i="3"/>
  <c r="D990" i="3"/>
  <c r="E990" i="3"/>
  <c r="F990" i="3"/>
  <c r="G990" i="3"/>
  <c r="H990" i="3"/>
  <c r="J990" i="3"/>
  <c r="K990" i="3"/>
  <c r="D991" i="3"/>
  <c r="E991" i="3"/>
  <c r="F991" i="3"/>
  <c r="G991" i="3"/>
  <c r="H991" i="3"/>
  <c r="J991" i="3"/>
  <c r="K991" i="3"/>
  <c r="D992" i="3"/>
  <c r="E992" i="3"/>
  <c r="F992" i="3"/>
  <c r="G992" i="3"/>
  <c r="H992" i="3"/>
  <c r="J992" i="3"/>
  <c r="K992" i="3"/>
  <c r="D993" i="3"/>
  <c r="E993" i="3"/>
  <c r="F993" i="3"/>
  <c r="G993" i="3"/>
  <c r="H993" i="3"/>
  <c r="J993" i="3"/>
  <c r="K993" i="3"/>
  <c r="D994" i="3"/>
  <c r="E994" i="3"/>
  <c r="F994" i="3"/>
  <c r="G994" i="3"/>
  <c r="H994" i="3"/>
  <c r="J994" i="3"/>
  <c r="K994" i="3"/>
  <c r="D995" i="3"/>
  <c r="E995" i="3"/>
  <c r="F995" i="3"/>
  <c r="G995" i="3"/>
  <c r="H995" i="3"/>
  <c r="J995" i="3"/>
  <c r="K995" i="3"/>
  <c r="D996" i="3"/>
  <c r="E996" i="3"/>
  <c r="F996" i="3"/>
  <c r="G996" i="3"/>
  <c r="H996" i="3"/>
  <c r="J996" i="3"/>
  <c r="K996" i="3"/>
  <c r="D997" i="3"/>
  <c r="E997" i="3"/>
  <c r="F997" i="3"/>
  <c r="G997" i="3"/>
  <c r="H997" i="3"/>
  <c r="J997" i="3"/>
  <c r="K997" i="3"/>
  <c r="D998" i="3"/>
  <c r="E998" i="3"/>
  <c r="F998" i="3"/>
  <c r="G998" i="3"/>
  <c r="H998" i="3"/>
  <c r="J998" i="3"/>
  <c r="K998" i="3"/>
  <c r="D999" i="3"/>
  <c r="E999" i="3"/>
  <c r="F999" i="3"/>
  <c r="G999" i="3"/>
  <c r="H999" i="3"/>
  <c r="J999" i="3"/>
  <c r="K999" i="3"/>
  <c r="D1000" i="3"/>
  <c r="E1000" i="3"/>
  <c r="F1000" i="3"/>
  <c r="G1000" i="3"/>
  <c r="H1000" i="3"/>
  <c r="J1000" i="3"/>
  <c r="K1000" i="3"/>
  <c r="D1001" i="3"/>
  <c r="E1001" i="3"/>
  <c r="F1001" i="3"/>
  <c r="G1001" i="3"/>
  <c r="H1001" i="3"/>
  <c r="J1001" i="3"/>
  <c r="K1001" i="3"/>
  <c r="K2" i="3"/>
  <c r="J2" i="3"/>
  <c r="I2" i="3"/>
  <c r="H2" i="3"/>
  <c r="G2" i="3"/>
  <c r="F2" i="3"/>
  <c r="E2" i="3"/>
  <c r="D2" i="3"/>
  <c r="L14" i="2" l="1"/>
  <c r="I14" i="3" s="1"/>
  <c r="L15" i="2"/>
  <c r="I15" i="3" s="1"/>
  <c r="L16" i="2"/>
  <c r="I16" i="3" s="1"/>
  <c r="L17" i="2"/>
  <c r="I17" i="3" s="1"/>
  <c r="L18" i="2"/>
  <c r="I18" i="3" s="1"/>
  <c r="L19" i="2"/>
  <c r="I19" i="3" s="1"/>
  <c r="L20" i="2"/>
  <c r="I20" i="3" s="1"/>
  <c r="L21" i="2"/>
  <c r="I21" i="3" s="1"/>
  <c r="L22" i="2"/>
  <c r="I22" i="3" s="1"/>
  <c r="L23" i="2"/>
  <c r="I23" i="3" s="1"/>
  <c r="L24" i="2"/>
  <c r="I24" i="3" s="1"/>
  <c r="L25" i="2"/>
  <c r="I25" i="3" s="1"/>
  <c r="L26" i="2"/>
  <c r="I26" i="3" s="1"/>
  <c r="L27" i="2"/>
  <c r="I27" i="3" s="1"/>
  <c r="L28" i="2"/>
  <c r="I28" i="3" s="1"/>
  <c r="L29" i="2"/>
  <c r="I29" i="3" s="1"/>
  <c r="L30" i="2"/>
  <c r="I30" i="3" s="1"/>
  <c r="L31" i="2"/>
  <c r="I31" i="3" s="1"/>
  <c r="L32" i="2"/>
  <c r="I32" i="3" s="1"/>
  <c r="L33" i="2"/>
  <c r="I33" i="3" s="1"/>
  <c r="L34" i="2"/>
  <c r="I34" i="3" s="1"/>
  <c r="L35" i="2"/>
  <c r="I35" i="3" s="1"/>
  <c r="L36" i="2"/>
  <c r="I36" i="3" s="1"/>
  <c r="L37" i="2"/>
  <c r="I37" i="3" s="1"/>
  <c r="L38" i="2"/>
  <c r="I38" i="3" s="1"/>
  <c r="L39" i="2"/>
  <c r="I39" i="3" s="1"/>
  <c r="L40" i="2"/>
  <c r="I40" i="3" s="1"/>
  <c r="L41" i="2"/>
  <c r="I41" i="3" s="1"/>
  <c r="L42" i="2"/>
  <c r="I42" i="3" s="1"/>
  <c r="L43" i="2"/>
  <c r="I43" i="3" s="1"/>
  <c r="L44" i="2"/>
  <c r="I44" i="3" s="1"/>
  <c r="L45" i="2"/>
  <c r="I45" i="3" s="1"/>
  <c r="L46" i="2"/>
  <c r="I46" i="3" s="1"/>
  <c r="L47" i="2"/>
  <c r="I47" i="3" s="1"/>
  <c r="L48" i="2"/>
  <c r="I48" i="3" s="1"/>
  <c r="L49" i="2"/>
  <c r="I49" i="3" s="1"/>
  <c r="L50" i="2"/>
  <c r="I50" i="3" s="1"/>
  <c r="L51" i="2"/>
  <c r="I51" i="3" s="1"/>
  <c r="L52" i="2"/>
  <c r="I52" i="3" s="1"/>
  <c r="L53" i="2"/>
  <c r="I53" i="3" s="1"/>
  <c r="L54" i="2"/>
  <c r="I54" i="3" s="1"/>
  <c r="L55" i="2"/>
  <c r="I55" i="3" s="1"/>
  <c r="L56" i="2"/>
  <c r="I56" i="3" s="1"/>
  <c r="L57" i="2"/>
  <c r="I57" i="3" s="1"/>
  <c r="L58" i="2"/>
  <c r="I58" i="3" s="1"/>
  <c r="L59" i="2"/>
  <c r="I59" i="3" s="1"/>
  <c r="L60" i="2"/>
  <c r="I60" i="3" s="1"/>
  <c r="L61" i="2"/>
  <c r="I61" i="3" s="1"/>
  <c r="L62" i="2"/>
  <c r="I62" i="3" s="1"/>
  <c r="L63" i="2"/>
  <c r="I63" i="3" s="1"/>
  <c r="L64" i="2"/>
  <c r="I64" i="3" s="1"/>
  <c r="L65" i="2"/>
  <c r="I65" i="3" s="1"/>
  <c r="L66" i="2"/>
  <c r="I66" i="3" s="1"/>
  <c r="L67" i="2"/>
  <c r="I67" i="3" s="1"/>
  <c r="L68" i="2"/>
  <c r="I68" i="3" s="1"/>
  <c r="L69" i="2"/>
  <c r="I69" i="3" s="1"/>
  <c r="L70" i="2"/>
  <c r="I70" i="3" s="1"/>
  <c r="L71" i="2"/>
  <c r="I71" i="3" s="1"/>
  <c r="L72" i="2"/>
  <c r="I72" i="3" s="1"/>
  <c r="L73" i="2"/>
  <c r="I73" i="3" s="1"/>
  <c r="L74" i="2"/>
  <c r="I74" i="3" s="1"/>
  <c r="L75" i="2"/>
  <c r="I75" i="3" s="1"/>
  <c r="L76" i="2"/>
  <c r="I76" i="3" s="1"/>
  <c r="L77" i="2"/>
  <c r="I77" i="3" s="1"/>
  <c r="L78" i="2"/>
  <c r="I78" i="3" s="1"/>
  <c r="L79" i="2"/>
  <c r="I79" i="3" s="1"/>
  <c r="L80" i="2"/>
  <c r="I80" i="3" s="1"/>
  <c r="L81" i="2"/>
  <c r="I81" i="3" s="1"/>
  <c r="L82" i="2"/>
  <c r="I82" i="3" s="1"/>
  <c r="L83" i="2"/>
  <c r="I83" i="3" s="1"/>
  <c r="L84" i="2"/>
  <c r="I84" i="3" s="1"/>
  <c r="L85" i="2"/>
  <c r="I85" i="3" s="1"/>
  <c r="L86" i="2"/>
  <c r="I86" i="3" s="1"/>
  <c r="L87" i="2"/>
  <c r="I87" i="3" s="1"/>
  <c r="L88" i="2"/>
  <c r="I88" i="3" s="1"/>
  <c r="L89" i="2"/>
  <c r="I89" i="3" s="1"/>
  <c r="L90" i="2"/>
  <c r="I90" i="3" s="1"/>
  <c r="L91" i="2"/>
  <c r="I91" i="3" s="1"/>
  <c r="L92" i="2"/>
  <c r="I92" i="3" s="1"/>
  <c r="L93" i="2"/>
  <c r="I93" i="3" s="1"/>
  <c r="L94" i="2"/>
  <c r="I94" i="3" s="1"/>
  <c r="L95" i="2"/>
  <c r="I95" i="3" s="1"/>
  <c r="L96" i="2"/>
  <c r="I96" i="3" s="1"/>
  <c r="L97" i="2"/>
  <c r="I97" i="3" s="1"/>
  <c r="L98" i="2"/>
  <c r="I98" i="3" s="1"/>
  <c r="L99" i="2"/>
  <c r="I99" i="3" s="1"/>
  <c r="L100" i="2"/>
  <c r="I100" i="3" s="1"/>
  <c r="L101" i="2"/>
  <c r="I101" i="3" s="1"/>
  <c r="L102" i="2"/>
  <c r="I102" i="3" s="1"/>
  <c r="L103" i="2"/>
  <c r="I103" i="3" s="1"/>
  <c r="L104" i="2"/>
  <c r="I104" i="3" s="1"/>
  <c r="L105" i="2"/>
  <c r="I105" i="3" s="1"/>
  <c r="L106" i="2"/>
  <c r="I106" i="3" s="1"/>
  <c r="L107" i="2"/>
  <c r="I107" i="3" s="1"/>
  <c r="L108" i="2"/>
  <c r="I108" i="3" s="1"/>
  <c r="L109" i="2"/>
  <c r="I109" i="3" s="1"/>
  <c r="L110" i="2"/>
  <c r="I110" i="3" s="1"/>
  <c r="L111" i="2"/>
  <c r="I111" i="3" s="1"/>
  <c r="L112" i="2"/>
  <c r="I112" i="3" s="1"/>
  <c r="L113" i="2"/>
  <c r="I113" i="3" s="1"/>
  <c r="L114" i="2"/>
  <c r="I114" i="3" s="1"/>
  <c r="L115" i="2"/>
  <c r="I115" i="3" s="1"/>
  <c r="L116" i="2"/>
  <c r="I116" i="3" s="1"/>
  <c r="L117" i="2"/>
  <c r="I117" i="3" s="1"/>
  <c r="L118" i="2"/>
  <c r="I118" i="3" s="1"/>
  <c r="L119" i="2"/>
  <c r="I119" i="3" s="1"/>
  <c r="L120" i="2"/>
  <c r="I120" i="3" s="1"/>
  <c r="L121" i="2"/>
  <c r="I121" i="3" s="1"/>
  <c r="L122" i="2"/>
  <c r="I122" i="3" s="1"/>
  <c r="L123" i="2"/>
  <c r="I123" i="3" s="1"/>
  <c r="L124" i="2"/>
  <c r="I124" i="3" s="1"/>
  <c r="L125" i="2"/>
  <c r="I125" i="3" s="1"/>
  <c r="L126" i="2"/>
  <c r="I126" i="3" s="1"/>
  <c r="L127" i="2"/>
  <c r="I127" i="3" s="1"/>
  <c r="L128" i="2"/>
  <c r="I128" i="3" s="1"/>
  <c r="L129" i="2"/>
  <c r="I129" i="3" s="1"/>
  <c r="L130" i="2"/>
  <c r="I130" i="3" s="1"/>
  <c r="L131" i="2"/>
  <c r="I131" i="3" s="1"/>
  <c r="L132" i="2"/>
  <c r="I132" i="3" s="1"/>
  <c r="L133" i="2"/>
  <c r="I133" i="3" s="1"/>
  <c r="L134" i="2"/>
  <c r="I134" i="3" s="1"/>
  <c r="L135" i="2"/>
  <c r="I135" i="3" s="1"/>
  <c r="L136" i="2"/>
  <c r="I136" i="3" s="1"/>
  <c r="L137" i="2"/>
  <c r="I137" i="3" s="1"/>
  <c r="L138" i="2"/>
  <c r="I138" i="3" s="1"/>
  <c r="L139" i="2"/>
  <c r="I139" i="3" s="1"/>
  <c r="L140" i="2"/>
  <c r="I140" i="3" s="1"/>
  <c r="L141" i="2"/>
  <c r="I141" i="3" s="1"/>
  <c r="L142" i="2"/>
  <c r="I142" i="3" s="1"/>
  <c r="L143" i="2"/>
  <c r="I143" i="3" s="1"/>
  <c r="L144" i="2"/>
  <c r="I144" i="3" s="1"/>
  <c r="L145" i="2"/>
  <c r="I145" i="3" s="1"/>
  <c r="L146" i="2"/>
  <c r="I146" i="3" s="1"/>
  <c r="L147" i="2"/>
  <c r="I147" i="3" s="1"/>
  <c r="L148" i="2"/>
  <c r="I148" i="3" s="1"/>
  <c r="L149" i="2"/>
  <c r="I149" i="3" s="1"/>
  <c r="L150" i="2"/>
  <c r="I150" i="3" s="1"/>
  <c r="L151" i="2"/>
  <c r="I151" i="3" s="1"/>
  <c r="L152" i="2"/>
  <c r="I152" i="3" s="1"/>
  <c r="L153" i="2"/>
  <c r="I153" i="3" s="1"/>
  <c r="L154" i="2"/>
  <c r="I154" i="3" s="1"/>
  <c r="L155" i="2"/>
  <c r="I155" i="3" s="1"/>
  <c r="L156" i="2"/>
  <c r="I156" i="3" s="1"/>
  <c r="L157" i="2"/>
  <c r="I157" i="3" s="1"/>
  <c r="L158" i="2"/>
  <c r="I158" i="3" s="1"/>
  <c r="L159" i="2"/>
  <c r="I159" i="3" s="1"/>
  <c r="L160" i="2"/>
  <c r="I160" i="3" s="1"/>
  <c r="L161" i="2"/>
  <c r="I161" i="3" s="1"/>
  <c r="L162" i="2"/>
  <c r="I162" i="3" s="1"/>
  <c r="L163" i="2"/>
  <c r="I163" i="3" s="1"/>
  <c r="L164" i="2"/>
  <c r="I164" i="3" s="1"/>
  <c r="L165" i="2"/>
  <c r="I165" i="3" s="1"/>
  <c r="L166" i="2"/>
  <c r="I166" i="3" s="1"/>
  <c r="L167" i="2"/>
  <c r="I167" i="3" s="1"/>
  <c r="L168" i="2"/>
  <c r="I168" i="3" s="1"/>
  <c r="L169" i="2"/>
  <c r="I169" i="3" s="1"/>
  <c r="L170" i="2"/>
  <c r="I170" i="3" s="1"/>
  <c r="L171" i="2"/>
  <c r="I171" i="3" s="1"/>
  <c r="L172" i="2"/>
  <c r="I172" i="3" s="1"/>
  <c r="L173" i="2"/>
  <c r="I173" i="3" s="1"/>
  <c r="L174" i="2"/>
  <c r="I174" i="3" s="1"/>
  <c r="L175" i="2"/>
  <c r="I175" i="3" s="1"/>
  <c r="L176" i="2"/>
  <c r="I176" i="3" s="1"/>
  <c r="L177" i="2"/>
  <c r="I177" i="3" s="1"/>
  <c r="L178" i="2"/>
  <c r="I178" i="3" s="1"/>
  <c r="L179" i="2"/>
  <c r="I179" i="3" s="1"/>
  <c r="L180" i="2"/>
  <c r="I180" i="3" s="1"/>
  <c r="L181" i="2"/>
  <c r="I181" i="3" s="1"/>
  <c r="L182" i="2"/>
  <c r="I182" i="3" s="1"/>
  <c r="L183" i="2"/>
  <c r="I183" i="3" s="1"/>
  <c r="L184" i="2"/>
  <c r="I184" i="3" s="1"/>
  <c r="L185" i="2"/>
  <c r="I185" i="3" s="1"/>
  <c r="L186" i="2"/>
  <c r="I186" i="3" s="1"/>
  <c r="L187" i="2"/>
  <c r="I187" i="3" s="1"/>
  <c r="L188" i="2"/>
  <c r="I188" i="3" s="1"/>
  <c r="L189" i="2"/>
  <c r="I189" i="3" s="1"/>
  <c r="L190" i="2"/>
  <c r="I190" i="3" s="1"/>
  <c r="L191" i="2"/>
  <c r="I191" i="3" s="1"/>
  <c r="L192" i="2"/>
  <c r="I192" i="3" s="1"/>
  <c r="L193" i="2"/>
  <c r="I193" i="3" s="1"/>
  <c r="L194" i="2"/>
  <c r="I194" i="3" s="1"/>
  <c r="L195" i="2"/>
  <c r="I195" i="3" s="1"/>
  <c r="L196" i="2"/>
  <c r="I196" i="3" s="1"/>
  <c r="L197" i="2"/>
  <c r="I197" i="3" s="1"/>
  <c r="L198" i="2"/>
  <c r="I198" i="3" s="1"/>
  <c r="L199" i="2"/>
  <c r="I199" i="3" s="1"/>
  <c r="L200" i="2"/>
  <c r="I200" i="3" s="1"/>
  <c r="L201" i="2"/>
  <c r="I201" i="3" s="1"/>
  <c r="L202" i="2"/>
  <c r="I202" i="3" s="1"/>
  <c r="L203" i="2"/>
  <c r="I203" i="3" s="1"/>
  <c r="L204" i="2"/>
  <c r="I204" i="3" s="1"/>
  <c r="L205" i="2"/>
  <c r="I205" i="3" s="1"/>
  <c r="L206" i="2"/>
  <c r="I206" i="3" s="1"/>
  <c r="L207" i="2"/>
  <c r="I207" i="3" s="1"/>
  <c r="L208" i="2"/>
  <c r="I208" i="3" s="1"/>
  <c r="L209" i="2"/>
  <c r="I209" i="3" s="1"/>
  <c r="L210" i="2"/>
  <c r="I210" i="3" s="1"/>
  <c r="L211" i="2"/>
  <c r="I211" i="3" s="1"/>
  <c r="L212" i="2"/>
  <c r="I212" i="3" s="1"/>
  <c r="L213" i="2"/>
  <c r="I213" i="3" s="1"/>
  <c r="L214" i="2"/>
  <c r="I214" i="3" s="1"/>
  <c r="L215" i="2"/>
  <c r="I215" i="3" s="1"/>
  <c r="L216" i="2"/>
  <c r="I216" i="3" s="1"/>
  <c r="L217" i="2"/>
  <c r="I217" i="3" s="1"/>
  <c r="L218" i="2"/>
  <c r="I218" i="3" s="1"/>
  <c r="L219" i="2"/>
  <c r="I219" i="3" s="1"/>
  <c r="L220" i="2"/>
  <c r="I220" i="3" s="1"/>
  <c r="L221" i="2"/>
  <c r="I221" i="3" s="1"/>
  <c r="L222" i="2"/>
  <c r="I222" i="3" s="1"/>
  <c r="L223" i="2"/>
  <c r="I223" i="3" s="1"/>
  <c r="L224" i="2"/>
  <c r="I224" i="3" s="1"/>
  <c r="L225" i="2"/>
  <c r="I225" i="3" s="1"/>
  <c r="L226" i="2"/>
  <c r="I226" i="3" s="1"/>
  <c r="L227" i="2"/>
  <c r="I227" i="3" s="1"/>
  <c r="L228" i="2"/>
  <c r="I228" i="3" s="1"/>
  <c r="L229" i="2"/>
  <c r="I229" i="3" s="1"/>
  <c r="L230" i="2"/>
  <c r="I230" i="3" s="1"/>
  <c r="L231" i="2"/>
  <c r="I231" i="3" s="1"/>
  <c r="L232" i="2"/>
  <c r="I232" i="3" s="1"/>
  <c r="L233" i="2"/>
  <c r="I233" i="3" s="1"/>
  <c r="L234" i="2"/>
  <c r="I234" i="3" s="1"/>
  <c r="L235" i="2"/>
  <c r="I235" i="3" s="1"/>
  <c r="L236" i="2"/>
  <c r="I236" i="3" s="1"/>
  <c r="L237" i="2"/>
  <c r="I237" i="3" s="1"/>
  <c r="L238" i="2"/>
  <c r="I238" i="3" s="1"/>
  <c r="L239" i="2"/>
  <c r="I239" i="3" s="1"/>
  <c r="L240" i="2"/>
  <c r="I240" i="3" s="1"/>
  <c r="L241" i="2"/>
  <c r="I241" i="3" s="1"/>
  <c r="L242" i="2"/>
  <c r="I242" i="3" s="1"/>
  <c r="L243" i="2"/>
  <c r="I243" i="3" s="1"/>
  <c r="L244" i="2"/>
  <c r="I244" i="3" s="1"/>
  <c r="L245" i="2"/>
  <c r="I245" i="3" s="1"/>
  <c r="L246" i="2"/>
  <c r="I246" i="3" s="1"/>
  <c r="L247" i="2"/>
  <c r="I247" i="3" s="1"/>
  <c r="L248" i="2"/>
  <c r="I248" i="3" s="1"/>
  <c r="L249" i="2"/>
  <c r="I249" i="3" s="1"/>
  <c r="L250" i="2"/>
  <c r="I250" i="3" s="1"/>
  <c r="L251" i="2"/>
  <c r="I251" i="3" s="1"/>
  <c r="L252" i="2"/>
  <c r="I252" i="3" s="1"/>
  <c r="L253" i="2"/>
  <c r="I253" i="3" s="1"/>
  <c r="L254" i="2"/>
  <c r="I254" i="3" s="1"/>
  <c r="L255" i="2"/>
  <c r="I255" i="3" s="1"/>
  <c r="L256" i="2"/>
  <c r="I256" i="3" s="1"/>
  <c r="L257" i="2"/>
  <c r="I257" i="3" s="1"/>
  <c r="L258" i="2"/>
  <c r="I258" i="3" s="1"/>
  <c r="L259" i="2"/>
  <c r="I259" i="3" s="1"/>
  <c r="L260" i="2"/>
  <c r="I260" i="3" s="1"/>
  <c r="L261" i="2"/>
  <c r="I261" i="3" s="1"/>
  <c r="L262" i="2"/>
  <c r="I262" i="3" s="1"/>
  <c r="L263" i="2"/>
  <c r="I263" i="3" s="1"/>
  <c r="L264" i="2"/>
  <c r="I264" i="3" s="1"/>
  <c r="L265" i="2"/>
  <c r="I265" i="3" s="1"/>
  <c r="L266" i="2"/>
  <c r="I266" i="3" s="1"/>
  <c r="L267" i="2"/>
  <c r="I267" i="3" s="1"/>
  <c r="L268" i="2"/>
  <c r="I268" i="3" s="1"/>
  <c r="L269" i="2"/>
  <c r="I269" i="3" s="1"/>
  <c r="L270" i="2"/>
  <c r="I270" i="3" s="1"/>
  <c r="L271" i="2"/>
  <c r="I271" i="3" s="1"/>
  <c r="L272" i="2"/>
  <c r="I272" i="3" s="1"/>
  <c r="L273" i="2"/>
  <c r="I273" i="3" s="1"/>
  <c r="L274" i="2"/>
  <c r="I274" i="3" s="1"/>
  <c r="L275" i="2"/>
  <c r="I275" i="3" s="1"/>
  <c r="L276" i="2"/>
  <c r="I276" i="3" s="1"/>
  <c r="L277" i="2"/>
  <c r="I277" i="3" s="1"/>
  <c r="L278" i="2"/>
  <c r="I278" i="3" s="1"/>
  <c r="L279" i="2"/>
  <c r="I279" i="3" s="1"/>
  <c r="L280" i="2"/>
  <c r="I280" i="3" s="1"/>
  <c r="L281" i="2"/>
  <c r="I281" i="3" s="1"/>
  <c r="L282" i="2"/>
  <c r="I282" i="3" s="1"/>
  <c r="L283" i="2"/>
  <c r="I283" i="3" s="1"/>
  <c r="L284" i="2"/>
  <c r="I284" i="3" s="1"/>
  <c r="L285" i="2"/>
  <c r="I285" i="3" s="1"/>
  <c r="L286" i="2"/>
  <c r="I286" i="3" s="1"/>
  <c r="L287" i="2"/>
  <c r="I287" i="3" s="1"/>
  <c r="L288" i="2"/>
  <c r="I288" i="3" s="1"/>
  <c r="L289" i="2"/>
  <c r="I289" i="3" s="1"/>
  <c r="L290" i="2"/>
  <c r="I290" i="3" s="1"/>
  <c r="L291" i="2"/>
  <c r="I291" i="3" s="1"/>
  <c r="L292" i="2"/>
  <c r="I292" i="3" s="1"/>
  <c r="L293" i="2"/>
  <c r="I293" i="3" s="1"/>
  <c r="L294" i="2"/>
  <c r="I294" i="3" s="1"/>
  <c r="L295" i="2"/>
  <c r="I295" i="3" s="1"/>
  <c r="L296" i="2"/>
  <c r="I296" i="3" s="1"/>
  <c r="L297" i="2"/>
  <c r="I297" i="3" s="1"/>
  <c r="L298" i="2"/>
  <c r="I298" i="3" s="1"/>
  <c r="L299" i="2"/>
  <c r="I299" i="3" s="1"/>
  <c r="L300" i="2"/>
  <c r="I300" i="3" s="1"/>
  <c r="L301" i="2"/>
  <c r="I301" i="3" s="1"/>
  <c r="L302" i="2"/>
  <c r="I302" i="3" s="1"/>
  <c r="L303" i="2"/>
  <c r="I303" i="3" s="1"/>
  <c r="L304" i="2"/>
  <c r="I304" i="3" s="1"/>
  <c r="L305" i="2"/>
  <c r="I305" i="3" s="1"/>
  <c r="L306" i="2"/>
  <c r="I306" i="3" s="1"/>
  <c r="L307" i="2"/>
  <c r="I307" i="3" s="1"/>
  <c r="L308" i="2"/>
  <c r="I308" i="3" s="1"/>
  <c r="L309" i="2"/>
  <c r="I309" i="3" s="1"/>
  <c r="L310" i="2"/>
  <c r="I310" i="3" s="1"/>
  <c r="L311" i="2"/>
  <c r="I311" i="3" s="1"/>
  <c r="L312" i="2"/>
  <c r="I312" i="3" s="1"/>
  <c r="L313" i="2"/>
  <c r="I313" i="3" s="1"/>
  <c r="L314" i="2"/>
  <c r="I314" i="3" s="1"/>
  <c r="L315" i="2"/>
  <c r="I315" i="3" s="1"/>
  <c r="L316" i="2"/>
  <c r="I316" i="3" s="1"/>
  <c r="L317" i="2"/>
  <c r="I317" i="3" s="1"/>
  <c r="L318" i="2"/>
  <c r="I318" i="3" s="1"/>
  <c r="L319" i="2"/>
  <c r="I319" i="3" s="1"/>
  <c r="L320" i="2"/>
  <c r="I320" i="3" s="1"/>
  <c r="L321" i="2"/>
  <c r="I321" i="3" s="1"/>
  <c r="L322" i="2"/>
  <c r="I322" i="3" s="1"/>
  <c r="L323" i="2"/>
  <c r="I323" i="3" s="1"/>
  <c r="L324" i="2"/>
  <c r="I324" i="3" s="1"/>
  <c r="L325" i="2"/>
  <c r="I325" i="3" s="1"/>
  <c r="L326" i="2"/>
  <c r="I326" i="3" s="1"/>
  <c r="L327" i="2"/>
  <c r="I327" i="3" s="1"/>
  <c r="L328" i="2"/>
  <c r="I328" i="3" s="1"/>
  <c r="L329" i="2"/>
  <c r="I329" i="3" s="1"/>
  <c r="L330" i="2"/>
  <c r="I330" i="3" s="1"/>
  <c r="L331" i="2"/>
  <c r="I331" i="3" s="1"/>
  <c r="L332" i="2"/>
  <c r="I332" i="3" s="1"/>
  <c r="L333" i="2"/>
  <c r="I333" i="3" s="1"/>
  <c r="L334" i="2"/>
  <c r="I334" i="3" s="1"/>
  <c r="L335" i="2"/>
  <c r="I335" i="3" s="1"/>
  <c r="L336" i="2"/>
  <c r="I336" i="3" s="1"/>
  <c r="L337" i="2"/>
  <c r="I337" i="3" s="1"/>
  <c r="L338" i="2"/>
  <c r="I338" i="3" s="1"/>
  <c r="L339" i="2"/>
  <c r="I339" i="3" s="1"/>
  <c r="L340" i="2"/>
  <c r="I340" i="3" s="1"/>
  <c r="L341" i="2"/>
  <c r="I341" i="3" s="1"/>
  <c r="L342" i="2"/>
  <c r="I342" i="3" s="1"/>
  <c r="L343" i="2"/>
  <c r="I343" i="3" s="1"/>
  <c r="L344" i="2"/>
  <c r="I344" i="3" s="1"/>
  <c r="L345" i="2"/>
  <c r="I345" i="3" s="1"/>
  <c r="L346" i="2"/>
  <c r="I346" i="3" s="1"/>
  <c r="L347" i="2"/>
  <c r="I347" i="3" s="1"/>
  <c r="L348" i="2"/>
  <c r="I348" i="3" s="1"/>
  <c r="L349" i="2"/>
  <c r="I349" i="3" s="1"/>
  <c r="L350" i="2"/>
  <c r="I350" i="3" s="1"/>
  <c r="L351" i="2"/>
  <c r="I351" i="3" s="1"/>
  <c r="L352" i="2"/>
  <c r="I352" i="3" s="1"/>
  <c r="L353" i="2"/>
  <c r="I353" i="3" s="1"/>
  <c r="L354" i="2"/>
  <c r="I354" i="3" s="1"/>
  <c r="L355" i="2"/>
  <c r="I355" i="3" s="1"/>
  <c r="L356" i="2"/>
  <c r="I356" i="3" s="1"/>
  <c r="L357" i="2"/>
  <c r="I357" i="3" s="1"/>
  <c r="L358" i="2"/>
  <c r="I358" i="3" s="1"/>
  <c r="L359" i="2"/>
  <c r="I359" i="3" s="1"/>
  <c r="L360" i="2"/>
  <c r="I360" i="3" s="1"/>
  <c r="L361" i="2"/>
  <c r="I361" i="3" s="1"/>
  <c r="L362" i="2"/>
  <c r="I362" i="3" s="1"/>
  <c r="L363" i="2"/>
  <c r="I363" i="3" s="1"/>
  <c r="L364" i="2"/>
  <c r="I364" i="3" s="1"/>
  <c r="L365" i="2"/>
  <c r="I365" i="3" s="1"/>
  <c r="L366" i="2"/>
  <c r="I366" i="3" s="1"/>
  <c r="L367" i="2"/>
  <c r="I367" i="3" s="1"/>
  <c r="L368" i="2"/>
  <c r="I368" i="3" s="1"/>
  <c r="L369" i="2"/>
  <c r="I369" i="3" s="1"/>
  <c r="L370" i="2"/>
  <c r="I370" i="3" s="1"/>
  <c r="L371" i="2"/>
  <c r="I371" i="3" s="1"/>
  <c r="L372" i="2"/>
  <c r="I372" i="3" s="1"/>
  <c r="L373" i="2"/>
  <c r="I373" i="3" s="1"/>
  <c r="L374" i="2"/>
  <c r="I374" i="3" s="1"/>
  <c r="L375" i="2"/>
  <c r="I375" i="3" s="1"/>
  <c r="L376" i="2"/>
  <c r="I376" i="3" s="1"/>
  <c r="L377" i="2"/>
  <c r="I377" i="3" s="1"/>
  <c r="L378" i="2"/>
  <c r="I378" i="3" s="1"/>
  <c r="L379" i="2"/>
  <c r="I379" i="3" s="1"/>
  <c r="L380" i="2"/>
  <c r="I380" i="3" s="1"/>
  <c r="L381" i="2"/>
  <c r="I381" i="3" s="1"/>
  <c r="L382" i="2"/>
  <c r="I382" i="3" s="1"/>
  <c r="L383" i="2"/>
  <c r="I383" i="3" s="1"/>
  <c r="L384" i="2"/>
  <c r="I384" i="3" s="1"/>
  <c r="L385" i="2"/>
  <c r="I385" i="3" s="1"/>
  <c r="L386" i="2"/>
  <c r="I386" i="3" s="1"/>
  <c r="L387" i="2"/>
  <c r="I387" i="3" s="1"/>
  <c r="L388" i="2"/>
  <c r="I388" i="3" s="1"/>
  <c r="L389" i="2"/>
  <c r="I389" i="3" s="1"/>
  <c r="L390" i="2"/>
  <c r="I390" i="3" s="1"/>
  <c r="L391" i="2"/>
  <c r="I391" i="3" s="1"/>
  <c r="L392" i="2"/>
  <c r="I392" i="3" s="1"/>
  <c r="L393" i="2"/>
  <c r="I393" i="3" s="1"/>
  <c r="L394" i="2"/>
  <c r="I394" i="3" s="1"/>
  <c r="L395" i="2"/>
  <c r="I395" i="3" s="1"/>
  <c r="L396" i="2"/>
  <c r="I396" i="3" s="1"/>
  <c r="L397" i="2"/>
  <c r="I397" i="3" s="1"/>
  <c r="L398" i="2"/>
  <c r="I398" i="3" s="1"/>
  <c r="L399" i="2"/>
  <c r="I399" i="3" s="1"/>
  <c r="L400" i="2"/>
  <c r="I400" i="3" s="1"/>
  <c r="L401" i="2"/>
  <c r="I401" i="3" s="1"/>
  <c r="L402" i="2"/>
  <c r="I402" i="3" s="1"/>
  <c r="L403" i="2"/>
  <c r="I403" i="3" s="1"/>
  <c r="L404" i="2"/>
  <c r="I404" i="3" s="1"/>
  <c r="L405" i="2"/>
  <c r="I405" i="3" s="1"/>
  <c r="L406" i="2"/>
  <c r="I406" i="3" s="1"/>
  <c r="L407" i="2"/>
  <c r="I407" i="3" s="1"/>
  <c r="L408" i="2"/>
  <c r="I408" i="3" s="1"/>
  <c r="L409" i="2"/>
  <c r="I409" i="3" s="1"/>
  <c r="L410" i="2"/>
  <c r="I410" i="3" s="1"/>
  <c r="L411" i="2"/>
  <c r="I411" i="3" s="1"/>
  <c r="L412" i="2"/>
  <c r="I412" i="3" s="1"/>
  <c r="L413" i="2"/>
  <c r="I413" i="3" s="1"/>
  <c r="L414" i="2"/>
  <c r="I414" i="3" s="1"/>
  <c r="L415" i="2"/>
  <c r="I415" i="3" s="1"/>
  <c r="L416" i="2"/>
  <c r="I416" i="3" s="1"/>
  <c r="L417" i="2"/>
  <c r="I417" i="3" s="1"/>
  <c r="L418" i="2"/>
  <c r="I418" i="3" s="1"/>
  <c r="L419" i="2"/>
  <c r="I419" i="3" s="1"/>
  <c r="L420" i="2"/>
  <c r="I420" i="3" s="1"/>
  <c r="L421" i="2"/>
  <c r="I421" i="3" s="1"/>
  <c r="L422" i="2"/>
  <c r="I422" i="3" s="1"/>
  <c r="L423" i="2"/>
  <c r="I423" i="3" s="1"/>
  <c r="L424" i="2"/>
  <c r="I424" i="3" s="1"/>
  <c r="L425" i="2"/>
  <c r="I425" i="3" s="1"/>
  <c r="L426" i="2"/>
  <c r="I426" i="3" s="1"/>
  <c r="L427" i="2"/>
  <c r="I427" i="3" s="1"/>
  <c r="L428" i="2"/>
  <c r="I428" i="3" s="1"/>
  <c r="L429" i="2"/>
  <c r="I429" i="3" s="1"/>
  <c r="L430" i="2"/>
  <c r="I430" i="3" s="1"/>
  <c r="L431" i="2"/>
  <c r="I431" i="3" s="1"/>
  <c r="L432" i="2"/>
  <c r="I432" i="3" s="1"/>
  <c r="L433" i="2"/>
  <c r="I433" i="3" s="1"/>
  <c r="L434" i="2"/>
  <c r="I434" i="3" s="1"/>
  <c r="L435" i="2"/>
  <c r="I435" i="3" s="1"/>
  <c r="L436" i="2"/>
  <c r="I436" i="3" s="1"/>
  <c r="L437" i="2"/>
  <c r="I437" i="3" s="1"/>
  <c r="L438" i="2"/>
  <c r="I438" i="3" s="1"/>
  <c r="L439" i="2"/>
  <c r="I439" i="3" s="1"/>
  <c r="L440" i="2"/>
  <c r="I440" i="3" s="1"/>
  <c r="L441" i="2"/>
  <c r="I441" i="3" s="1"/>
  <c r="L442" i="2"/>
  <c r="I442" i="3" s="1"/>
  <c r="L443" i="2"/>
  <c r="I443" i="3" s="1"/>
  <c r="L444" i="2"/>
  <c r="I444" i="3" s="1"/>
  <c r="L445" i="2"/>
  <c r="I445" i="3" s="1"/>
  <c r="L446" i="2"/>
  <c r="I446" i="3" s="1"/>
  <c r="L447" i="2"/>
  <c r="I447" i="3" s="1"/>
  <c r="L448" i="2"/>
  <c r="I448" i="3" s="1"/>
  <c r="L449" i="2"/>
  <c r="I449" i="3" s="1"/>
  <c r="L450" i="2"/>
  <c r="I450" i="3" s="1"/>
  <c r="L451" i="2"/>
  <c r="I451" i="3" s="1"/>
  <c r="L452" i="2"/>
  <c r="I452" i="3" s="1"/>
  <c r="L453" i="2"/>
  <c r="I453" i="3" s="1"/>
  <c r="L454" i="2"/>
  <c r="I454" i="3" s="1"/>
  <c r="L455" i="2"/>
  <c r="I455" i="3" s="1"/>
  <c r="L456" i="2"/>
  <c r="I456" i="3" s="1"/>
  <c r="L457" i="2"/>
  <c r="I457" i="3" s="1"/>
  <c r="L458" i="2"/>
  <c r="I458" i="3" s="1"/>
  <c r="L459" i="2"/>
  <c r="I459" i="3" s="1"/>
  <c r="L460" i="2"/>
  <c r="I460" i="3" s="1"/>
  <c r="L461" i="2"/>
  <c r="I461" i="3" s="1"/>
  <c r="L462" i="2"/>
  <c r="I462" i="3" s="1"/>
  <c r="L463" i="2"/>
  <c r="I463" i="3" s="1"/>
  <c r="L464" i="2"/>
  <c r="I464" i="3" s="1"/>
  <c r="L465" i="2"/>
  <c r="I465" i="3" s="1"/>
  <c r="L466" i="2"/>
  <c r="I466" i="3" s="1"/>
  <c r="L467" i="2"/>
  <c r="I467" i="3" s="1"/>
  <c r="L468" i="2"/>
  <c r="I468" i="3" s="1"/>
  <c r="L469" i="2"/>
  <c r="I469" i="3" s="1"/>
  <c r="L470" i="2"/>
  <c r="I470" i="3" s="1"/>
  <c r="L471" i="2"/>
  <c r="I471" i="3" s="1"/>
  <c r="L472" i="2"/>
  <c r="I472" i="3" s="1"/>
  <c r="L473" i="2"/>
  <c r="I473" i="3" s="1"/>
  <c r="L474" i="2"/>
  <c r="I474" i="3" s="1"/>
  <c r="L475" i="2"/>
  <c r="I475" i="3" s="1"/>
  <c r="L476" i="2"/>
  <c r="I476" i="3" s="1"/>
  <c r="L477" i="2"/>
  <c r="I477" i="3" s="1"/>
  <c r="L478" i="2"/>
  <c r="I478" i="3" s="1"/>
  <c r="L479" i="2"/>
  <c r="I479" i="3" s="1"/>
  <c r="L480" i="2"/>
  <c r="I480" i="3" s="1"/>
  <c r="L481" i="2"/>
  <c r="I481" i="3" s="1"/>
  <c r="L482" i="2"/>
  <c r="I482" i="3" s="1"/>
  <c r="L483" i="2"/>
  <c r="I483" i="3" s="1"/>
  <c r="L484" i="2"/>
  <c r="I484" i="3" s="1"/>
  <c r="L485" i="2"/>
  <c r="I485" i="3" s="1"/>
  <c r="L486" i="2"/>
  <c r="I486" i="3" s="1"/>
  <c r="L487" i="2"/>
  <c r="I487" i="3" s="1"/>
  <c r="L488" i="2"/>
  <c r="I488" i="3" s="1"/>
  <c r="L489" i="2"/>
  <c r="I489" i="3" s="1"/>
  <c r="L490" i="2"/>
  <c r="I490" i="3" s="1"/>
  <c r="L491" i="2"/>
  <c r="I491" i="3" s="1"/>
  <c r="L492" i="2"/>
  <c r="I492" i="3" s="1"/>
  <c r="L493" i="2"/>
  <c r="I493" i="3" s="1"/>
  <c r="L494" i="2"/>
  <c r="I494" i="3" s="1"/>
  <c r="L495" i="2"/>
  <c r="I495" i="3" s="1"/>
  <c r="L496" i="2"/>
  <c r="I496" i="3" s="1"/>
  <c r="L497" i="2"/>
  <c r="I497" i="3" s="1"/>
  <c r="L498" i="2"/>
  <c r="I498" i="3" s="1"/>
  <c r="L499" i="2"/>
  <c r="I499" i="3" s="1"/>
  <c r="L500" i="2"/>
  <c r="I500" i="3" s="1"/>
  <c r="L501" i="2"/>
  <c r="I501" i="3" s="1"/>
  <c r="L502" i="2"/>
  <c r="I502" i="3" s="1"/>
  <c r="L503" i="2"/>
  <c r="I503" i="3" s="1"/>
  <c r="L504" i="2"/>
  <c r="I504" i="3" s="1"/>
  <c r="L505" i="2"/>
  <c r="I505" i="3" s="1"/>
  <c r="L506" i="2"/>
  <c r="I506" i="3" s="1"/>
  <c r="L507" i="2"/>
  <c r="I507" i="3" s="1"/>
  <c r="L508" i="2"/>
  <c r="I508" i="3" s="1"/>
  <c r="L509" i="2"/>
  <c r="I509" i="3" s="1"/>
  <c r="L510" i="2"/>
  <c r="I510" i="3" s="1"/>
  <c r="L511" i="2"/>
  <c r="I511" i="3" s="1"/>
  <c r="L512" i="2"/>
  <c r="I512" i="3" s="1"/>
  <c r="L513" i="2"/>
  <c r="I513" i="3" s="1"/>
  <c r="L514" i="2"/>
  <c r="I514" i="3" s="1"/>
  <c r="L515" i="2"/>
  <c r="I515" i="3" s="1"/>
  <c r="L516" i="2"/>
  <c r="I516" i="3" s="1"/>
  <c r="L517" i="2"/>
  <c r="I517" i="3" s="1"/>
  <c r="L518" i="2"/>
  <c r="I518" i="3" s="1"/>
  <c r="L519" i="2"/>
  <c r="I519" i="3" s="1"/>
  <c r="L520" i="2"/>
  <c r="I520" i="3" s="1"/>
  <c r="L521" i="2"/>
  <c r="I521" i="3" s="1"/>
  <c r="L522" i="2"/>
  <c r="I522" i="3" s="1"/>
  <c r="L523" i="2"/>
  <c r="I523" i="3" s="1"/>
  <c r="L524" i="2"/>
  <c r="I524" i="3" s="1"/>
  <c r="L525" i="2"/>
  <c r="I525" i="3" s="1"/>
  <c r="L526" i="2"/>
  <c r="I526" i="3" s="1"/>
  <c r="L527" i="2"/>
  <c r="I527" i="3" s="1"/>
  <c r="L528" i="2"/>
  <c r="I528" i="3" s="1"/>
  <c r="L529" i="2"/>
  <c r="I529" i="3" s="1"/>
  <c r="L530" i="2"/>
  <c r="I530" i="3" s="1"/>
  <c r="L531" i="2"/>
  <c r="I531" i="3" s="1"/>
  <c r="L532" i="2"/>
  <c r="I532" i="3" s="1"/>
  <c r="L533" i="2"/>
  <c r="I533" i="3" s="1"/>
  <c r="L534" i="2"/>
  <c r="I534" i="3" s="1"/>
  <c r="L535" i="2"/>
  <c r="I535" i="3" s="1"/>
  <c r="L536" i="2"/>
  <c r="I536" i="3" s="1"/>
  <c r="L537" i="2"/>
  <c r="I537" i="3" s="1"/>
  <c r="L538" i="2"/>
  <c r="I538" i="3" s="1"/>
  <c r="L539" i="2"/>
  <c r="I539" i="3" s="1"/>
  <c r="L540" i="2"/>
  <c r="I540" i="3" s="1"/>
  <c r="L541" i="2"/>
  <c r="I541" i="3" s="1"/>
  <c r="L542" i="2"/>
  <c r="I542" i="3" s="1"/>
  <c r="L543" i="2"/>
  <c r="I543" i="3" s="1"/>
  <c r="L544" i="2"/>
  <c r="I544" i="3" s="1"/>
  <c r="L545" i="2"/>
  <c r="I545" i="3" s="1"/>
  <c r="L546" i="2"/>
  <c r="I546" i="3" s="1"/>
  <c r="L547" i="2"/>
  <c r="I547" i="3" s="1"/>
  <c r="L548" i="2"/>
  <c r="I548" i="3" s="1"/>
  <c r="L549" i="2"/>
  <c r="I549" i="3" s="1"/>
  <c r="L550" i="2"/>
  <c r="I550" i="3" s="1"/>
  <c r="L551" i="2"/>
  <c r="I551" i="3" s="1"/>
  <c r="L552" i="2"/>
  <c r="I552" i="3" s="1"/>
  <c r="L553" i="2"/>
  <c r="I553" i="3" s="1"/>
  <c r="L554" i="2"/>
  <c r="I554" i="3" s="1"/>
  <c r="L555" i="2"/>
  <c r="I555" i="3" s="1"/>
  <c r="L556" i="2"/>
  <c r="I556" i="3" s="1"/>
  <c r="L557" i="2"/>
  <c r="I557" i="3" s="1"/>
  <c r="L558" i="2"/>
  <c r="I558" i="3" s="1"/>
  <c r="L559" i="2"/>
  <c r="I559" i="3" s="1"/>
  <c r="L560" i="2"/>
  <c r="I560" i="3" s="1"/>
  <c r="L561" i="2"/>
  <c r="I561" i="3" s="1"/>
  <c r="L562" i="2"/>
  <c r="I562" i="3" s="1"/>
  <c r="L563" i="2"/>
  <c r="I563" i="3" s="1"/>
  <c r="L564" i="2"/>
  <c r="I564" i="3" s="1"/>
  <c r="L565" i="2"/>
  <c r="I565" i="3" s="1"/>
  <c r="L566" i="2"/>
  <c r="I566" i="3" s="1"/>
  <c r="L567" i="2"/>
  <c r="I567" i="3" s="1"/>
  <c r="L568" i="2"/>
  <c r="I568" i="3" s="1"/>
  <c r="L569" i="2"/>
  <c r="I569" i="3" s="1"/>
  <c r="L570" i="2"/>
  <c r="I570" i="3" s="1"/>
  <c r="L571" i="2"/>
  <c r="I571" i="3" s="1"/>
  <c r="L572" i="2"/>
  <c r="I572" i="3" s="1"/>
  <c r="L573" i="2"/>
  <c r="I573" i="3" s="1"/>
  <c r="L574" i="2"/>
  <c r="I574" i="3" s="1"/>
  <c r="L575" i="2"/>
  <c r="I575" i="3" s="1"/>
  <c r="L576" i="2"/>
  <c r="I576" i="3" s="1"/>
  <c r="L577" i="2"/>
  <c r="I577" i="3" s="1"/>
  <c r="L578" i="2"/>
  <c r="I578" i="3" s="1"/>
  <c r="L579" i="2"/>
  <c r="I579" i="3" s="1"/>
  <c r="L580" i="2"/>
  <c r="I580" i="3" s="1"/>
  <c r="L581" i="2"/>
  <c r="I581" i="3" s="1"/>
  <c r="L582" i="2"/>
  <c r="I582" i="3" s="1"/>
  <c r="L583" i="2"/>
  <c r="I583" i="3" s="1"/>
  <c r="L584" i="2"/>
  <c r="I584" i="3" s="1"/>
  <c r="L585" i="2"/>
  <c r="I585" i="3" s="1"/>
  <c r="L586" i="2"/>
  <c r="I586" i="3" s="1"/>
  <c r="L587" i="2"/>
  <c r="I587" i="3" s="1"/>
  <c r="L588" i="2"/>
  <c r="I588" i="3" s="1"/>
  <c r="L589" i="2"/>
  <c r="I589" i="3" s="1"/>
  <c r="L590" i="2"/>
  <c r="I590" i="3" s="1"/>
  <c r="L591" i="2"/>
  <c r="I591" i="3" s="1"/>
  <c r="L592" i="2"/>
  <c r="I592" i="3" s="1"/>
  <c r="L593" i="2"/>
  <c r="I593" i="3" s="1"/>
  <c r="L594" i="2"/>
  <c r="I594" i="3" s="1"/>
  <c r="L595" i="2"/>
  <c r="I595" i="3" s="1"/>
  <c r="L596" i="2"/>
  <c r="I596" i="3" s="1"/>
  <c r="L597" i="2"/>
  <c r="I597" i="3" s="1"/>
  <c r="L598" i="2"/>
  <c r="I598" i="3" s="1"/>
  <c r="L599" i="2"/>
  <c r="I599" i="3" s="1"/>
  <c r="L600" i="2"/>
  <c r="I600" i="3" s="1"/>
  <c r="L601" i="2"/>
  <c r="I601" i="3" s="1"/>
  <c r="L602" i="2"/>
  <c r="I602" i="3" s="1"/>
  <c r="L603" i="2"/>
  <c r="I603" i="3" s="1"/>
  <c r="L604" i="2"/>
  <c r="I604" i="3" s="1"/>
  <c r="L605" i="2"/>
  <c r="I605" i="3" s="1"/>
  <c r="L606" i="2"/>
  <c r="I606" i="3" s="1"/>
  <c r="L607" i="2"/>
  <c r="I607" i="3" s="1"/>
  <c r="L608" i="2"/>
  <c r="I608" i="3" s="1"/>
  <c r="L609" i="2"/>
  <c r="I609" i="3" s="1"/>
  <c r="L610" i="2"/>
  <c r="I610" i="3" s="1"/>
  <c r="L611" i="2"/>
  <c r="I611" i="3" s="1"/>
  <c r="L612" i="2"/>
  <c r="I612" i="3" s="1"/>
  <c r="L613" i="2"/>
  <c r="I613" i="3" s="1"/>
  <c r="L614" i="2"/>
  <c r="I614" i="3" s="1"/>
  <c r="L615" i="2"/>
  <c r="I615" i="3" s="1"/>
  <c r="L616" i="2"/>
  <c r="I616" i="3" s="1"/>
  <c r="L617" i="2"/>
  <c r="I617" i="3" s="1"/>
  <c r="L618" i="2"/>
  <c r="I618" i="3" s="1"/>
  <c r="L619" i="2"/>
  <c r="I619" i="3" s="1"/>
  <c r="L620" i="2"/>
  <c r="I620" i="3" s="1"/>
  <c r="L621" i="2"/>
  <c r="I621" i="3" s="1"/>
  <c r="L622" i="2"/>
  <c r="I622" i="3" s="1"/>
  <c r="L623" i="2"/>
  <c r="I623" i="3" s="1"/>
  <c r="L624" i="2"/>
  <c r="I624" i="3" s="1"/>
  <c r="L625" i="2"/>
  <c r="I625" i="3" s="1"/>
  <c r="L626" i="2"/>
  <c r="I626" i="3" s="1"/>
  <c r="L627" i="2"/>
  <c r="I627" i="3" s="1"/>
  <c r="L628" i="2"/>
  <c r="I628" i="3" s="1"/>
  <c r="L629" i="2"/>
  <c r="I629" i="3" s="1"/>
  <c r="L630" i="2"/>
  <c r="I630" i="3" s="1"/>
  <c r="L631" i="2"/>
  <c r="I631" i="3" s="1"/>
  <c r="L632" i="2"/>
  <c r="I632" i="3" s="1"/>
  <c r="L633" i="2"/>
  <c r="I633" i="3" s="1"/>
  <c r="L634" i="2"/>
  <c r="I634" i="3" s="1"/>
  <c r="L635" i="2"/>
  <c r="I635" i="3" s="1"/>
  <c r="L636" i="2"/>
  <c r="I636" i="3" s="1"/>
  <c r="L637" i="2"/>
  <c r="I637" i="3" s="1"/>
  <c r="L638" i="2"/>
  <c r="I638" i="3" s="1"/>
  <c r="L639" i="2"/>
  <c r="I639" i="3" s="1"/>
  <c r="L640" i="2"/>
  <c r="I640" i="3" s="1"/>
  <c r="L641" i="2"/>
  <c r="I641" i="3" s="1"/>
  <c r="L642" i="2"/>
  <c r="I642" i="3" s="1"/>
  <c r="L643" i="2"/>
  <c r="I643" i="3" s="1"/>
  <c r="L644" i="2"/>
  <c r="I644" i="3" s="1"/>
  <c r="L645" i="2"/>
  <c r="I645" i="3" s="1"/>
  <c r="L646" i="2"/>
  <c r="I646" i="3" s="1"/>
  <c r="L647" i="2"/>
  <c r="I647" i="3" s="1"/>
  <c r="L648" i="2"/>
  <c r="I648" i="3" s="1"/>
  <c r="L649" i="2"/>
  <c r="I649" i="3" s="1"/>
  <c r="L650" i="2"/>
  <c r="I650" i="3" s="1"/>
  <c r="L651" i="2"/>
  <c r="I651" i="3" s="1"/>
  <c r="L652" i="2"/>
  <c r="I652" i="3" s="1"/>
  <c r="L653" i="2"/>
  <c r="I653" i="3" s="1"/>
  <c r="L654" i="2"/>
  <c r="I654" i="3" s="1"/>
  <c r="L655" i="2"/>
  <c r="I655" i="3" s="1"/>
  <c r="L656" i="2"/>
  <c r="I656" i="3" s="1"/>
  <c r="L657" i="2"/>
  <c r="I657" i="3" s="1"/>
  <c r="L658" i="2"/>
  <c r="I658" i="3" s="1"/>
  <c r="L659" i="2"/>
  <c r="I659" i="3" s="1"/>
  <c r="L660" i="2"/>
  <c r="I660" i="3" s="1"/>
  <c r="L661" i="2"/>
  <c r="I661" i="3" s="1"/>
  <c r="L662" i="2"/>
  <c r="I662" i="3" s="1"/>
  <c r="L663" i="2"/>
  <c r="I663" i="3" s="1"/>
  <c r="L664" i="2"/>
  <c r="I664" i="3" s="1"/>
  <c r="L665" i="2"/>
  <c r="I665" i="3" s="1"/>
  <c r="L666" i="2"/>
  <c r="I666" i="3" s="1"/>
  <c r="L667" i="2"/>
  <c r="I667" i="3" s="1"/>
  <c r="L668" i="2"/>
  <c r="I668" i="3" s="1"/>
  <c r="L669" i="2"/>
  <c r="I669" i="3" s="1"/>
  <c r="L670" i="2"/>
  <c r="I670" i="3" s="1"/>
  <c r="L671" i="2"/>
  <c r="I671" i="3" s="1"/>
  <c r="L672" i="2"/>
  <c r="I672" i="3" s="1"/>
  <c r="L673" i="2"/>
  <c r="I673" i="3" s="1"/>
  <c r="L674" i="2"/>
  <c r="I674" i="3" s="1"/>
  <c r="L675" i="2"/>
  <c r="I675" i="3" s="1"/>
  <c r="L676" i="2"/>
  <c r="I676" i="3" s="1"/>
  <c r="L677" i="2"/>
  <c r="I677" i="3" s="1"/>
  <c r="L678" i="2"/>
  <c r="I678" i="3" s="1"/>
  <c r="L679" i="2"/>
  <c r="I679" i="3" s="1"/>
  <c r="L680" i="2"/>
  <c r="I680" i="3" s="1"/>
  <c r="L681" i="2"/>
  <c r="I681" i="3" s="1"/>
  <c r="L682" i="2"/>
  <c r="I682" i="3" s="1"/>
  <c r="L683" i="2"/>
  <c r="I683" i="3" s="1"/>
  <c r="L684" i="2"/>
  <c r="I684" i="3" s="1"/>
  <c r="L685" i="2"/>
  <c r="I685" i="3" s="1"/>
  <c r="L686" i="2"/>
  <c r="I686" i="3" s="1"/>
  <c r="L687" i="2"/>
  <c r="I687" i="3" s="1"/>
  <c r="L688" i="2"/>
  <c r="I688" i="3" s="1"/>
  <c r="L689" i="2"/>
  <c r="I689" i="3" s="1"/>
  <c r="L690" i="2"/>
  <c r="I690" i="3" s="1"/>
  <c r="L691" i="2"/>
  <c r="I691" i="3" s="1"/>
  <c r="L692" i="2"/>
  <c r="I692" i="3" s="1"/>
  <c r="L693" i="2"/>
  <c r="I693" i="3" s="1"/>
  <c r="L694" i="2"/>
  <c r="I694" i="3" s="1"/>
  <c r="L695" i="2"/>
  <c r="I695" i="3" s="1"/>
  <c r="L696" i="2"/>
  <c r="I696" i="3" s="1"/>
  <c r="L697" i="2"/>
  <c r="I697" i="3" s="1"/>
  <c r="L698" i="2"/>
  <c r="I698" i="3" s="1"/>
  <c r="L699" i="2"/>
  <c r="I699" i="3" s="1"/>
  <c r="L700" i="2"/>
  <c r="I700" i="3" s="1"/>
  <c r="L701" i="2"/>
  <c r="I701" i="3" s="1"/>
  <c r="L702" i="2"/>
  <c r="I702" i="3" s="1"/>
  <c r="L703" i="2"/>
  <c r="I703" i="3" s="1"/>
  <c r="L704" i="2"/>
  <c r="I704" i="3" s="1"/>
  <c r="L705" i="2"/>
  <c r="I705" i="3" s="1"/>
  <c r="L706" i="2"/>
  <c r="I706" i="3" s="1"/>
  <c r="L707" i="2"/>
  <c r="I707" i="3" s="1"/>
  <c r="L708" i="2"/>
  <c r="I708" i="3" s="1"/>
  <c r="L709" i="2"/>
  <c r="I709" i="3" s="1"/>
  <c r="L710" i="2"/>
  <c r="I710" i="3" s="1"/>
  <c r="L711" i="2"/>
  <c r="I711" i="3" s="1"/>
  <c r="L712" i="2"/>
  <c r="I712" i="3" s="1"/>
  <c r="L713" i="2"/>
  <c r="I713" i="3" s="1"/>
  <c r="L714" i="2"/>
  <c r="I714" i="3" s="1"/>
  <c r="L715" i="2"/>
  <c r="I715" i="3" s="1"/>
  <c r="L716" i="2"/>
  <c r="I716" i="3" s="1"/>
  <c r="L717" i="2"/>
  <c r="I717" i="3" s="1"/>
  <c r="L718" i="2"/>
  <c r="I718" i="3" s="1"/>
  <c r="L719" i="2"/>
  <c r="I719" i="3" s="1"/>
  <c r="L720" i="2"/>
  <c r="I720" i="3" s="1"/>
  <c r="L721" i="2"/>
  <c r="I721" i="3" s="1"/>
  <c r="L722" i="2"/>
  <c r="I722" i="3" s="1"/>
  <c r="L723" i="2"/>
  <c r="I723" i="3" s="1"/>
  <c r="L724" i="2"/>
  <c r="I724" i="3" s="1"/>
  <c r="L725" i="2"/>
  <c r="I725" i="3" s="1"/>
  <c r="L726" i="2"/>
  <c r="I726" i="3" s="1"/>
  <c r="L727" i="2"/>
  <c r="I727" i="3" s="1"/>
  <c r="L728" i="2"/>
  <c r="I728" i="3" s="1"/>
  <c r="L729" i="2"/>
  <c r="I729" i="3" s="1"/>
  <c r="L730" i="2"/>
  <c r="I730" i="3" s="1"/>
  <c r="L731" i="2"/>
  <c r="I731" i="3" s="1"/>
  <c r="L732" i="2"/>
  <c r="I732" i="3" s="1"/>
  <c r="L733" i="2"/>
  <c r="I733" i="3" s="1"/>
  <c r="L734" i="2"/>
  <c r="I734" i="3" s="1"/>
  <c r="L735" i="2"/>
  <c r="I735" i="3" s="1"/>
  <c r="L736" i="2"/>
  <c r="I736" i="3" s="1"/>
  <c r="L737" i="2"/>
  <c r="I737" i="3" s="1"/>
  <c r="L738" i="2"/>
  <c r="I738" i="3" s="1"/>
  <c r="L739" i="2"/>
  <c r="I739" i="3" s="1"/>
  <c r="L740" i="2"/>
  <c r="I740" i="3" s="1"/>
  <c r="L741" i="2"/>
  <c r="I741" i="3" s="1"/>
  <c r="L742" i="2"/>
  <c r="I742" i="3" s="1"/>
  <c r="L743" i="2"/>
  <c r="I743" i="3" s="1"/>
  <c r="L744" i="2"/>
  <c r="I744" i="3" s="1"/>
  <c r="L745" i="2"/>
  <c r="I745" i="3" s="1"/>
  <c r="L746" i="2"/>
  <c r="I746" i="3" s="1"/>
  <c r="L747" i="2"/>
  <c r="I747" i="3" s="1"/>
  <c r="L748" i="2"/>
  <c r="I748" i="3" s="1"/>
  <c r="L749" i="2"/>
  <c r="I749" i="3" s="1"/>
  <c r="L750" i="2"/>
  <c r="I750" i="3" s="1"/>
  <c r="L751" i="2"/>
  <c r="I751" i="3" s="1"/>
  <c r="L752" i="2"/>
  <c r="I752" i="3" s="1"/>
  <c r="L753" i="2"/>
  <c r="I753" i="3" s="1"/>
  <c r="L754" i="2"/>
  <c r="I754" i="3" s="1"/>
  <c r="L755" i="2"/>
  <c r="I755" i="3" s="1"/>
  <c r="L756" i="2"/>
  <c r="I756" i="3" s="1"/>
  <c r="L757" i="2"/>
  <c r="I757" i="3" s="1"/>
  <c r="L758" i="2"/>
  <c r="I758" i="3" s="1"/>
  <c r="L759" i="2"/>
  <c r="I759" i="3" s="1"/>
  <c r="L760" i="2"/>
  <c r="I760" i="3" s="1"/>
  <c r="L761" i="2"/>
  <c r="I761" i="3" s="1"/>
  <c r="L762" i="2"/>
  <c r="I762" i="3" s="1"/>
  <c r="L763" i="2"/>
  <c r="I763" i="3" s="1"/>
  <c r="L764" i="2"/>
  <c r="I764" i="3" s="1"/>
  <c r="L765" i="2"/>
  <c r="I765" i="3" s="1"/>
  <c r="L766" i="2"/>
  <c r="I766" i="3" s="1"/>
  <c r="L767" i="2"/>
  <c r="I767" i="3" s="1"/>
  <c r="L768" i="2"/>
  <c r="I768" i="3" s="1"/>
  <c r="L769" i="2"/>
  <c r="I769" i="3" s="1"/>
  <c r="L770" i="2"/>
  <c r="I770" i="3" s="1"/>
  <c r="L771" i="2"/>
  <c r="I771" i="3" s="1"/>
  <c r="L772" i="2"/>
  <c r="I772" i="3" s="1"/>
  <c r="L773" i="2"/>
  <c r="I773" i="3" s="1"/>
  <c r="L774" i="2"/>
  <c r="I774" i="3" s="1"/>
  <c r="L775" i="2"/>
  <c r="I775" i="3" s="1"/>
  <c r="L776" i="2"/>
  <c r="I776" i="3" s="1"/>
  <c r="L777" i="2"/>
  <c r="I777" i="3" s="1"/>
  <c r="L778" i="2"/>
  <c r="I778" i="3" s="1"/>
  <c r="L779" i="2"/>
  <c r="I779" i="3" s="1"/>
  <c r="L780" i="2"/>
  <c r="I780" i="3" s="1"/>
  <c r="L781" i="2"/>
  <c r="I781" i="3" s="1"/>
  <c r="L782" i="2"/>
  <c r="I782" i="3" s="1"/>
  <c r="L783" i="2"/>
  <c r="I783" i="3" s="1"/>
  <c r="L784" i="2"/>
  <c r="I784" i="3" s="1"/>
  <c r="L785" i="2"/>
  <c r="I785" i="3" s="1"/>
  <c r="L786" i="2"/>
  <c r="I786" i="3" s="1"/>
  <c r="L787" i="2"/>
  <c r="I787" i="3" s="1"/>
  <c r="L788" i="2"/>
  <c r="I788" i="3" s="1"/>
  <c r="L789" i="2"/>
  <c r="I789" i="3" s="1"/>
  <c r="L790" i="2"/>
  <c r="I790" i="3" s="1"/>
  <c r="L791" i="2"/>
  <c r="I791" i="3" s="1"/>
  <c r="L792" i="2"/>
  <c r="I792" i="3" s="1"/>
  <c r="L793" i="2"/>
  <c r="I793" i="3" s="1"/>
  <c r="L794" i="2"/>
  <c r="I794" i="3" s="1"/>
  <c r="L795" i="2"/>
  <c r="I795" i="3" s="1"/>
  <c r="L796" i="2"/>
  <c r="I796" i="3" s="1"/>
  <c r="L797" i="2"/>
  <c r="I797" i="3" s="1"/>
  <c r="L798" i="2"/>
  <c r="I798" i="3" s="1"/>
  <c r="L799" i="2"/>
  <c r="I799" i="3" s="1"/>
  <c r="L800" i="2"/>
  <c r="I800" i="3" s="1"/>
  <c r="L801" i="2"/>
  <c r="I801" i="3" s="1"/>
  <c r="L802" i="2"/>
  <c r="I802" i="3" s="1"/>
  <c r="L803" i="2"/>
  <c r="I803" i="3" s="1"/>
  <c r="L804" i="2"/>
  <c r="I804" i="3" s="1"/>
  <c r="L805" i="2"/>
  <c r="I805" i="3" s="1"/>
  <c r="L806" i="2"/>
  <c r="I806" i="3" s="1"/>
  <c r="L807" i="2"/>
  <c r="I807" i="3" s="1"/>
  <c r="L808" i="2"/>
  <c r="I808" i="3" s="1"/>
  <c r="L809" i="2"/>
  <c r="I809" i="3" s="1"/>
  <c r="L810" i="2"/>
  <c r="I810" i="3" s="1"/>
  <c r="L811" i="2"/>
  <c r="I811" i="3" s="1"/>
  <c r="L812" i="2"/>
  <c r="I812" i="3" s="1"/>
  <c r="L813" i="2"/>
  <c r="I813" i="3" s="1"/>
  <c r="L814" i="2"/>
  <c r="I814" i="3" s="1"/>
  <c r="L815" i="2"/>
  <c r="I815" i="3" s="1"/>
  <c r="L816" i="2"/>
  <c r="I816" i="3" s="1"/>
  <c r="L817" i="2"/>
  <c r="I817" i="3" s="1"/>
  <c r="L818" i="2"/>
  <c r="I818" i="3" s="1"/>
  <c r="L819" i="2"/>
  <c r="I819" i="3" s="1"/>
  <c r="L820" i="2"/>
  <c r="I820" i="3" s="1"/>
  <c r="L821" i="2"/>
  <c r="I821" i="3" s="1"/>
  <c r="L822" i="2"/>
  <c r="I822" i="3" s="1"/>
  <c r="L823" i="2"/>
  <c r="I823" i="3" s="1"/>
  <c r="L824" i="2"/>
  <c r="I824" i="3" s="1"/>
  <c r="L825" i="2"/>
  <c r="I825" i="3" s="1"/>
  <c r="L826" i="2"/>
  <c r="I826" i="3" s="1"/>
  <c r="L827" i="2"/>
  <c r="I827" i="3" s="1"/>
  <c r="L828" i="2"/>
  <c r="I828" i="3" s="1"/>
  <c r="L829" i="2"/>
  <c r="I829" i="3" s="1"/>
  <c r="L830" i="2"/>
  <c r="I830" i="3" s="1"/>
  <c r="L831" i="2"/>
  <c r="I831" i="3" s="1"/>
  <c r="L832" i="2"/>
  <c r="I832" i="3" s="1"/>
  <c r="L833" i="2"/>
  <c r="I833" i="3" s="1"/>
  <c r="L834" i="2"/>
  <c r="I834" i="3" s="1"/>
  <c r="L835" i="2"/>
  <c r="I835" i="3" s="1"/>
  <c r="L836" i="2"/>
  <c r="I836" i="3" s="1"/>
  <c r="L837" i="2"/>
  <c r="I837" i="3" s="1"/>
  <c r="L838" i="2"/>
  <c r="I838" i="3" s="1"/>
  <c r="L839" i="2"/>
  <c r="I839" i="3" s="1"/>
  <c r="L840" i="2"/>
  <c r="I840" i="3" s="1"/>
  <c r="L841" i="2"/>
  <c r="I841" i="3" s="1"/>
  <c r="L842" i="2"/>
  <c r="I842" i="3" s="1"/>
  <c r="L843" i="2"/>
  <c r="I843" i="3" s="1"/>
  <c r="L844" i="2"/>
  <c r="I844" i="3" s="1"/>
  <c r="L845" i="2"/>
  <c r="I845" i="3" s="1"/>
  <c r="L846" i="2"/>
  <c r="I846" i="3" s="1"/>
  <c r="L847" i="2"/>
  <c r="I847" i="3" s="1"/>
  <c r="L848" i="2"/>
  <c r="I848" i="3" s="1"/>
  <c r="L849" i="2"/>
  <c r="I849" i="3" s="1"/>
  <c r="L850" i="2"/>
  <c r="I850" i="3" s="1"/>
  <c r="L851" i="2"/>
  <c r="I851" i="3" s="1"/>
  <c r="L852" i="2"/>
  <c r="I852" i="3" s="1"/>
  <c r="L853" i="2"/>
  <c r="I853" i="3" s="1"/>
  <c r="L854" i="2"/>
  <c r="I854" i="3" s="1"/>
  <c r="L855" i="2"/>
  <c r="I855" i="3" s="1"/>
  <c r="L856" i="2"/>
  <c r="I856" i="3" s="1"/>
  <c r="L857" i="2"/>
  <c r="I857" i="3" s="1"/>
  <c r="L858" i="2"/>
  <c r="I858" i="3" s="1"/>
  <c r="L859" i="2"/>
  <c r="I859" i="3" s="1"/>
  <c r="L860" i="2"/>
  <c r="I860" i="3" s="1"/>
  <c r="L861" i="2"/>
  <c r="I861" i="3" s="1"/>
  <c r="L862" i="2"/>
  <c r="I862" i="3" s="1"/>
  <c r="L863" i="2"/>
  <c r="I863" i="3" s="1"/>
  <c r="L864" i="2"/>
  <c r="I864" i="3" s="1"/>
  <c r="L865" i="2"/>
  <c r="I865" i="3" s="1"/>
  <c r="L866" i="2"/>
  <c r="I866" i="3" s="1"/>
  <c r="L867" i="2"/>
  <c r="I867" i="3" s="1"/>
  <c r="L868" i="2"/>
  <c r="I868" i="3" s="1"/>
  <c r="L869" i="2"/>
  <c r="I869" i="3" s="1"/>
  <c r="L870" i="2"/>
  <c r="I870" i="3" s="1"/>
  <c r="L871" i="2"/>
  <c r="I871" i="3" s="1"/>
  <c r="L872" i="2"/>
  <c r="I872" i="3" s="1"/>
  <c r="L873" i="2"/>
  <c r="I873" i="3" s="1"/>
  <c r="L874" i="2"/>
  <c r="I874" i="3" s="1"/>
  <c r="L875" i="2"/>
  <c r="I875" i="3" s="1"/>
  <c r="L876" i="2"/>
  <c r="I876" i="3" s="1"/>
  <c r="L877" i="2"/>
  <c r="I877" i="3" s="1"/>
  <c r="L878" i="2"/>
  <c r="I878" i="3" s="1"/>
  <c r="L879" i="2"/>
  <c r="I879" i="3" s="1"/>
  <c r="L880" i="2"/>
  <c r="I880" i="3" s="1"/>
  <c r="L881" i="2"/>
  <c r="I881" i="3" s="1"/>
  <c r="L882" i="2"/>
  <c r="I882" i="3" s="1"/>
  <c r="L883" i="2"/>
  <c r="I883" i="3" s="1"/>
  <c r="L884" i="2"/>
  <c r="I884" i="3" s="1"/>
  <c r="L885" i="2"/>
  <c r="I885" i="3" s="1"/>
  <c r="L886" i="2"/>
  <c r="I886" i="3" s="1"/>
  <c r="L887" i="2"/>
  <c r="I887" i="3" s="1"/>
  <c r="L888" i="2"/>
  <c r="I888" i="3" s="1"/>
  <c r="L889" i="2"/>
  <c r="I889" i="3" s="1"/>
  <c r="L890" i="2"/>
  <c r="I890" i="3" s="1"/>
  <c r="L891" i="2"/>
  <c r="I891" i="3" s="1"/>
  <c r="L892" i="2"/>
  <c r="I892" i="3" s="1"/>
  <c r="L893" i="2"/>
  <c r="I893" i="3" s="1"/>
  <c r="L894" i="2"/>
  <c r="I894" i="3" s="1"/>
  <c r="L895" i="2"/>
  <c r="I895" i="3" s="1"/>
  <c r="L896" i="2"/>
  <c r="I896" i="3" s="1"/>
  <c r="L897" i="2"/>
  <c r="I897" i="3" s="1"/>
  <c r="L898" i="2"/>
  <c r="I898" i="3" s="1"/>
  <c r="L899" i="2"/>
  <c r="I899" i="3" s="1"/>
  <c r="L900" i="2"/>
  <c r="I900" i="3" s="1"/>
  <c r="L901" i="2"/>
  <c r="I901" i="3" s="1"/>
  <c r="L902" i="2"/>
  <c r="I902" i="3" s="1"/>
  <c r="L903" i="2"/>
  <c r="I903" i="3" s="1"/>
  <c r="L904" i="2"/>
  <c r="I904" i="3" s="1"/>
  <c r="L905" i="2"/>
  <c r="I905" i="3" s="1"/>
  <c r="L906" i="2"/>
  <c r="I906" i="3" s="1"/>
  <c r="L907" i="2"/>
  <c r="I907" i="3" s="1"/>
  <c r="L908" i="2"/>
  <c r="I908" i="3" s="1"/>
  <c r="L909" i="2"/>
  <c r="I909" i="3" s="1"/>
  <c r="L910" i="2"/>
  <c r="I910" i="3" s="1"/>
  <c r="L911" i="2"/>
  <c r="I911" i="3" s="1"/>
  <c r="L912" i="2"/>
  <c r="I912" i="3" s="1"/>
  <c r="L913" i="2"/>
  <c r="I913" i="3" s="1"/>
  <c r="L914" i="2"/>
  <c r="I914" i="3" s="1"/>
  <c r="L915" i="2"/>
  <c r="I915" i="3" s="1"/>
  <c r="L916" i="2"/>
  <c r="I916" i="3" s="1"/>
  <c r="L917" i="2"/>
  <c r="I917" i="3" s="1"/>
  <c r="L918" i="2"/>
  <c r="I918" i="3" s="1"/>
  <c r="L919" i="2"/>
  <c r="I919" i="3" s="1"/>
  <c r="L920" i="2"/>
  <c r="I920" i="3" s="1"/>
  <c r="L921" i="2"/>
  <c r="I921" i="3" s="1"/>
  <c r="L922" i="2"/>
  <c r="I922" i="3" s="1"/>
  <c r="L923" i="2"/>
  <c r="I923" i="3" s="1"/>
  <c r="L924" i="2"/>
  <c r="I924" i="3" s="1"/>
  <c r="L925" i="2"/>
  <c r="I925" i="3" s="1"/>
  <c r="L926" i="2"/>
  <c r="I926" i="3" s="1"/>
  <c r="L927" i="2"/>
  <c r="I927" i="3" s="1"/>
  <c r="L928" i="2"/>
  <c r="I928" i="3" s="1"/>
  <c r="L929" i="2"/>
  <c r="I929" i="3" s="1"/>
  <c r="L930" i="2"/>
  <c r="I930" i="3" s="1"/>
  <c r="L931" i="2"/>
  <c r="I931" i="3" s="1"/>
  <c r="L932" i="2"/>
  <c r="I932" i="3" s="1"/>
  <c r="L933" i="2"/>
  <c r="I933" i="3" s="1"/>
  <c r="L934" i="2"/>
  <c r="I934" i="3" s="1"/>
  <c r="L935" i="2"/>
  <c r="I935" i="3" s="1"/>
  <c r="L936" i="2"/>
  <c r="I936" i="3" s="1"/>
  <c r="L937" i="2"/>
  <c r="I937" i="3" s="1"/>
  <c r="L938" i="2"/>
  <c r="I938" i="3" s="1"/>
  <c r="L939" i="2"/>
  <c r="I939" i="3" s="1"/>
  <c r="L940" i="2"/>
  <c r="I940" i="3" s="1"/>
  <c r="L941" i="2"/>
  <c r="I941" i="3" s="1"/>
  <c r="L942" i="2"/>
  <c r="I942" i="3" s="1"/>
  <c r="L943" i="2"/>
  <c r="I943" i="3" s="1"/>
  <c r="L944" i="2"/>
  <c r="I944" i="3" s="1"/>
  <c r="L945" i="2"/>
  <c r="I945" i="3" s="1"/>
  <c r="L946" i="2"/>
  <c r="I946" i="3" s="1"/>
  <c r="L947" i="2"/>
  <c r="I947" i="3" s="1"/>
  <c r="L948" i="2"/>
  <c r="I948" i="3" s="1"/>
  <c r="L949" i="2"/>
  <c r="I949" i="3" s="1"/>
  <c r="L950" i="2"/>
  <c r="I950" i="3" s="1"/>
  <c r="L951" i="2"/>
  <c r="I951" i="3" s="1"/>
  <c r="L952" i="2"/>
  <c r="I952" i="3" s="1"/>
  <c r="L953" i="2"/>
  <c r="I953" i="3" s="1"/>
  <c r="L954" i="2"/>
  <c r="I954" i="3" s="1"/>
  <c r="L955" i="2"/>
  <c r="I955" i="3" s="1"/>
  <c r="L956" i="2"/>
  <c r="I956" i="3" s="1"/>
  <c r="L957" i="2"/>
  <c r="I957" i="3" s="1"/>
  <c r="L958" i="2"/>
  <c r="I958" i="3" s="1"/>
  <c r="L959" i="2"/>
  <c r="I959" i="3" s="1"/>
  <c r="L960" i="2"/>
  <c r="I960" i="3" s="1"/>
  <c r="L961" i="2"/>
  <c r="I961" i="3" s="1"/>
  <c r="L962" i="2"/>
  <c r="I962" i="3" s="1"/>
  <c r="L963" i="2"/>
  <c r="I963" i="3" s="1"/>
  <c r="L964" i="2"/>
  <c r="I964" i="3" s="1"/>
  <c r="L965" i="2"/>
  <c r="I965" i="3" s="1"/>
  <c r="L966" i="2"/>
  <c r="I966" i="3" s="1"/>
  <c r="L967" i="2"/>
  <c r="I967" i="3" s="1"/>
  <c r="L968" i="2"/>
  <c r="I968" i="3" s="1"/>
  <c r="L969" i="2"/>
  <c r="I969" i="3" s="1"/>
  <c r="L970" i="2"/>
  <c r="I970" i="3" s="1"/>
  <c r="L971" i="2"/>
  <c r="I971" i="3" s="1"/>
  <c r="L972" i="2"/>
  <c r="I972" i="3" s="1"/>
  <c r="L973" i="2"/>
  <c r="I973" i="3" s="1"/>
  <c r="L974" i="2"/>
  <c r="I974" i="3" s="1"/>
  <c r="L975" i="2"/>
  <c r="I975" i="3" s="1"/>
  <c r="L976" i="2"/>
  <c r="I976" i="3" s="1"/>
  <c r="L977" i="2"/>
  <c r="I977" i="3" s="1"/>
  <c r="L978" i="2"/>
  <c r="I978" i="3" s="1"/>
  <c r="L979" i="2"/>
  <c r="I979" i="3" s="1"/>
  <c r="L980" i="2"/>
  <c r="I980" i="3" s="1"/>
  <c r="L981" i="2"/>
  <c r="I981" i="3" s="1"/>
  <c r="L982" i="2"/>
  <c r="I982" i="3" s="1"/>
  <c r="L983" i="2"/>
  <c r="I983" i="3" s="1"/>
  <c r="L984" i="2"/>
  <c r="I984" i="3" s="1"/>
  <c r="L985" i="2"/>
  <c r="I985" i="3" s="1"/>
  <c r="L986" i="2"/>
  <c r="I986" i="3" s="1"/>
  <c r="L987" i="2"/>
  <c r="I987" i="3" s="1"/>
  <c r="L988" i="2"/>
  <c r="I988" i="3" s="1"/>
  <c r="L989" i="2"/>
  <c r="I989" i="3" s="1"/>
  <c r="L990" i="2"/>
  <c r="I990" i="3" s="1"/>
  <c r="L991" i="2"/>
  <c r="I991" i="3" s="1"/>
  <c r="I992" i="3"/>
  <c r="L993" i="2"/>
  <c r="I993" i="3" s="1"/>
  <c r="L994" i="2"/>
  <c r="I994" i="3" s="1"/>
  <c r="L995" i="2"/>
  <c r="I995" i="3" s="1"/>
  <c r="L996" i="2"/>
  <c r="I996" i="3" s="1"/>
  <c r="L997" i="2"/>
  <c r="I997" i="3" s="1"/>
  <c r="L998" i="2"/>
  <c r="I998" i="3" s="1"/>
  <c r="L999" i="2"/>
  <c r="I999" i="3" s="1"/>
  <c r="I1000" i="3"/>
  <c r="L1001" i="2"/>
  <c r="I1001" i="3" s="1"/>
  <c r="L5" i="2"/>
  <c r="I5" i="3" s="1"/>
  <c r="L6" i="2"/>
  <c r="I6" i="3" s="1"/>
  <c r="L7" i="2"/>
  <c r="I7" i="3" s="1"/>
  <c r="L8" i="2"/>
  <c r="I8" i="3" s="1"/>
  <c r="L9" i="2"/>
  <c r="I9" i="3" s="1"/>
  <c r="L10" i="2"/>
  <c r="I10" i="3" s="1"/>
  <c r="I11" i="3"/>
  <c r="L12" i="2"/>
  <c r="I12" i="3" s="1"/>
  <c r="L13" i="2"/>
  <c r="I13" i="3" s="1"/>
  <c r="L3" i="2"/>
  <c r="I3" i="3" s="1"/>
  <c r="L4" i="2"/>
  <c r="I4" i="3" s="1"/>
  <c r="P34" i="2"/>
  <c r="L34" i="3" s="1"/>
  <c r="P35" i="2"/>
  <c r="L35" i="3" s="1"/>
  <c r="P36" i="2"/>
  <c r="L36" i="3" s="1"/>
  <c r="P37" i="2"/>
  <c r="L37" i="3" s="1"/>
  <c r="P38" i="2"/>
  <c r="L38" i="3" s="1"/>
  <c r="P39" i="2"/>
  <c r="L39" i="3" s="1"/>
  <c r="P40" i="2"/>
  <c r="L40" i="3" s="1"/>
  <c r="P41" i="2"/>
  <c r="L41" i="3" s="1"/>
  <c r="P42" i="2"/>
  <c r="L42" i="3" s="1"/>
  <c r="P43" i="2"/>
  <c r="L43" i="3" s="1"/>
  <c r="P44" i="2"/>
  <c r="L44" i="3" s="1"/>
  <c r="P45" i="2"/>
  <c r="L45" i="3" s="1"/>
  <c r="P46" i="2"/>
  <c r="L46" i="3" s="1"/>
  <c r="P47" i="2"/>
  <c r="L47" i="3" s="1"/>
  <c r="P48" i="2"/>
  <c r="L48" i="3" s="1"/>
  <c r="P49" i="2"/>
  <c r="L49" i="3" s="1"/>
  <c r="P50" i="2"/>
  <c r="L50" i="3" s="1"/>
  <c r="P51" i="2"/>
  <c r="L51" i="3" s="1"/>
  <c r="P52" i="2"/>
  <c r="L52" i="3" s="1"/>
  <c r="P53" i="2"/>
  <c r="L53" i="3" s="1"/>
  <c r="P54" i="2"/>
  <c r="L54" i="3" s="1"/>
  <c r="P55" i="2"/>
  <c r="L55" i="3" s="1"/>
  <c r="P56" i="2"/>
  <c r="L56" i="3" s="1"/>
  <c r="P57" i="2"/>
  <c r="L57" i="3" s="1"/>
  <c r="P58" i="2"/>
  <c r="L58" i="3" s="1"/>
  <c r="P59" i="2"/>
  <c r="L59" i="3" s="1"/>
  <c r="P60" i="2"/>
  <c r="L60" i="3" s="1"/>
  <c r="P61" i="2"/>
  <c r="L61" i="3" s="1"/>
  <c r="P62" i="2"/>
  <c r="L62" i="3" s="1"/>
  <c r="P63" i="2"/>
  <c r="L63" i="3" s="1"/>
  <c r="P64" i="2"/>
  <c r="L64" i="3" s="1"/>
  <c r="P65" i="2"/>
  <c r="L65" i="3" s="1"/>
  <c r="P66" i="2"/>
  <c r="L66" i="3" s="1"/>
  <c r="P67" i="2"/>
  <c r="L67" i="3" s="1"/>
  <c r="P68" i="2"/>
  <c r="L68" i="3" s="1"/>
  <c r="P69" i="2"/>
  <c r="L69" i="3" s="1"/>
  <c r="P70" i="2"/>
  <c r="L70" i="3" s="1"/>
  <c r="P71" i="2"/>
  <c r="L71" i="3" s="1"/>
  <c r="P72" i="2"/>
  <c r="L72" i="3" s="1"/>
  <c r="P73" i="2"/>
  <c r="L73" i="3" s="1"/>
  <c r="P74" i="2"/>
  <c r="L74" i="3" s="1"/>
  <c r="P75" i="2"/>
  <c r="L75" i="3" s="1"/>
  <c r="P76" i="2"/>
  <c r="L76" i="3" s="1"/>
  <c r="P77" i="2"/>
  <c r="L77" i="3" s="1"/>
  <c r="P78" i="2"/>
  <c r="L78" i="3" s="1"/>
  <c r="P79" i="2"/>
  <c r="L79" i="3" s="1"/>
  <c r="P80" i="2"/>
  <c r="L80" i="3" s="1"/>
  <c r="P81" i="2"/>
  <c r="L81" i="3" s="1"/>
  <c r="P82" i="2"/>
  <c r="L82" i="3" s="1"/>
  <c r="P83" i="2"/>
  <c r="L83" i="3" s="1"/>
  <c r="P84" i="2"/>
  <c r="L84" i="3" s="1"/>
  <c r="P85" i="2"/>
  <c r="L85" i="3" s="1"/>
  <c r="P86" i="2"/>
  <c r="L86" i="3" s="1"/>
  <c r="P87" i="2"/>
  <c r="L87" i="3" s="1"/>
  <c r="P88" i="2"/>
  <c r="L88" i="3" s="1"/>
  <c r="P89" i="2"/>
  <c r="L89" i="3" s="1"/>
  <c r="P90" i="2"/>
  <c r="L90" i="3" s="1"/>
  <c r="P91" i="2"/>
  <c r="L91" i="3" s="1"/>
  <c r="P92" i="2"/>
  <c r="L92" i="3" s="1"/>
  <c r="P93" i="2"/>
  <c r="L93" i="3" s="1"/>
  <c r="P94" i="2"/>
  <c r="L94" i="3" s="1"/>
  <c r="P95" i="2"/>
  <c r="L95" i="3" s="1"/>
  <c r="P96" i="2"/>
  <c r="L96" i="3" s="1"/>
  <c r="P97" i="2"/>
  <c r="L97" i="3" s="1"/>
  <c r="P98" i="2"/>
  <c r="L98" i="3" s="1"/>
  <c r="P99" i="2"/>
  <c r="L99" i="3" s="1"/>
  <c r="P100" i="2"/>
  <c r="L100" i="3" s="1"/>
  <c r="P101" i="2"/>
  <c r="L101" i="3" s="1"/>
  <c r="P102" i="2"/>
  <c r="L102" i="3" s="1"/>
  <c r="P103" i="2"/>
  <c r="L103" i="3" s="1"/>
  <c r="P104" i="2"/>
  <c r="L104" i="3" s="1"/>
  <c r="P105" i="2"/>
  <c r="L105" i="3" s="1"/>
  <c r="P106" i="2"/>
  <c r="L106" i="3" s="1"/>
  <c r="P107" i="2"/>
  <c r="L107" i="3" s="1"/>
  <c r="P108" i="2"/>
  <c r="L108" i="3" s="1"/>
  <c r="P109" i="2"/>
  <c r="L109" i="3" s="1"/>
  <c r="P110" i="2"/>
  <c r="L110" i="3" s="1"/>
  <c r="P111" i="2"/>
  <c r="L111" i="3" s="1"/>
  <c r="P112" i="2"/>
  <c r="L112" i="3" s="1"/>
  <c r="P113" i="2"/>
  <c r="L113" i="3" s="1"/>
  <c r="P114" i="2"/>
  <c r="L114" i="3" s="1"/>
  <c r="P115" i="2"/>
  <c r="L115" i="3" s="1"/>
  <c r="P116" i="2"/>
  <c r="L116" i="3" s="1"/>
  <c r="P117" i="2"/>
  <c r="L117" i="3" s="1"/>
  <c r="P118" i="2"/>
  <c r="L118" i="3" s="1"/>
  <c r="P119" i="2"/>
  <c r="L119" i="3" s="1"/>
  <c r="P120" i="2"/>
  <c r="L120" i="3" s="1"/>
  <c r="P121" i="2"/>
  <c r="L121" i="3" s="1"/>
  <c r="P122" i="2"/>
  <c r="L122" i="3" s="1"/>
  <c r="P123" i="2"/>
  <c r="L123" i="3" s="1"/>
  <c r="P124" i="2"/>
  <c r="L124" i="3" s="1"/>
  <c r="P125" i="2"/>
  <c r="L125" i="3" s="1"/>
  <c r="P126" i="2"/>
  <c r="L126" i="3" s="1"/>
  <c r="P127" i="2"/>
  <c r="L127" i="3" s="1"/>
  <c r="P128" i="2"/>
  <c r="L128" i="3" s="1"/>
  <c r="P129" i="2"/>
  <c r="L129" i="3" s="1"/>
  <c r="P130" i="2"/>
  <c r="L130" i="3" s="1"/>
  <c r="P131" i="2"/>
  <c r="L131" i="3" s="1"/>
  <c r="P132" i="2"/>
  <c r="L132" i="3" s="1"/>
  <c r="P133" i="2"/>
  <c r="L133" i="3" s="1"/>
  <c r="P134" i="2"/>
  <c r="L134" i="3" s="1"/>
  <c r="P135" i="2"/>
  <c r="L135" i="3" s="1"/>
  <c r="P136" i="2"/>
  <c r="L136" i="3" s="1"/>
  <c r="P137" i="2"/>
  <c r="L137" i="3" s="1"/>
  <c r="P138" i="2"/>
  <c r="L138" i="3" s="1"/>
  <c r="P139" i="2"/>
  <c r="L139" i="3" s="1"/>
  <c r="P140" i="2"/>
  <c r="L140" i="3" s="1"/>
  <c r="P141" i="2"/>
  <c r="L141" i="3" s="1"/>
  <c r="P142" i="2"/>
  <c r="L142" i="3" s="1"/>
  <c r="P143" i="2"/>
  <c r="L143" i="3" s="1"/>
  <c r="P144" i="2"/>
  <c r="L144" i="3" s="1"/>
  <c r="P145" i="2"/>
  <c r="L145" i="3" s="1"/>
  <c r="P146" i="2"/>
  <c r="L146" i="3" s="1"/>
  <c r="P147" i="2"/>
  <c r="L147" i="3" s="1"/>
  <c r="P148" i="2"/>
  <c r="L148" i="3" s="1"/>
  <c r="P149" i="2"/>
  <c r="L149" i="3" s="1"/>
  <c r="P150" i="2"/>
  <c r="L150" i="3" s="1"/>
  <c r="P151" i="2"/>
  <c r="L151" i="3" s="1"/>
  <c r="P152" i="2"/>
  <c r="L152" i="3" s="1"/>
  <c r="P153" i="2"/>
  <c r="L153" i="3" s="1"/>
  <c r="P154" i="2"/>
  <c r="L154" i="3" s="1"/>
  <c r="P155" i="2"/>
  <c r="L155" i="3" s="1"/>
  <c r="P156" i="2"/>
  <c r="L156" i="3" s="1"/>
  <c r="P157" i="2"/>
  <c r="L157" i="3" s="1"/>
  <c r="P158" i="2"/>
  <c r="L158" i="3" s="1"/>
  <c r="P159" i="2"/>
  <c r="L159" i="3" s="1"/>
  <c r="P160" i="2"/>
  <c r="L160" i="3" s="1"/>
  <c r="P161" i="2"/>
  <c r="L161" i="3" s="1"/>
  <c r="P162" i="2"/>
  <c r="L162" i="3" s="1"/>
  <c r="P163" i="2"/>
  <c r="L163" i="3" s="1"/>
  <c r="P164" i="2"/>
  <c r="L164" i="3" s="1"/>
  <c r="P165" i="2"/>
  <c r="L165" i="3" s="1"/>
  <c r="P166" i="2"/>
  <c r="L166" i="3" s="1"/>
  <c r="P167" i="2"/>
  <c r="L167" i="3" s="1"/>
  <c r="P168" i="2"/>
  <c r="L168" i="3" s="1"/>
  <c r="P169" i="2"/>
  <c r="L169" i="3" s="1"/>
  <c r="P170" i="2"/>
  <c r="L170" i="3" s="1"/>
  <c r="P171" i="2"/>
  <c r="L171" i="3" s="1"/>
  <c r="P172" i="2"/>
  <c r="L172" i="3" s="1"/>
  <c r="P173" i="2"/>
  <c r="L173" i="3" s="1"/>
  <c r="P174" i="2"/>
  <c r="L174" i="3" s="1"/>
  <c r="P175" i="2"/>
  <c r="L175" i="3" s="1"/>
  <c r="P176" i="2"/>
  <c r="L176" i="3" s="1"/>
  <c r="P177" i="2"/>
  <c r="L177" i="3" s="1"/>
  <c r="P178" i="2"/>
  <c r="L178" i="3" s="1"/>
  <c r="P179" i="2"/>
  <c r="L179" i="3" s="1"/>
  <c r="P180" i="2"/>
  <c r="L180" i="3" s="1"/>
  <c r="P181" i="2"/>
  <c r="L181" i="3" s="1"/>
  <c r="P182" i="2"/>
  <c r="L182" i="3" s="1"/>
  <c r="P183" i="2"/>
  <c r="L183" i="3" s="1"/>
  <c r="P184" i="2"/>
  <c r="L184" i="3" s="1"/>
  <c r="P185" i="2"/>
  <c r="L185" i="3" s="1"/>
  <c r="P186" i="2"/>
  <c r="L186" i="3" s="1"/>
  <c r="P187" i="2"/>
  <c r="L187" i="3" s="1"/>
  <c r="P188" i="2"/>
  <c r="L188" i="3" s="1"/>
  <c r="P189" i="2"/>
  <c r="L189" i="3" s="1"/>
  <c r="P190" i="2"/>
  <c r="L190" i="3" s="1"/>
  <c r="P191" i="2"/>
  <c r="L191" i="3" s="1"/>
  <c r="P192" i="2"/>
  <c r="L192" i="3" s="1"/>
  <c r="P193" i="2"/>
  <c r="L193" i="3" s="1"/>
  <c r="P194" i="2"/>
  <c r="L194" i="3" s="1"/>
  <c r="P195" i="2"/>
  <c r="L195" i="3" s="1"/>
  <c r="P196" i="2"/>
  <c r="L196" i="3" s="1"/>
  <c r="P197" i="2"/>
  <c r="L197" i="3" s="1"/>
  <c r="P198" i="2"/>
  <c r="L198" i="3" s="1"/>
  <c r="P199" i="2"/>
  <c r="L199" i="3" s="1"/>
  <c r="P200" i="2"/>
  <c r="L200" i="3" s="1"/>
  <c r="P201" i="2"/>
  <c r="L201" i="3" s="1"/>
  <c r="P202" i="2"/>
  <c r="L202" i="3" s="1"/>
  <c r="P203" i="2"/>
  <c r="L203" i="3" s="1"/>
  <c r="P204" i="2"/>
  <c r="L204" i="3" s="1"/>
  <c r="P205" i="2"/>
  <c r="L205" i="3" s="1"/>
  <c r="P206" i="2"/>
  <c r="L206" i="3" s="1"/>
  <c r="P207" i="2"/>
  <c r="L207" i="3" s="1"/>
  <c r="P208" i="2"/>
  <c r="L208" i="3" s="1"/>
  <c r="P209" i="2"/>
  <c r="L209" i="3" s="1"/>
  <c r="P210" i="2"/>
  <c r="L210" i="3" s="1"/>
  <c r="P211" i="2"/>
  <c r="L211" i="3" s="1"/>
  <c r="P212" i="2"/>
  <c r="L212" i="3" s="1"/>
  <c r="P213" i="2"/>
  <c r="L213" i="3" s="1"/>
  <c r="P214" i="2"/>
  <c r="L214" i="3" s="1"/>
  <c r="P215" i="2"/>
  <c r="L215" i="3" s="1"/>
  <c r="P216" i="2"/>
  <c r="L216" i="3" s="1"/>
  <c r="P217" i="2"/>
  <c r="L217" i="3" s="1"/>
  <c r="P218" i="2"/>
  <c r="L218" i="3" s="1"/>
  <c r="P219" i="2"/>
  <c r="L219" i="3" s="1"/>
  <c r="P220" i="2"/>
  <c r="L220" i="3" s="1"/>
  <c r="P221" i="2"/>
  <c r="L221" i="3" s="1"/>
  <c r="P222" i="2"/>
  <c r="L222" i="3" s="1"/>
  <c r="P223" i="2"/>
  <c r="L223" i="3" s="1"/>
  <c r="P224" i="2"/>
  <c r="L224" i="3" s="1"/>
  <c r="P225" i="2"/>
  <c r="L225" i="3" s="1"/>
  <c r="P226" i="2"/>
  <c r="L226" i="3" s="1"/>
  <c r="P227" i="2"/>
  <c r="L227" i="3" s="1"/>
  <c r="P228" i="2"/>
  <c r="L228" i="3" s="1"/>
  <c r="P229" i="2"/>
  <c r="L229" i="3" s="1"/>
  <c r="P230" i="2"/>
  <c r="L230" i="3" s="1"/>
  <c r="P231" i="2"/>
  <c r="L231" i="3" s="1"/>
  <c r="P232" i="2"/>
  <c r="L232" i="3" s="1"/>
  <c r="P233" i="2"/>
  <c r="L233" i="3" s="1"/>
  <c r="P234" i="2"/>
  <c r="L234" i="3" s="1"/>
  <c r="P235" i="2"/>
  <c r="L235" i="3" s="1"/>
  <c r="P236" i="2"/>
  <c r="L236" i="3" s="1"/>
  <c r="P237" i="2"/>
  <c r="L237" i="3" s="1"/>
  <c r="P238" i="2"/>
  <c r="L238" i="3" s="1"/>
  <c r="P239" i="2"/>
  <c r="L239" i="3" s="1"/>
  <c r="P240" i="2"/>
  <c r="L240" i="3" s="1"/>
  <c r="P241" i="2"/>
  <c r="L241" i="3" s="1"/>
  <c r="P242" i="2"/>
  <c r="L242" i="3" s="1"/>
  <c r="P243" i="2"/>
  <c r="L243" i="3" s="1"/>
  <c r="P244" i="2"/>
  <c r="L244" i="3" s="1"/>
  <c r="P245" i="2"/>
  <c r="L245" i="3" s="1"/>
  <c r="P246" i="2"/>
  <c r="L246" i="3" s="1"/>
  <c r="P247" i="2"/>
  <c r="L247" i="3" s="1"/>
  <c r="P248" i="2"/>
  <c r="L248" i="3" s="1"/>
  <c r="P249" i="2"/>
  <c r="L249" i="3" s="1"/>
  <c r="P250" i="2"/>
  <c r="L250" i="3" s="1"/>
  <c r="P251" i="2"/>
  <c r="L251" i="3" s="1"/>
  <c r="P252" i="2"/>
  <c r="L252" i="3" s="1"/>
  <c r="P253" i="2"/>
  <c r="L253" i="3" s="1"/>
  <c r="P254" i="2"/>
  <c r="L254" i="3" s="1"/>
  <c r="P255" i="2"/>
  <c r="L255" i="3" s="1"/>
  <c r="P256" i="2"/>
  <c r="L256" i="3" s="1"/>
  <c r="P257" i="2"/>
  <c r="L257" i="3" s="1"/>
  <c r="P258" i="2"/>
  <c r="L258" i="3" s="1"/>
  <c r="P259" i="2"/>
  <c r="L259" i="3" s="1"/>
  <c r="P260" i="2"/>
  <c r="L260" i="3" s="1"/>
  <c r="P261" i="2"/>
  <c r="L261" i="3" s="1"/>
  <c r="P262" i="2"/>
  <c r="L262" i="3" s="1"/>
  <c r="P263" i="2"/>
  <c r="L263" i="3" s="1"/>
  <c r="P264" i="2"/>
  <c r="L264" i="3" s="1"/>
  <c r="P265" i="2"/>
  <c r="L265" i="3" s="1"/>
  <c r="P266" i="2"/>
  <c r="L266" i="3" s="1"/>
  <c r="P267" i="2"/>
  <c r="L267" i="3" s="1"/>
  <c r="P268" i="2"/>
  <c r="L268" i="3" s="1"/>
  <c r="P269" i="2"/>
  <c r="L269" i="3" s="1"/>
  <c r="P270" i="2"/>
  <c r="L270" i="3" s="1"/>
  <c r="P271" i="2"/>
  <c r="L271" i="3" s="1"/>
  <c r="P272" i="2"/>
  <c r="L272" i="3" s="1"/>
  <c r="P273" i="2"/>
  <c r="L273" i="3" s="1"/>
  <c r="P274" i="2"/>
  <c r="L274" i="3" s="1"/>
  <c r="P275" i="2"/>
  <c r="L275" i="3" s="1"/>
  <c r="P276" i="2"/>
  <c r="L276" i="3" s="1"/>
  <c r="P277" i="2"/>
  <c r="L277" i="3" s="1"/>
  <c r="P278" i="2"/>
  <c r="L278" i="3" s="1"/>
  <c r="P279" i="2"/>
  <c r="L279" i="3" s="1"/>
  <c r="P280" i="2"/>
  <c r="L280" i="3" s="1"/>
  <c r="P281" i="2"/>
  <c r="L281" i="3" s="1"/>
  <c r="P282" i="2"/>
  <c r="L282" i="3" s="1"/>
  <c r="P283" i="2"/>
  <c r="L283" i="3" s="1"/>
  <c r="P284" i="2"/>
  <c r="L284" i="3" s="1"/>
  <c r="P285" i="2"/>
  <c r="L285" i="3" s="1"/>
  <c r="P286" i="2"/>
  <c r="L286" i="3" s="1"/>
  <c r="P287" i="2"/>
  <c r="L287" i="3" s="1"/>
  <c r="P288" i="2"/>
  <c r="L288" i="3" s="1"/>
  <c r="P289" i="2"/>
  <c r="L289" i="3" s="1"/>
  <c r="P290" i="2"/>
  <c r="L290" i="3" s="1"/>
  <c r="P291" i="2"/>
  <c r="L291" i="3" s="1"/>
  <c r="P292" i="2"/>
  <c r="L292" i="3" s="1"/>
  <c r="P293" i="2"/>
  <c r="L293" i="3" s="1"/>
  <c r="P294" i="2"/>
  <c r="L294" i="3" s="1"/>
  <c r="P295" i="2"/>
  <c r="L295" i="3" s="1"/>
  <c r="P296" i="2"/>
  <c r="L296" i="3" s="1"/>
  <c r="P297" i="2"/>
  <c r="L297" i="3" s="1"/>
  <c r="P298" i="2"/>
  <c r="L298" i="3" s="1"/>
  <c r="P299" i="2"/>
  <c r="L299" i="3" s="1"/>
  <c r="P300" i="2"/>
  <c r="L300" i="3" s="1"/>
  <c r="P301" i="2"/>
  <c r="L301" i="3" s="1"/>
  <c r="P302" i="2"/>
  <c r="L302" i="3" s="1"/>
  <c r="P303" i="2"/>
  <c r="L303" i="3" s="1"/>
  <c r="P304" i="2"/>
  <c r="L304" i="3" s="1"/>
  <c r="P305" i="2"/>
  <c r="L305" i="3" s="1"/>
  <c r="P306" i="2"/>
  <c r="L306" i="3" s="1"/>
  <c r="P307" i="2"/>
  <c r="L307" i="3" s="1"/>
  <c r="P308" i="2"/>
  <c r="L308" i="3" s="1"/>
  <c r="P309" i="2"/>
  <c r="L309" i="3" s="1"/>
  <c r="P310" i="2"/>
  <c r="L310" i="3" s="1"/>
  <c r="P311" i="2"/>
  <c r="L311" i="3" s="1"/>
  <c r="P312" i="2"/>
  <c r="L312" i="3" s="1"/>
  <c r="P313" i="2"/>
  <c r="L313" i="3" s="1"/>
  <c r="P314" i="2"/>
  <c r="L314" i="3" s="1"/>
  <c r="P315" i="2"/>
  <c r="L315" i="3" s="1"/>
  <c r="P316" i="2"/>
  <c r="L316" i="3" s="1"/>
  <c r="P317" i="2"/>
  <c r="L317" i="3" s="1"/>
  <c r="P318" i="2"/>
  <c r="L318" i="3" s="1"/>
  <c r="P319" i="2"/>
  <c r="L319" i="3" s="1"/>
  <c r="P320" i="2"/>
  <c r="L320" i="3" s="1"/>
  <c r="P321" i="2"/>
  <c r="L321" i="3" s="1"/>
  <c r="P322" i="2"/>
  <c r="L322" i="3" s="1"/>
  <c r="P323" i="2"/>
  <c r="L323" i="3" s="1"/>
  <c r="P324" i="2"/>
  <c r="L324" i="3" s="1"/>
  <c r="P325" i="2"/>
  <c r="L325" i="3" s="1"/>
  <c r="P326" i="2"/>
  <c r="L326" i="3" s="1"/>
  <c r="P327" i="2"/>
  <c r="L327" i="3" s="1"/>
  <c r="P328" i="2"/>
  <c r="L328" i="3" s="1"/>
  <c r="P329" i="2"/>
  <c r="L329" i="3" s="1"/>
  <c r="P330" i="2"/>
  <c r="L330" i="3" s="1"/>
  <c r="P331" i="2"/>
  <c r="L331" i="3" s="1"/>
  <c r="P332" i="2"/>
  <c r="L332" i="3" s="1"/>
  <c r="P333" i="2"/>
  <c r="L333" i="3" s="1"/>
  <c r="P334" i="2"/>
  <c r="L334" i="3" s="1"/>
  <c r="P335" i="2"/>
  <c r="L335" i="3" s="1"/>
  <c r="P336" i="2"/>
  <c r="L336" i="3" s="1"/>
  <c r="P337" i="2"/>
  <c r="L337" i="3" s="1"/>
  <c r="P338" i="2"/>
  <c r="L338" i="3" s="1"/>
  <c r="P339" i="2"/>
  <c r="L339" i="3" s="1"/>
  <c r="P340" i="2"/>
  <c r="L340" i="3" s="1"/>
  <c r="P341" i="2"/>
  <c r="L341" i="3" s="1"/>
  <c r="P342" i="2"/>
  <c r="L342" i="3" s="1"/>
  <c r="P343" i="2"/>
  <c r="L343" i="3" s="1"/>
  <c r="P344" i="2"/>
  <c r="L344" i="3" s="1"/>
  <c r="P345" i="2"/>
  <c r="L345" i="3" s="1"/>
  <c r="P346" i="2"/>
  <c r="L346" i="3" s="1"/>
  <c r="P347" i="2"/>
  <c r="L347" i="3" s="1"/>
  <c r="P348" i="2"/>
  <c r="L348" i="3" s="1"/>
  <c r="P349" i="2"/>
  <c r="L349" i="3" s="1"/>
  <c r="P350" i="2"/>
  <c r="L350" i="3" s="1"/>
  <c r="P351" i="2"/>
  <c r="L351" i="3" s="1"/>
  <c r="P352" i="2"/>
  <c r="L352" i="3" s="1"/>
  <c r="P353" i="2"/>
  <c r="L353" i="3" s="1"/>
  <c r="P354" i="2"/>
  <c r="L354" i="3" s="1"/>
  <c r="P355" i="2"/>
  <c r="L355" i="3" s="1"/>
  <c r="P356" i="2"/>
  <c r="L356" i="3" s="1"/>
  <c r="P357" i="2"/>
  <c r="L357" i="3" s="1"/>
  <c r="P358" i="2"/>
  <c r="L358" i="3" s="1"/>
  <c r="P359" i="2"/>
  <c r="L359" i="3" s="1"/>
  <c r="P360" i="2"/>
  <c r="L360" i="3" s="1"/>
  <c r="P361" i="2"/>
  <c r="L361" i="3" s="1"/>
  <c r="P362" i="2"/>
  <c r="L362" i="3" s="1"/>
  <c r="P363" i="2"/>
  <c r="L363" i="3" s="1"/>
  <c r="P364" i="2"/>
  <c r="L364" i="3" s="1"/>
  <c r="P365" i="2"/>
  <c r="L365" i="3" s="1"/>
  <c r="P366" i="2"/>
  <c r="L366" i="3" s="1"/>
  <c r="P367" i="2"/>
  <c r="L367" i="3" s="1"/>
  <c r="P368" i="2"/>
  <c r="L368" i="3" s="1"/>
  <c r="P369" i="2"/>
  <c r="L369" i="3" s="1"/>
  <c r="P370" i="2"/>
  <c r="L370" i="3" s="1"/>
  <c r="P371" i="2"/>
  <c r="L371" i="3" s="1"/>
  <c r="P372" i="2"/>
  <c r="L372" i="3" s="1"/>
  <c r="P373" i="2"/>
  <c r="L373" i="3" s="1"/>
  <c r="P374" i="2"/>
  <c r="L374" i="3" s="1"/>
  <c r="P375" i="2"/>
  <c r="L375" i="3" s="1"/>
  <c r="P376" i="2"/>
  <c r="L376" i="3" s="1"/>
  <c r="P377" i="2"/>
  <c r="L377" i="3" s="1"/>
  <c r="P378" i="2"/>
  <c r="L378" i="3" s="1"/>
  <c r="P379" i="2"/>
  <c r="L379" i="3" s="1"/>
  <c r="P380" i="2"/>
  <c r="L380" i="3" s="1"/>
  <c r="P381" i="2"/>
  <c r="L381" i="3" s="1"/>
  <c r="P382" i="2"/>
  <c r="L382" i="3" s="1"/>
  <c r="P383" i="2"/>
  <c r="L383" i="3" s="1"/>
  <c r="P384" i="2"/>
  <c r="L384" i="3" s="1"/>
  <c r="P385" i="2"/>
  <c r="L385" i="3" s="1"/>
  <c r="P386" i="2"/>
  <c r="L386" i="3" s="1"/>
  <c r="P387" i="2"/>
  <c r="L387" i="3" s="1"/>
  <c r="P388" i="2"/>
  <c r="L388" i="3" s="1"/>
  <c r="P389" i="2"/>
  <c r="L389" i="3" s="1"/>
  <c r="P390" i="2"/>
  <c r="L390" i="3" s="1"/>
  <c r="P391" i="2"/>
  <c r="L391" i="3" s="1"/>
  <c r="P392" i="2"/>
  <c r="L392" i="3" s="1"/>
  <c r="P393" i="2"/>
  <c r="L393" i="3" s="1"/>
  <c r="P394" i="2"/>
  <c r="L394" i="3" s="1"/>
  <c r="P395" i="2"/>
  <c r="L395" i="3" s="1"/>
  <c r="P396" i="2"/>
  <c r="L396" i="3" s="1"/>
  <c r="P397" i="2"/>
  <c r="L397" i="3" s="1"/>
  <c r="P398" i="2"/>
  <c r="L398" i="3" s="1"/>
  <c r="P399" i="2"/>
  <c r="L399" i="3" s="1"/>
  <c r="P400" i="2"/>
  <c r="L400" i="3" s="1"/>
  <c r="P401" i="2"/>
  <c r="L401" i="3" s="1"/>
  <c r="P402" i="2"/>
  <c r="L402" i="3" s="1"/>
  <c r="P403" i="2"/>
  <c r="L403" i="3" s="1"/>
  <c r="P404" i="2"/>
  <c r="L404" i="3" s="1"/>
  <c r="P405" i="2"/>
  <c r="L405" i="3" s="1"/>
  <c r="P406" i="2"/>
  <c r="L406" i="3" s="1"/>
  <c r="P407" i="2"/>
  <c r="L407" i="3" s="1"/>
  <c r="P408" i="2"/>
  <c r="L408" i="3" s="1"/>
  <c r="P409" i="2"/>
  <c r="L409" i="3" s="1"/>
  <c r="P410" i="2"/>
  <c r="L410" i="3" s="1"/>
  <c r="P411" i="2"/>
  <c r="L411" i="3" s="1"/>
  <c r="P412" i="2"/>
  <c r="L412" i="3" s="1"/>
  <c r="P413" i="2"/>
  <c r="L413" i="3" s="1"/>
  <c r="P414" i="2"/>
  <c r="L414" i="3" s="1"/>
  <c r="P415" i="2"/>
  <c r="L415" i="3" s="1"/>
  <c r="P416" i="2"/>
  <c r="L416" i="3" s="1"/>
  <c r="P417" i="2"/>
  <c r="L417" i="3" s="1"/>
  <c r="P418" i="2"/>
  <c r="L418" i="3" s="1"/>
  <c r="P419" i="2"/>
  <c r="L419" i="3" s="1"/>
  <c r="P420" i="2"/>
  <c r="L420" i="3" s="1"/>
  <c r="P421" i="2"/>
  <c r="L421" i="3" s="1"/>
  <c r="P422" i="2"/>
  <c r="L422" i="3" s="1"/>
  <c r="P423" i="2"/>
  <c r="L423" i="3" s="1"/>
  <c r="P424" i="2"/>
  <c r="L424" i="3" s="1"/>
  <c r="P425" i="2"/>
  <c r="L425" i="3" s="1"/>
  <c r="P426" i="2"/>
  <c r="L426" i="3" s="1"/>
  <c r="P427" i="2"/>
  <c r="L427" i="3" s="1"/>
  <c r="P428" i="2"/>
  <c r="L428" i="3" s="1"/>
  <c r="P429" i="2"/>
  <c r="L429" i="3" s="1"/>
  <c r="P430" i="2"/>
  <c r="L430" i="3" s="1"/>
  <c r="P431" i="2"/>
  <c r="L431" i="3" s="1"/>
  <c r="P432" i="2"/>
  <c r="L432" i="3" s="1"/>
  <c r="P433" i="2"/>
  <c r="L433" i="3" s="1"/>
  <c r="P434" i="2"/>
  <c r="L434" i="3" s="1"/>
  <c r="P435" i="2"/>
  <c r="L435" i="3" s="1"/>
  <c r="P436" i="2"/>
  <c r="L436" i="3" s="1"/>
  <c r="P437" i="2"/>
  <c r="L437" i="3" s="1"/>
  <c r="P438" i="2"/>
  <c r="L438" i="3" s="1"/>
  <c r="P439" i="2"/>
  <c r="L439" i="3" s="1"/>
  <c r="P440" i="2"/>
  <c r="L440" i="3" s="1"/>
  <c r="P441" i="2"/>
  <c r="L441" i="3" s="1"/>
  <c r="P442" i="2"/>
  <c r="L442" i="3" s="1"/>
  <c r="P443" i="2"/>
  <c r="L443" i="3" s="1"/>
  <c r="P444" i="2"/>
  <c r="L444" i="3" s="1"/>
  <c r="P445" i="2"/>
  <c r="L445" i="3" s="1"/>
  <c r="P446" i="2"/>
  <c r="L446" i="3" s="1"/>
  <c r="P447" i="2"/>
  <c r="L447" i="3" s="1"/>
  <c r="P448" i="2"/>
  <c r="L448" i="3" s="1"/>
  <c r="P449" i="2"/>
  <c r="L449" i="3" s="1"/>
  <c r="P450" i="2"/>
  <c r="L450" i="3" s="1"/>
  <c r="P451" i="2"/>
  <c r="L451" i="3" s="1"/>
  <c r="P452" i="2"/>
  <c r="L452" i="3" s="1"/>
  <c r="P453" i="2"/>
  <c r="L453" i="3" s="1"/>
  <c r="P454" i="2"/>
  <c r="L454" i="3" s="1"/>
  <c r="P455" i="2"/>
  <c r="L455" i="3" s="1"/>
  <c r="P456" i="2"/>
  <c r="L456" i="3" s="1"/>
  <c r="P457" i="2"/>
  <c r="L457" i="3" s="1"/>
  <c r="P458" i="2"/>
  <c r="L458" i="3" s="1"/>
  <c r="P459" i="2"/>
  <c r="L459" i="3" s="1"/>
  <c r="P460" i="2"/>
  <c r="L460" i="3" s="1"/>
  <c r="P461" i="2"/>
  <c r="L461" i="3" s="1"/>
  <c r="P462" i="2"/>
  <c r="L462" i="3" s="1"/>
  <c r="P463" i="2"/>
  <c r="L463" i="3" s="1"/>
  <c r="P464" i="2"/>
  <c r="L464" i="3" s="1"/>
  <c r="P465" i="2"/>
  <c r="L465" i="3" s="1"/>
  <c r="P466" i="2"/>
  <c r="L466" i="3" s="1"/>
  <c r="P467" i="2"/>
  <c r="L467" i="3" s="1"/>
  <c r="P468" i="2"/>
  <c r="L468" i="3" s="1"/>
  <c r="P469" i="2"/>
  <c r="L469" i="3" s="1"/>
  <c r="P470" i="2"/>
  <c r="L470" i="3" s="1"/>
  <c r="P471" i="2"/>
  <c r="L471" i="3" s="1"/>
  <c r="P472" i="2"/>
  <c r="L472" i="3" s="1"/>
  <c r="P473" i="2"/>
  <c r="L473" i="3" s="1"/>
  <c r="P474" i="2"/>
  <c r="L474" i="3" s="1"/>
  <c r="P475" i="2"/>
  <c r="L475" i="3" s="1"/>
  <c r="P476" i="2"/>
  <c r="L476" i="3" s="1"/>
  <c r="P477" i="2"/>
  <c r="L477" i="3" s="1"/>
  <c r="P478" i="2"/>
  <c r="L478" i="3" s="1"/>
  <c r="P479" i="2"/>
  <c r="L479" i="3" s="1"/>
  <c r="P480" i="2"/>
  <c r="L480" i="3" s="1"/>
  <c r="P481" i="2"/>
  <c r="L481" i="3" s="1"/>
  <c r="P482" i="2"/>
  <c r="L482" i="3" s="1"/>
  <c r="P483" i="2"/>
  <c r="L483" i="3" s="1"/>
  <c r="P484" i="2"/>
  <c r="L484" i="3" s="1"/>
  <c r="P485" i="2"/>
  <c r="L485" i="3" s="1"/>
  <c r="P486" i="2"/>
  <c r="L486" i="3" s="1"/>
  <c r="P487" i="2"/>
  <c r="L487" i="3" s="1"/>
  <c r="P488" i="2"/>
  <c r="L488" i="3" s="1"/>
  <c r="P489" i="2"/>
  <c r="L489" i="3" s="1"/>
  <c r="P490" i="2"/>
  <c r="L490" i="3" s="1"/>
  <c r="P491" i="2"/>
  <c r="L491" i="3" s="1"/>
  <c r="P492" i="2"/>
  <c r="L492" i="3" s="1"/>
  <c r="P493" i="2"/>
  <c r="L493" i="3" s="1"/>
  <c r="P494" i="2"/>
  <c r="L494" i="3" s="1"/>
  <c r="P495" i="2"/>
  <c r="L495" i="3" s="1"/>
  <c r="P496" i="2"/>
  <c r="L496" i="3" s="1"/>
  <c r="P497" i="2"/>
  <c r="L497" i="3" s="1"/>
  <c r="P498" i="2"/>
  <c r="L498" i="3" s="1"/>
  <c r="P499" i="2"/>
  <c r="L499" i="3" s="1"/>
  <c r="P500" i="2"/>
  <c r="L500" i="3" s="1"/>
  <c r="P501" i="2"/>
  <c r="L501" i="3" s="1"/>
  <c r="P502" i="2"/>
  <c r="L502" i="3" s="1"/>
  <c r="P503" i="2"/>
  <c r="L503" i="3" s="1"/>
  <c r="P504" i="2"/>
  <c r="L504" i="3" s="1"/>
  <c r="P505" i="2"/>
  <c r="L505" i="3" s="1"/>
  <c r="P506" i="2"/>
  <c r="L506" i="3" s="1"/>
  <c r="P507" i="2"/>
  <c r="L507" i="3" s="1"/>
  <c r="P508" i="2"/>
  <c r="L508" i="3" s="1"/>
  <c r="P509" i="2"/>
  <c r="L509" i="3" s="1"/>
  <c r="P510" i="2"/>
  <c r="L510" i="3" s="1"/>
  <c r="P511" i="2"/>
  <c r="L511" i="3" s="1"/>
  <c r="P512" i="2"/>
  <c r="L512" i="3" s="1"/>
  <c r="P513" i="2"/>
  <c r="L513" i="3" s="1"/>
  <c r="P514" i="2"/>
  <c r="L514" i="3" s="1"/>
  <c r="P515" i="2"/>
  <c r="L515" i="3" s="1"/>
  <c r="P516" i="2"/>
  <c r="L516" i="3" s="1"/>
  <c r="P517" i="2"/>
  <c r="L517" i="3" s="1"/>
  <c r="P518" i="2"/>
  <c r="L518" i="3" s="1"/>
  <c r="P519" i="2"/>
  <c r="L519" i="3" s="1"/>
  <c r="P520" i="2"/>
  <c r="L520" i="3" s="1"/>
  <c r="P521" i="2"/>
  <c r="L521" i="3" s="1"/>
  <c r="P522" i="2"/>
  <c r="L522" i="3" s="1"/>
  <c r="P523" i="2"/>
  <c r="L523" i="3" s="1"/>
  <c r="P524" i="2"/>
  <c r="L524" i="3" s="1"/>
  <c r="P525" i="2"/>
  <c r="L525" i="3" s="1"/>
  <c r="P526" i="2"/>
  <c r="L526" i="3" s="1"/>
  <c r="P527" i="2"/>
  <c r="L527" i="3" s="1"/>
  <c r="P528" i="2"/>
  <c r="L528" i="3" s="1"/>
  <c r="P529" i="2"/>
  <c r="L529" i="3" s="1"/>
  <c r="P530" i="2"/>
  <c r="L530" i="3" s="1"/>
  <c r="P531" i="2"/>
  <c r="L531" i="3" s="1"/>
  <c r="P532" i="2"/>
  <c r="L532" i="3" s="1"/>
  <c r="P533" i="2"/>
  <c r="L533" i="3" s="1"/>
  <c r="P534" i="2"/>
  <c r="L534" i="3" s="1"/>
  <c r="P535" i="2"/>
  <c r="L535" i="3" s="1"/>
  <c r="P536" i="2"/>
  <c r="L536" i="3" s="1"/>
  <c r="P537" i="2"/>
  <c r="L537" i="3" s="1"/>
  <c r="P538" i="2"/>
  <c r="L538" i="3" s="1"/>
  <c r="P539" i="2"/>
  <c r="L539" i="3" s="1"/>
  <c r="P540" i="2"/>
  <c r="L540" i="3" s="1"/>
  <c r="P541" i="2"/>
  <c r="L541" i="3" s="1"/>
  <c r="P542" i="2"/>
  <c r="L542" i="3" s="1"/>
  <c r="P543" i="2"/>
  <c r="L543" i="3" s="1"/>
  <c r="P544" i="2"/>
  <c r="L544" i="3" s="1"/>
  <c r="P545" i="2"/>
  <c r="L545" i="3" s="1"/>
  <c r="P546" i="2"/>
  <c r="L546" i="3" s="1"/>
  <c r="P547" i="2"/>
  <c r="L547" i="3" s="1"/>
  <c r="P548" i="2"/>
  <c r="L548" i="3" s="1"/>
  <c r="P549" i="2"/>
  <c r="L549" i="3" s="1"/>
  <c r="P550" i="2"/>
  <c r="L550" i="3" s="1"/>
  <c r="P551" i="2"/>
  <c r="L551" i="3" s="1"/>
  <c r="P552" i="2"/>
  <c r="L552" i="3" s="1"/>
  <c r="P553" i="2"/>
  <c r="L553" i="3" s="1"/>
  <c r="P554" i="2"/>
  <c r="L554" i="3" s="1"/>
  <c r="P555" i="2"/>
  <c r="L555" i="3" s="1"/>
  <c r="P556" i="2"/>
  <c r="L556" i="3" s="1"/>
  <c r="P557" i="2"/>
  <c r="L557" i="3" s="1"/>
  <c r="P558" i="2"/>
  <c r="L558" i="3" s="1"/>
  <c r="P559" i="2"/>
  <c r="L559" i="3" s="1"/>
  <c r="P560" i="2"/>
  <c r="L560" i="3" s="1"/>
  <c r="P561" i="2"/>
  <c r="L561" i="3" s="1"/>
  <c r="P562" i="2"/>
  <c r="L562" i="3" s="1"/>
  <c r="P563" i="2"/>
  <c r="L563" i="3" s="1"/>
  <c r="P564" i="2"/>
  <c r="L564" i="3" s="1"/>
  <c r="P565" i="2"/>
  <c r="L565" i="3" s="1"/>
  <c r="P566" i="2"/>
  <c r="L566" i="3" s="1"/>
  <c r="P567" i="2"/>
  <c r="L567" i="3" s="1"/>
  <c r="P568" i="2"/>
  <c r="L568" i="3" s="1"/>
  <c r="P569" i="2"/>
  <c r="L569" i="3" s="1"/>
  <c r="P570" i="2"/>
  <c r="L570" i="3" s="1"/>
  <c r="P571" i="2"/>
  <c r="L571" i="3" s="1"/>
  <c r="P572" i="2"/>
  <c r="L572" i="3" s="1"/>
  <c r="P573" i="2"/>
  <c r="L573" i="3" s="1"/>
  <c r="P574" i="2"/>
  <c r="L574" i="3" s="1"/>
  <c r="P575" i="2"/>
  <c r="L575" i="3" s="1"/>
  <c r="P576" i="2"/>
  <c r="L576" i="3" s="1"/>
  <c r="P577" i="2"/>
  <c r="L577" i="3" s="1"/>
  <c r="P578" i="2"/>
  <c r="L578" i="3" s="1"/>
  <c r="P579" i="2"/>
  <c r="L579" i="3" s="1"/>
  <c r="P580" i="2"/>
  <c r="L580" i="3" s="1"/>
  <c r="P581" i="2"/>
  <c r="L581" i="3" s="1"/>
  <c r="P582" i="2"/>
  <c r="L582" i="3" s="1"/>
  <c r="P583" i="2"/>
  <c r="L583" i="3" s="1"/>
  <c r="P584" i="2"/>
  <c r="L584" i="3" s="1"/>
  <c r="P585" i="2"/>
  <c r="L585" i="3" s="1"/>
  <c r="P586" i="2"/>
  <c r="L586" i="3" s="1"/>
  <c r="P587" i="2"/>
  <c r="L587" i="3" s="1"/>
  <c r="P588" i="2"/>
  <c r="L588" i="3" s="1"/>
  <c r="P589" i="2"/>
  <c r="L589" i="3" s="1"/>
  <c r="P590" i="2"/>
  <c r="L590" i="3" s="1"/>
  <c r="P591" i="2"/>
  <c r="L591" i="3" s="1"/>
  <c r="P592" i="2"/>
  <c r="L592" i="3" s="1"/>
  <c r="P593" i="2"/>
  <c r="L593" i="3" s="1"/>
  <c r="P594" i="2"/>
  <c r="L594" i="3" s="1"/>
  <c r="P595" i="2"/>
  <c r="L595" i="3" s="1"/>
  <c r="P596" i="2"/>
  <c r="L596" i="3" s="1"/>
  <c r="P597" i="2"/>
  <c r="L597" i="3" s="1"/>
  <c r="P598" i="2"/>
  <c r="L598" i="3" s="1"/>
  <c r="P599" i="2"/>
  <c r="L599" i="3" s="1"/>
  <c r="P600" i="2"/>
  <c r="L600" i="3" s="1"/>
  <c r="P601" i="2"/>
  <c r="L601" i="3" s="1"/>
  <c r="P602" i="2"/>
  <c r="L602" i="3" s="1"/>
  <c r="P603" i="2"/>
  <c r="L603" i="3" s="1"/>
  <c r="P604" i="2"/>
  <c r="L604" i="3" s="1"/>
  <c r="P605" i="2"/>
  <c r="L605" i="3" s="1"/>
  <c r="P606" i="2"/>
  <c r="L606" i="3" s="1"/>
  <c r="P607" i="2"/>
  <c r="L607" i="3" s="1"/>
  <c r="P608" i="2"/>
  <c r="L608" i="3" s="1"/>
  <c r="P609" i="2"/>
  <c r="L609" i="3" s="1"/>
  <c r="P610" i="2"/>
  <c r="L610" i="3" s="1"/>
  <c r="P611" i="2"/>
  <c r="L611" i="3" s="1"/>
  <c r="P612" i="2"/>
  <c r="L612" i="3" s="1"/>
  <c r="P613" i="2"/>
  <c r="L613" i="3" s="1"/>
  <c r="P614" i="2"/>
  <c r="L614" i="3" s="1"/>
  <c r="P615" i="2"/>
  <c r="L615" i="3" s="1"/>
  <c r="P616" i="2"/>
  <c r="L616" i="3" s="1"/>
  <c r="P617" i="2"/>
  <c r="L617" i="3" s="1"/>
  <c r="P618" i="2"/>
  <c r="L618" i="3" s="1"/>
  <c r="P619" i="2"/>
  <c r="L619" i="3" s="1"/>
  <c r="P620" i="2"/>
  <c r="L620" i="3" s="1"/>
  <c r="P621" i="2"/>
  <c r="L621" i="3" s="1"/>
  <c r="P622" i="2"/>
  <c r="L622" i="3" s="1"/>
  <c r="P623" i="2"/>
  <c r="L623" i="3" s="1"/>
  <c r="P624" i="2"/>
  <c r="L624" i="3" s="1"/>
  <c r="P625" i="2"/>
  <c r="L625" i="3" s="1"/>
  <c r="P626" i="2"/>
  <c r="L626" i="3" s="1"/>
  <c r="P627" i="2"/>
  <c r="L627" i="3" s="1"/>
  <c r="P628" i="2"/>
  <c r="L628" i="3" s="1"/>
  <c r="P629" i="2"/>
  <c r="L629" i="3" s="1"/>
  <c r="P630" i="2"/>
  <c r="L630" i="3" s="1"/>
  <c r="P631" i="2"/>
  <c r="L631" i="3" s="1"/>
  <c r="P632" i="2"/>
  <c r="L632" i="3" s="1"/>
  <c r="P633" i="2"/>
  <c r="L633" i="3" s="1"/>
  <c r="P634" i="2"/>
  <c r="L634" i="3" s="1"/>
  <c r="P635" i="2"/>
  <c r="L635" i="3" s="1"/>
  <c r="P636" i="2"/>
  <c r="L636" i="3" s="1"/>
  <c r="P637" i="2"/>
  <c r="L637" i="3" s="1"/>
  <c r="P638" i="2"/>
  <c r="L638" i="3" s="1"/>
  <c r="P639" i="2"/>
  <c r="L639" i="3" s="1"/>
  <c r="P640" i="2"/>
  <c r="L640" i="3" s="1"/>
  <c r="P641" i="2"/>
  <c r="L641" i="3" s="1"/>
  <c r="P642" i="2"/>
  <c r="L642" i="3" s="1"/>
  <c r="P643" i="2"/>
  <c r="L643" i="3" s="1"/>
  <c r="P644" i="2"/>
  <c r="L644" i="3" s="1"/>
  <c r="P645" i="2"/>
  <c r="L645" i="3" s="1"/>
  <c r="P646" i="2"/>
  <c r="L646" i="3" s="1"/>
  <c r="P647" i="2"/>
  <c r="L647" i="3" s="1"/>
  <c r="P648" i="2"/>
  <c r="L648" i="3" s="1"/>
  <c r="P649" i="2"/>
  <c r="L649" i="3" s="1"/>
  <c r="P650" i="2"/>
  <c r="L650" i="3" s="1"/>
  <c r="P651" i="2"/>
  <c r="L651" i="3" s="1"/>
  <c r="P652" i="2"/>
  <c r="L652" i="3" s="1"/>
  <c r="P653" i="2"/>
  <c r="L653" i="3" s="1"/>
  <c r="P654" i="2"/>
  <c r="L654" i="3" s="1"/>
  <c r="P655" i="2"/>
  <c r="L655" i="3" s="1"/>
  <c r="P656" i="2"/>
  <c r="L656" i="3" s="1"/>
  <c r="P657" i="2"/>
  <c r="L657" i="3" s="1"/>
  <c r="P658" i="2"/>
  <c r="L658" i="3" s="1"/>
  <c r="P659" i="2"/>
  <c r="L659" i="3" s="1"/>
  <c r="P660" i="2"/>
  <c r="L660" i="3" s="1"/>
  <c r="P661" i="2"/>
  <c r="L661" i="3" s="1"/>
  <c r="P662" i="2"/>
  <c r="L662" i="3" s="1"/>
  <c r="P663" i="2"/>
  <c r="L663" i="3" s="1"/>
  <c r="P664" i="2"/>
  <c r="L664" i="3" s="1"/>
  <c r="P665" i="2"/>
  <c r="L665" i="3" s="1"/>
  <c r="P666" i="2"/>
  <c r="L666" i="3" s="1"/>
  <c r="P667" i="2"/>
  <c r="L667" i="3" s="1"/>
  <c r="P668" i="2"/>
  <c r="L668" i="3" s="1"/>
  <c r="P669" i="2"/>
  <c r="L669" i="3" s="1"/>
  <c r="P670" i="2"/>
  <c r="L670" i="3" s="1"/>
  <c r="P671" i="2"/>
  <c r="L671" i="3" s="1"/>
  <c r="P672" i="2"/>
  <c r="L672" i="3" s="1"/>
  <c r="P673" i="2"/>
  <c r="L673" i="3" s="1"/>
  <c r="P674" i="2"/>
  <c r="L674" i="3" s="1"/>
  <c r="P675" i="2"/>
  <c r="L675" i="3" s="1"/>
  <c r="P676" i="2"/>
  <c r="L676" i="3" s="1"/>
  <c r="P677" i="2"/>
  <c r="L677" i="3" s="1"/>
  <c r="P678" i="2"/>
  <c r="L678" i="3" s="1"/>
  <c r="P679" i="2"/>
  <c r="L679" i="3" s="1"/>
  <c r="P680" i="2"/>
  <c r="L680" i="3" s="1"/>
  <c r="P681" i="2"/>
  <c r="L681" i="3" s="1"/>
  <c r="P682" i="2"/>
  <c r="L682" i="3" s="1"/>
  <c r="P683" i="2"/>
  <c r="L683" i="3" s="1"/>
  <c r="P684" i="2"/>
  <c r="L684" i="3" s="1"/>
  <c r="P685" i="2"/>
  <c r="L685" i="3" s="1"/>
  <c r="P686" i="2"/>
  <c r="L686" i="3" s="1"/>
  <c r="P687" i="2"/>
  <c r="L687" i="3" s="1"/>
  <c r="P688" i="2"/>
  <c r="L688" i="3" s="1"/>
  <c r="P689" i="2"/>
  <c r="L689" i="3" s="1"/>
  <c r="P690" i="2"/>
  <c r="L690" i="3" s="1"/>
  <c r="P691" i="2"/>
  <c r="L691" i="3" s="1"/>
  <c r="P692" i="2"/>
  <c r="L692" i="3" s="1"/>
  <c r="P693" i="2"/>
  <c r="L693" i="3" s="1"/>
  <c r="P694" i="2"/>
  <c r="L694" i="3" s="1"/>
  <c r="P695" i="2"/>
  <c r="L695" i="3" s="1"/>
  <c r="P696" i="2"/>
  <c r="L696" i="3" s="1"/>
  <c r="P697" i="2"/>
  <c r="L697" i="3" s="1"/>
  <c r="P698" i="2"/>
  <c r="L698" i="3" s="1"/>
  <c r="P699" i="2"/>
  <c r="L699" i="3" s="1"/>
  <c r="P700" i="2"/>
  <c r="L700" i="3" s="1"/>
  <c r="P701" i="2"/>
  <c r="L701" i="3" s="1"/>
  <c r="P702" i="2"/>
  <c r="L702" i="3" s="1"/>
  <c r="P703" i="2"/>
  <c r="L703" i="3" s="1"/>
  <c r="P704" i="2"/>
  <c r="L704" i="3" s="1"/>
  <c r="P705" i="2"/>
  <c r="L705" i="3" s="1"/>
  <c r="P706" i="2"/>
  <c r="L706" i="3" s="1"/>
  <c r="P707" i="2"/>
  <c r="L707" i="3" s="1"/>
  <c r="P708" i="2"/>
  <c r="L708" i="3" s="1"/>
  <c r="P709" i="2"/>
  <c r="L709" i="3" s="1"/>
  <c r="P710" i="2"/>
  <c r="L710" i="3" s="1"/>
  <c r="P711" i="2"/>
  <c r="L711" i="3" s="1"/>
  <c r="P712" i="2"/>
  <c r="L712" i="3" s="1"/>
  <c r="P713" i="2"/>
  <c r="L713" i="3" s="1"/>
  <c r="P714" i="2"/>
  <c r="L714" i="3" s="1"/>
  <c r="P715" i="2"/>
  <c r="L715" i="3" s="1"/>
  <c r="P716" i="2"/>
  <c r="L716" i="3" s="1"/>
  <c r="P717" i="2"/>
  <c r="L717" i="3" s="1"/>
  <c r="P718" i="2"/>
  <c r="L718" i="3" s="1"/>
  <c r="P719" i="2"/>
  <c r="L719" i="3" s="1"/>
  <c r="P720" i="2"/>
  <c r="L720" i="3" s="1"/>
  <c r="P721" i="2"/>
  <c r="L721" i="3" s="1"/>
  <c r="P722" i="2"/>
  <c r="L722" i="3" s="1"/>
  <c r="P723" i="2"/>
  <c r="L723" i="3" s="1"/>
  <c r="P724" i="2"/>
  <c r="L724" i="3" s="1"/>
  <c r="P725" i="2"/>
  <c r="L725" i="3" s="1"/>
  <c r="P726" i="2"/>
  <c r="L726" i="3" s="1"/>
  <c r="P727" i="2"/>
  <c r="L727" i="3" s="1"/>
  <c r="P728" i="2"/>
  <c r="L728" i="3" s="1"/>
  <c r="P729" i="2"/>
  <c r="L729" i="3" s="1"/>
  <c r="P730" i="2"/>
  <c r="L730" i="3" s="1"/>
  <c r="P731" i="2"/>
  <c r="L731" i="3" s="1"/>
  <c r="P732" i="2"/>
  <c r="L732" i="3" s="1"/>
  <c r="P733" i="2"/>
  <c r="L733" i="3" s="1"/>
  <c r="P734" i="2"/>
  <c r="L734" i="3" s="1"/>
  <c r="P735" i="2"/>
  <c r="L735" i="3" s="1"/>
  <c r="P736" i="2"/>
  <c r="L736" i="3" s="1"/>
  <c r="P737" i="2"/>
  <c r="L737" i="3" s="1"/>
  <c r="P738" i="2"/>
  <c r="L738" i="3" s="1"/>
  <c r="P739" i="2"/>
  <c r="L739" i="3" s="1"/>
  <c r="P740" i="2"/>
  <c r="L740" i="3" s="1"/>
  <c r="P741" i="2"/>
  <c r="L741" i="3" s="1"/>
  <c r="P742" i="2"/>
  <c r="L742" i="3" s="1"/>
  <c r="P743" i="2"/>
  <c r="L743" i="3" s="1"/>
  <c r="P744" i="2"/>
  <c r="L744" i="3" s="1"/>
  <c r="P745" i="2"/>
  <c r="L745" i="3" s="1"/>
  <c r="P746" i="2"/>
  <c r="L746" i="3" s="1"/>
  <c r="P747" i="2"/>
  <c r="L747" i="3" s="1"/>
  <c r="P748" i="2"/>
  <c r="L748" i="3" s="1"/>
  <c r="P749" i="2"/>
  <c r="L749" i="3" s="1"/>
  <c r="P750" i="2"/>
  <c r="L750" i="3" s="1"/>
  <c r="P751" i="2"/>
  <c r="L751" i="3" s="1"/>
  <c r="P752" i="2"/>
  <c r="L752" i="3" s="1"/>
  <c r="P753" i="2"/>
  <c r="L753" i="3" s="1"/>
  <c r="P754" i="2"/>
  <c r="L754" i="3" s="1"/>
  <c r="P755" i="2"/>
  <c r="L755" i="3" s="1"/>
  <c r="P756" i="2"/>
  <c r="L756" i="3" s="1"/>
  <c r="P757" i="2"/>
  <c r="L757" i="3" s="1"/>
  <c r="P758" i="2"/>
  <c r="L758" i="3" s="1"/>
  <c r="P759" i="2"/>
  <c r="L759" i="3" s="1"/>
  <c r="P760" i="2"/>
  <c r="L760" i="3" s="1"/>
  <c r="P761" i="2"/>
  <c r="L761" i="3" s="1"/>
  <c r="P762" i="2"/>
  <c r="L762" i="3" s="1"/>
  <c r="P763" i="2"/>
  <c r="L763" i="3" s="1"/>
  <c r="P764" i="2"/>
  <c r="L764" i="3" s="1"/>
  <c r="P765" i="2"/>
  <c r="L765" i="3" s="1"/>
  <c r="P766" i="2"/>
  <c r="L766" i="3" s="1"/>
  <c r="P767" i="2"/>
  <c r="L767" i="3" s="1"/>
  <c r="P768" i="2"/>
  <c r="L768" i="3" s="1"/>
  <c r="P769" i="2"/>
  <c r="L769" i="3" s="1"/>
  <c r="P770" i="2"/>
  <c r="L770" i="3" s="1"/>
  <c r="P771" i="2"/>
  <c r="L771" i="3" s="1"/>
  <c r="P772" i="2"/>
  <c r="L772" i="3" s="1"/>
  <c r="P773" i="2"/>
  <c r="L773" i="3" s="1"/>
  <c r="P774" i="2"/>
  <c r="L774" i="3" s="1"/>
  <c r="P775" i="2"/>
  <c r="L775" i="3" s="1"/>
  <c r="P776" i="2"/>
  <c r="L776" i="3" s="1"/>
  <c r="P777" i="2"/>
  <c r="L777" i="3" s="1"/>
  <c r="P778" i="2"/>
  <c r="L778" i="3" s="1"/>
  <c r="P779" i="2"/>
  <c r="L779" i="3" s="1"/>
  <c r="P780" i="2"/>
  <c r="L780" i="3" s="1"/>
  <c r="P781" i="2"/>
  <c r="L781" i="3" s="1"/>
  <c r="P782" i="2"/>
  <c r="L782" i="3" s="1"/>
  <c r="P783" i="2"/>
  <c r="L783" i="3" s="1"/>
  <c r="P784" i="2"/>
  <c r="L784" i="3" s="1"/>
  <c r="P785" i="2"/>
  <c r="L785" i="3" s="1"/>
  <c r="P786" i="2"/>
  <c r="L786" i="3" s="1"/>
  <c r="P787" i="2"/>
  <c r="L787" i="3" s="1"/>
  <c r="P788" i="2"/>
  <c r="L788" i="3" s="1"/>
  <c r="P789" i="2"/>
  <c r="L789" i="3" s="1"/>
  <c r="P790" i="2"/>
  <c r="L790" i="3" s="1"/>
  <c r="P791" i="2"/>
  <c r="L791" i="3" s="1"/>
  <c r="P792" i="2"/>
  <c r="L792" i="3" s="1"/>
  <c r="P793" i="2"/>
  <c r="L793" i="3" s="1"/>
  <c r="P794" i="2"/>
  <c r="L794" i="3" s="1"/>
  <c r="P795" i="2"/>
  <c r="L795" i="3" s="1"/>
  <c r="P796" i="2"/>
  <c r="L796" i="3" s="1"/>
  <c r="P797" i="2"/>
  <c r="L797" i="3" s="1"/>
  <c r="P798" i="2"/>
  <c r="L798" i="3" s="1"/>
  <c r="P799" i="2"/>
  <c r="L799" i="3" s="1"/>
  <c r="P800" i="2"/>
  <c r="L800" i="3" s="1"/>
  <c r="P801" i="2"/>
  <c r="L801" i="3" s="1"/>
  <c r="P802" i="2"/>
  <c r="L802" i="3" s="1"/>
  <c r="P803" i="2"/>
  <c r="L803" i="3" s="1"/>
  <c r="P804" i="2"/>
  <c r="L804" i="3" s="1"/>
  <c r="P805" i="2"/>
  <c r="L805" i="3" s="1"/>
  <c r="P806" i="2"/>
  <c r="L806" i="3" s="1"/>
  <c r="P807" i="2"/>
  <c r="L807" i="3" s="1"/>
  <c r="P808" i="2"/>
  <c r="L808" i="3" s="1"/>
  <c r="P809" i="2"/>
  <c r="L809" i="3" s="1"/>
  <c r="P810" i="2"/>
  <c r="L810" i="3" s="1"/>
  <c r="P811" i="2"/>
  <c r="L811" i="3" s="1"/>
  <c r="P812" i="2"/>
  <c r="L812" i="3" s="1"/>
  <c r="P813" i="2"/>
  <c r="L813" i="3" s="1"/>
  <c r="P814" i="2"/>
  <c r="L814" i="3" s="1"/>
  <c r="P815" i="2"/>
  <c r="L815" i="3" s="1"/>
  <c r="P816" i="2"/>
  <c r="L816" i="3" s="1"/>
  <c r="P817" i="2"/>
  <c r="L817" i="3" s="1"/>
  <c r="P818" i="2"/>
  <c r="L818" i="3" s="1"/>
  <c r="P819" i="2"/>
  <c r="L819" i="3" s="1"/>
  <c r="P820" i="2"/>
  <c r="L820" i="3" s="1"/>
  <c r="P821" i="2"/>
  <c r="L821" i="3" s="1"/>
  <c r="P822" i="2"/>
  <c r="L822" i="3" s="1"/>
  <c r="P823" i="2"/>
  <c r="L823" i="3" s="1"/>
  <c r="P824" i="2"/>
  <c r="L824" i="3" s="1"/>
  <c r="P825" i="2"/>
  <c r="L825" i="3" s="1"/>
  <c r="P826" i="2"/>
  <c r="L826" i="3" s="1"/>
  <c r="P827" i="2"/>
  <c r="L827" i="3" s="1"/>
  <c r="P828" i="2"/>
  <c r="L828" i="3" s="1"/>
  <c r="P829" i="2"/>
  <c r="L829" i="3" s="1"/>
  <c r="P830" i="2"/>
  <c r="L830" i="3" s="1"/>
  <c r="P831" i="2"/>
  <c r="L831" i="3" s="1"/>
  <c r="P832" i="2"/>
  <c r="L832" i="3" s="1"/>
  <c r="P833" i="2"/>
  <c r="L833" i="3" s="1"/>
  <c r="P834" i="2"/>
  <c r="L834" i="3" s="1"/>
  <c r="P835" i="2"/>
  <c r="L835" i="3" s="1"/>
  <c r="P836" i="2"/>
  <c r="L836" i="3" s="1"/>
  <c r="P837" i="2"/>
  <c r="L837" i="3" s="1"/>
  <c r="P838" i="2"/>
  <c r="L838" i="3" s="1"/>
  <c r="P839" i="2"/>
  <c r="L839" i="3" s="1"/>
  <c r="P840" i="2"/>
  <c r="L840" i="3" s="1"/>
  <c r="P841" i="2"/>
  <c r="L841" i="3" s="1"/>
  <c r="P842" i="2"/>
  <c r="L842" i="3" s="1"/>
  <c r="P843" i="2"/>
  <c r="L843" i="3" s="1"/>
  <c r="P844" i="2"/>
  <c r="L844" i="3" s="1"/>
  <c r="P845" i="2"/>
  <c r="L845" i="3" s="1"/>
  <c r="P846" i="2"/>
  <c r="L846" i="3" s="1"/>
  <c r="P847" i="2"/>
  <c r="L847" i="3" s="1"/>
  <c r="P848" i="2"/>
  <c r="L848" i="3" s="1"/>
  <c r="P849" i="2"/>
  <c r="L849" i="3" s="1"/>
  <c r="P850" i="2"/>
  <c r="L850" i="3" s="1"/>
  <c r="P851" i="2"/>
  <c r="L851" i="3" s="1"/>
  <c r="P852" i="2"/>
  <c r="L852" i="3" s="1"/>
  <c r="P853" i="2"/>
  <c r="L853" i="3" s="1"/>
  <c r="P854" i="2"/>
  <c r="L854" i="3" s="1"/>
  <c r="P855" i="2"/>
  <c r="L855" i="3" s="1"/>
  <c r="P856" i="2"/>
  <c r="L856" i="3" s="1"/>
  <c r="P857" i="2"/>
  <c r="L857" i="3" s="1"/>
  <c r="P858" i="2"/>
  <c r="L858" i="3" s="1"/>
  <c r="P859" i="2"/>
  <c r="L859" i="3" s="1"/>
  <c r="P860" i="2"/>
  <c r="L860" i="3" s="1"/>
  <c r="P861" i="2"/>
  <c r="L861" i="3" s="1"/>
  <c r="P862" i="2"/>
  <c r="L862" i="3" s="1"/>
  <c r="P863" i="2"/>
  <c r="L863" i="3" s="1"/>
  <c r="P864" i="2"/>
  <c r="L864" i="3" s="1"/>
  <c r="P865" i="2"/>
  <c r="L865" i="3" s="1"/>
  <c r="P866" i="2"/>
  <c r="L866" i="3" s="1"/>
  <c r="P867" i="2"/>
  <c r="L867" i="3" s="1"/>
  <c r="P868" i="2"/>
  <c r="L868" i="3" s="1"/>
  <c r="P869" i="2"/>
  <c r="L869" i="3" s="1"/>
  <c r="P870" i="2"/>
  <c r="L870" i="3" s="1"/>
  <c r="P871" i="2"/>
  <c r="L871" i="3" s="1"/>
  <c r="P872" i="2"/>
  <c r="L872" i="3" s="1"/>
  <c r="P873" i="2"/>
  <c r="L873" i="3" s="1"/>
  <c r="P874" i="2"/>
  <c r="L874" i="3" s="1"/>
  <c r="P875" i="2"/>
  <c r="L875" i="3" s="1"/>
  <c r="P876" i="2"/>
  <c r="L876" i="3" s="1"/>
  <c r="P877" i="2"/>
  <c r="L877" i="3" s="1"/>
  <c r="P878" i="2"/>
  <c r="L878" i="3" s="1"/>
  <c r="P879" i="2"/>
  <c r="L879" i="3" s="1"/>
  <c r="P880" i="2"/>
  <c r="L880" i="3" s="1"/>
  <c r="P881" i="2"/>
  <c r="L881" i="3" s="1"/>
  <c r="P882" i="2"/>
  <c r="L882" i="3" s="1"/>
  <c r="P883" i="2"/>
  <c r="L883" i="3" s="1"/>
  <c r="P884" i="2"/>
  <c r="L884" i="3" s="1"/>
  <c r="P885" i="2"/>
  <c r="L885" i="3" s="1"/>
  <c r="P886" i="2"/>
  <c r="L886" i="3" s="1"/>
  <c r="P887" i="2"/>
  <c r="L887" i="3" s="1"/>
  <c r="P888" i="2"/>
  <c r="L888" i="3" s="1"/>
  <c r="P889" i="2"/>
  <c r="L889" i="3" s="1"/>
  <c r="P890" i="2"/>
  <c r="L890" i="3" s="1"/>
  <c r="P891" i="2"/>
  <c r="L891" i="3" s="1"/>
  <c r="P892" i="2"/>
  <c r="L892" i="3" s="1"/>
  <c r="P893" i="2"/>
  <c r="L893" i="3" s="1"/>
  <c r="P894" i="2"/>
  <c r="L894" i="3" s="1"/>
  <c r="P895" i="2"/>
  <c r="L895" i="3" s="1"/>
  <c r="P896" i="2"/>
  <c r="L896" i="3" s="1"/>
  <c r="P897" i="2"/>
  <c r="L897" i="3" s="1"/>
  <c r="P898" i="2"/>
  <c r="L898" i="3" s="1"/>
  <c r="P899" i="2"/>
  <c r="L899" i="3" s="1"/>
  <c r="P900" i="2"/>
  <c r="L900" i="3" s="1"/>
  <c r="P901" i="2"/>
  <c r="L901" i="3" s="1"/>
  <c r="P902" i="2"/>
  <c r="L902" i="3" s="1"/>
  <c r="P903" i="2"/>
  <c r="L903" i="3" s="1"/>
  <c r="P904" i="2"/>
  <c r="L904" i="3" s="1"/>
  <c r="P905" i="2"/>
  <c r="L905" i="3" s="1"/>
  <c r="P906" i="2"/>
  <c r="L906" i="3" s="1"/>
  <c r="P907" i="2"/>
  <c r="L907" i="3" s="1"/>
  <c r="P908" i="2"/>
  <c r="L908" i="3" s="1"/>
  <c r="P909" i="2"/>
  <c r="L909" i="3" s="1"/>
  <c r="P910" i="2"/>
  <c r="L910" i="3" s="1"/>
  <c r="P911" i="2"/>
  <c r="L911" i="3" s="1"/>
  <c r="P912" i="2"/>
  <c r="L912" i="3" s="1"/>
  <c r="P913" i="2"/>
  <c r="L913" i="3" s="1"/>
  <c r="P914" i="2"/>
  <c r="L914" i="3" s="1"/>
  <c r="P915" i="2"/>
  <c r="L915" i="3" s="1"/>
  <c r="P916" i="2"/>
  <c r="L916" i="3" s="1"/>
  <c r="P917" i="2"/>
  <c r="L917" i="3" s="1"/>
  <c r="P918" i="2"/>
  <c r="L918" i="3" s="1"/>
  <c r="P919" i="2"/>
  <c r="L919" i="3" s="1"/>
  <c r="P920" i="2"/>
  <c r="L920" i="3" s="1"/>
  <c r="P921" i="2"/>
  <c r="L921" i="3" s="1"/>
  <c r="P922" i="2"/>
  <c r="L922" i="3" s="1"/>
  <c r="P923" i="2"/>
  <c r="L923" i="3" s="1"/>
  <c r="P924" i="2"/>
  <c r="L924" i="3" s="1"/>
  <c r="P925" i="2"/>
  <c r="L925" i="3" s="1"/>
  <c r="P926" i="2"/>
  <c r="L926" i="3" s="1"/>
  <c r="P927" i="2"/>
  <c r="L927" i="3" s="1"/>
  <c r="P928" i="2"/>
  <c r="L928" i="3" s="1"/>
  <c r="P929" i="2"/>
  <c r="L929" i="3" s="1"/>
  <c r="P930" i="2"/>
  <c r="L930" i="3" s="1"/>
  <c r="P931" i="2"/>
  <c r="L931" i="3" s="1"/>
  <c r="P932" i="2"/>
  <c r="L932" i="3" s="1"/>
  <c r="P933" i="2"/>
  <c r="L933" i="3" s="1"/>
  <c r="P934" i="2"/>
  <c r="L934" i="3" s="1"/>
  <c r="P935" i="2"/>
  <c r="L935" i="3" s="1"/>
  <c r="P936" i="2"/>
  <c r="L936" i="3" s="1"/>
  <c r="P937" i="2"/>
  <c r="L937" i="3" s="1"/>
  <c r="P938" i="2"/>
  <c r="L938" i="3" s="1"/>
  <c r="P939" i="2"/>
  <c r="L939" i="3" s="1"/>
  <c r="P940" i="2"/>
  <c r="L940" i="3" s="1"/>
  <c r="P941" i="2"/>
  <c r="L941" i="3" s="1"/>
  <c r="P942" i="2"/>
  <c r="L942" i="3" s="1"/>
  <c r="P943" i="2"/>
  <c r="L943" i="3" s="1"/>
  <c r="P944" i="2"/>
  <c r="L944" i="3" s="1"/>
  <c r="P945" i="2"/>
  <c r="L945" i="3" s="1"/>
  <c r="P946" i="2"/>
  <c r="L946" i="3" s="1"/>
  <c r="P947" i="2"/>
  <c r="L947" i="3" s="1"/>
  <c r="P948" i="2"/>
  <c r="L948" i="3" s="1"/>
  <c r="P949" i="2"/>
  <c r="L949" i="3" s="1"/>
  <c r="P950" i="2"/>
  <c r="L950" i="3" s="1"/>
  <c r="P951" i="2"/>
  <c r="L951" i="3" s="1"/>
  <c r="P952" i="2"/>
  <c r="L952" i="3" s="1"/>
  <c r="P953" i="2"/>
  <c r="L953" i="3" s="1"/>
  <c r="P954" i="2"/>
  <c r="L954" i="3" s="1"/>
  <c r="P955" i="2"/>
  <c r="L955" i="3" s="1"/>
  <c r="P956" i="2"/>
  <c r="L956" i="3" s="1"/>
  <c r="P957" i="2"/>
  <c r="L957" i="3" s="1"/>
  <c r="P958" i="2"/>
  <c r="L958" i="3" s="1"/>
  <c r="P959" i="2"/>
  <c r="L959" i="3" s="1"/>
  <c r="P960" i="2"/>
  <c r="L960" i="3" s="1"/>
  <c r="P961" i="2"/>
  <c r="L961" i="3" s="1"/>
  <c r="P962" i="2"/>
  <c r="L962" i="3" s="1"/>
  <c r="P963" i="2"/>
  <c r="L963" i="3" s="1"/>
  <c r="P964" i="2"/>
  <c r="L964" i="3" s="1"/>
  <c r="P965" i="2"/>
  <c r="L965" i="3" s="1"/>
  <c r="P966" i="2"/>
  <c r="L966" i="3" s="1"/>
  <c r="P967" i="2"/>
  <c r="L967" i="3" s="1"/>
  <c r="P968" i="2"/>
  <c r="L968" i="3" s="1"/>
  <c r="P969" i="2"/>
  <c r="L969" i="3" s="1"/>
  <c r="P970" i="2"/>
  <c r="L970" i="3" s="1"/>
  <c r="P971" i="2"/>
  <c r="L971" i="3" s="1"/>
  <c r="P972" i="2"/>
  <c r="L972" i="3" s="1"/>
  <c r="P973" i="2"/>
  <c r="L973" i="3" s="1"/>
  <c r="P974" i="2"/>
  <c r="L974" i="3" s="1"/>
  <c r="P975" i="2"/>
  <c r="L975" i="3" s="1"/>
  <c r="P976" i="2"/>
  <c r="L976" i="3" s="1"/>
  <c r="P977" i="2"/>
  <c r="L977" i="3" s="1"/>
  <c r="P978" i="2"/>
  <c r="L978" i="3" s="1"/>
  <c r="P979" i="2"/>
  <c r="L979" i="3" s="1"/>
  <c r="P980" i="2"/>
  <c r="L980" i="3" s="1"/>
  <c r="P981" i="2"/>
  <c r="L981" i="3" s="1"/>
  <c r="P982" i="2"/>
  <c r="L982" i="3" s="1"/>
  <c r="P983" i="2"/>
  <c r="L983" i="3" s="1"/>
  <c r="P984" i="2"/>
  <c r="L984" i="3" s="1"/>
  <c r="P985" i="2"/>
  <c r="L985" i="3" s="1"/>
  <c r="P986" i="2"/>
  <c r="L986" i="3" s="1"/>
  <c r="P987" i="2"/>
  <c r="L987" i="3" s="1"/>
  <c r="P988" i="2"/>
  <c r="L988" i="3" s="1"/>
  <c r="P989" i="2"/>
  <c r="L989" i="3" s="1"/>
  <c r="L990" i="3"/>
  <c r="P991" i="2"/>
  <c r="L991" i="3" s="1"/>
  <c r="P992" i="2"/>
  <c r="L992" i="3" s="1"/>
  <c r="P993" i="2"/>
  <c r="L993" i="3" s="1"/>
  <c r="P994" i="2"/>
  <c r="L994" i="3" s="1"/>
  <c r="P995" i="2"/>
  <c r="L995" i="3" s="1"/>
  <c r="P996" i="2"/>
  <c r="L996" i="3" s="1"/>
  <c r="P997" i="2"/>
  <c r="L997" i="3" s="1"/>
  <c r="P998" i="2"/>
  <c r="L998" i="3" s="1"/>
  <c r="P999" i="2"/>
  <c r="L999" i="3" s="1"/>
  <c r="P1000" i="2"/>
  <c r="L1000" i="3" s="1"/>
  <c r="L1001" i="3"/>
  <c r="P8" i="2"/>
  <c r="L8" i="3" s="1"/>
  <c r="P9" i="2"/>
  <c r="L9" i="3" s="1"/>
  <c r="P10" i="2"/>
  <c r="L10" i="3" s="1"/>
  <c r="P11" i="2"/>
  <c r="L11" i="3" s="1"/>
  <c r="P12" i="2"/>
  <c r="L12" i="3" s="1"/>
  <c r="P13" i="2"/>
  <c r="L13" i="3" s="1"/>
  <c r="P14" i="2"/>
  <c r="L14" i="3" s="1"/>
  <c r="P15" i="2"/>
  <c r="L15" i="3" s="1"/>
  <c r="P16" i="2"/>
  <c r="L16" i="3" s="1"/>
  <c r="P17" i="2"/>
  <c r="L17" i="3" s="1"/>
  <c r="P18" i="2"/>
  <c r="L18" i="3" s="1"/>
  <c r="P19" i="2"/>
  <c r="L19" i="3" s="1"/>
  <c r="P20" i="2"/>
  <c r="L20" i="3" s="1"/>
  <c r="P21" i="2"/>
  <c r="L21" i="3" s="1"/>
  <c r="P22" i="2"/>
  <c r="L22" i="3" s="1"/>
  <c r="P23" i="2"/>
  <c r="L23" i="3" s="1"/>
  <c r="P24" i="2"/>
  <c r="L24" i="3" s="1"/>
  <c r="P25" i="2"/>
  <c r="L25" i="3" s="1"/>
  <c r="P26" i="2"/>
  <c r="L26" i="3" s="1"/>
  <c r="P27" i="2"/>
  <c r="L27" i="3" s="1"/>
  <c r="P28" i="2"/>
  <c r="L28" i="3" s="1"/>
  <c r="P29" i="2"/>
  <c r="L29" i="3" s="1"/>
  <c r="P30" i="2"/>
  <c r="L30" i="3" s="1"/>
  <c r="P31" i="2"/>
  <c r="L31" i="3" s="1"/>
  <c r="P32" i="2"/>
  <c r="L32" i="3" s="1"/>
  <c r="P33" i="2"/>
  <c r="L33" i="3" s="1"/>
  <c r="P3" i="2"/>
  <c r="L3" i="3" s="1"/>
  <c r="P4" i="2"/>
  <c r="L4" i="3" s="1"/>
  <c r="P5" i="2"/>
  <c r="L5" i="3" s="1"/>
  <c r="P6" i="2"/>
  <c r="L6" i="3" s="1"/>
  <c r="P7" i="2"/>
  <c r="L7" i="3" s="1"/>
  <c r="F1002" i="2"/>
  <c r="E3" i="2"/>
  <c r="C3" i="3" s="1"/>
  <c r="E4" i="2"/>
  <c r="C4" i="3" s="1"/>
  <c r="E5" i="2"/>
  <c r="C5" i="3" s="1"/>
  <c r="E6" i="2"/>
  <c r="C6" i="3" s="1"/>
  <c r="E7" i="2"/>
  <c r="C7" i="3" s="1"/>
  <c r="E8" i="2"/>
  <c r="C8" i="3" s="1"/>
  <c r="E9" i="2"/>
  <c r="C9" i="3" s="1"/>
  <c r="E10" i="2"/>
  <c r="C10" i="3" s="1"/>
  <c r="E11" i="2"/>
  <c r="C11" i="3" s="1"/>
  <c r="E12" i="2"/>
  <c r="C12" i="3" s="1"/>
  <c r="E13" i="2"/>
  <c r="C13" i="3" s="1"/>
  <c r="E14" i="2"/>
  <c r="C14" i="3" s="1"/>
  <c r="E15" i="2"/>
  <c r="C15" i="3" s="1"/>
  <c r="E16" i="2"/>
  <c r="C16" i="3" s="1"/>
  <c r="E17" i="2"/>
  <c r="C17" i="3" s="1"/>
  <c r="E18" i="2"/>
  <c r="C18" i="3" s="1"/>
  <c r="E19" i="2"/>
  <c r="C19" i="3" s="1"/>
  <c r="E20" i="2"/>
  <c r="C20" i="3" s="1"/>
  <c r="E21" i="2"/>
  <c r="C21" i="3" s="1"/>
  <c r="E22" i="2"/>
  <c r="C22" i="3" s="1"/>
  <c r="E23" i="2"/>
  <c r="C23" i="3" s="1"/>
  <c r="E24" i="2"/>
  <c r="C24" i="3" s="1"/>
  <c r="E25" i="2"/>
  <c r="C25" i="3" s="1"/>
  <c r="E26" i="2"/>
  <c r="C26" i="3" s="1"/>
  <c r="E27" i="2"/>
  <c r="C27" i="3" s="1"/>
  <c r="E28" i="2"/>
  <c r="C28" i="3" s="1"/>
  <c r="E29" i="2"/>
  <c r="C29" i="3" s="1"/>
  <c r="E30" i="2"/>
  <c r="C30" i="3" s="1"/>
  <c r="E31" i="2"/>
  <c r="C31" i="3" s="1"/>
  <c r="E32" i="2"/>
  <c r="C32" i="3" s="1"/>
  <c r="E33" i="2"/>
  <c r="C33" i="3" s="1"/>
  <c r="E34" i="2"/>
  <c r="C34" i="3" s="1"/>
  <c r="E35" i="2"/>
  <c r="C35" i="3" s="1"/>
  <c r="E36" i="2"/>
  <c r="C36" i="3" s="1"/>
  <c r="E37" i="2"/>
  <c r="C37" i="3" s="1"/>
  <c r="E38" i="2"/>
  <c r="C38" i="3" s="1"/>
  <c r="E39" i="2"/>
  <c r="C39" i="3" s="1"/>
  <c r="E40" i="2"/>
  <c r="C40" i="3" s="1"/>
  <c r="E41" i="2"/>
  <c r="C41" i="3" s="1"/>
  <c r="E42" i="2"/>
  <c r="C42" i="3" s="1"/>
  <c r="E43" i="2"/>
  <c r="C43" i="3" s="1"/>
  <c r="E44" i="2"/>
  <c r="C44" i="3" s="1"/>
  <c r="E45" i="2"/>
  <c r="C45" i="3" s="1"/>
  <c r="E46" i="2"/>
  <c r="C46" i="3" s="1"/>
  <c r="E47" i="2"/>
  <c r="C47" i="3" s="1"/>
  <c r="E48" i="2"/>
  <c r="C48" i="3" s="1"/>
  <c r="E49" i="2"/>
  <c r="C49" i="3" s="1"/>
  <c r="E50" i="2"/>
  <c r="C50" i="3" s="1"/>
  <c r="E51" i="2"/>
  <c r="C51" i="3" s="1"/>
  <c r="E52" i="2"/>
  <c r="C52" i="3" s="1"/>
  <c r="E53" i="2"/>
  <c r="C53" i="3" s="1"/>
  <c r="E54" i="2"/>
  <c r="C54" i="3" s="1"/>
  <c r="E55" i="2"/>
  <c r="C55" i="3" s="1"/>
  <c r="E56" i="2"/>
  <c r="C56" i="3" s="1"/>
  <c r="E57" i="2"/>
  <c r="C57" i="3" s="1"/>
  <c r="E58" i="2"/>
  <c r="C58" i="3" s="1"/>
  <c r="E59" i="2"/>
  <c r="C59" i="3" s="1"/>
  <c r="E60" i="2"/>
  <c r="C60" i="3" s="1"/>
  <c r="E61" i="2"/>
  <c r="C61" i="3" s="1"/>
  <c r="E62" i="2"/>
  <c r="C62" i="3" s="1"/>
  <c r="E63" i="2"/>
  <c r="C63" i="3" s="1"/>
  <c r="E64" i="2"/>
  <c r="C64" i="3" s="1"/>
  <c r="E65" i="2"/>
  <c r="C65" i="3" s="1"/>
  <c r="E66" i="2"/>
  <c r="C66" i="3" s="1"/>
  <c r="E67" i="2"/>
  <c r="C67" i="3" s="1"/>
  <c r="E68" i="2"/>
  <c r="C68" i="3" s="1"/>
  <c r="E69" i="2"/>
  <c r="C69" i="3" s="1"/>
  <c r="E70" i="2"/>
  <c r="C70" i="3" s="1"/>
  <c r="E71" i="2"/>
  <c r="C71" i="3" s="1"/>
  <c r="E72" i="2"/>
  <c r="C72" i="3" s="1"/>
  <c r="E73" i="2"/>
  <c r="C73" i="3" s="1"/>
  <c r="E74" i="2"/>
  <c r="C74" i="3" s="1"/>
  <c r="E75" i="2"/>
  <c r="C75" i="3" s="1"/>
  <c r="E76" i="2"/>
  <c r="C76" i="3" s="1"/>
  <c r="E77" i="2"/>
  <c r="C77" i="3" s="1"/>
  <c r="E78" i="2"/>
  <c r="C78" i="3" s="1"/>
  <c r="E79" i="2"/>
  <c r="C79" i="3" s="1"/>
  <c r="E80" i="2"/>
  <c r="C80" i="3" s="1"/>
  <c r="E81" i="2"/>
  <c r="C81" i="3" s="1"/>
  <c r="E82" i="2"/>
  <c r="C82" i="3" s="1"/>
  <c r="E83" i="2"/>
  <c r="C83" i="3" s="1"/>
  <c r="E84" i="2"/>
  <c r="C84" i="3" s="1"/>
  <c r="E85" i="2"/>
  <c r="C85" i="3" s="1"/>
  <c r="E86" i="2"/>
  <c r="C86" i="3" s="1"/>
  <c r="E87" i="2"/>
  <c r="C87" i="3" s="1"/>
  <c r="E88" i="2"/>
  <c r="C88" i="3" s="1"/>
  <c r="E89" i="2"/>
  <c r="C89" i="3" s="1"/>
  <c r="E90" i="2"/>
  <c r="C90" i="3" s="1"/>
  <c r="E91" i="2"/>
  <c r="C91" i="3" s="1"/>
  <c r="E92" i="2"/>
  <c r="C92" i="3" s="1"/>
  <c r="E93" i="2"/>
  <c r="C93" i="3" s="1"/>
  <c r="E94" i="2"/>
  <c r="C94" i="3" s="1"/>
  <c r="E95" i="2"/>
  <c r="C95" i="3" s="1"/>
  <c r="E96" i="2"/>
  <c r="C96" i="3" s="1"/>
  <c r="E97" i="2"/>
  <c r="C97" i="3" s="1"/>
  <c r="E98" i="2"/>
  <c r="C98" i="3" s="1"/>
  <c r="E99" i="2"/>
  <c r="C99" i="3" s="1"/>
  <c r="E100" i="2"/>
  <c r="C100" i="3" s="1"/>
  <c r="E101" i="2"/>
  <c r="C101" i="3" s="1"/>
  <c r="E102" i="2"/>
  <c r="C102" i="3" s="1"/>
  <c r="E103" i="2"/>
  <c r="C103" i="3" s="1"/>
  <c r="E104" i="2"/>
  <c r="C104" i="3" s="1"/>
  <c r="E105" i="2"/>
  <c r="C105" i="3" s="1"/>
  <c r="E106" i="2"/>
  <c r="C106" i="3" s="1"/>
  <c r="E107" i="2"/>
  <c r="C107" i="3" s="1"/>
  <c r="E108" i="2"/>
  <c r="C108" i="3" s="1"/>
  <c r="E109" i="2"/>
  <c r="C109" i="3" s="1"/>
  <c r="E110" i="2"/>
  <c r="C110" i="3" s="1"/>
  <c r="E111" i="2"/>
  <c r="C111" i="3" s="1"/>
  <c r="E112" i="2"/>
  <c r="C112" i="3" s="1"/>
  <c r="E113" i="2"/>
  <c r="C113" i="3" s="1"/>
  <c r="E114" i="2"/>
  <c r="C114" i="3" s="1"/>
  <c r="E115" i="2"/>
  <c r="C115" i="3" s="1"/>
  <c r="E116" i="2"/>
  <c r="C116" i="3" s="1"/>
  <c r="E117" i="2"/>
  <c r="C117" i="3" s="1"/>
  <c r="E118" i="2"/>
  <c r="C118" i="3" s="1"/>
  <c r="E119" i="2"/>
  <c r="C119" i="3" s="1"/>
  <c r="E120" i="2"/>
  <c r="C120" i="3" s="1"/>
  <c r="E121" i="2"/>
  <c r="C121" i="3" s="1"/>
  <c r="E122" i="2"/>
  <c r="C122" i="3" s="1"/>
  <c r="E123" i="2"/>
  <c r="C123" i="3" s="1"/>
  <c r="E124" i="2"/>
  <c r="C124" i="3" s="1"/>
  <c r="E125" i="2"/>
  <c r="C125" i="3" s="1"/>
  <c r="E126" i="2"/>
  <c r="C126" i="3" s="1"/>
  <c r="E127" i="2"/>
  <c r="C127" i="3" s="1"/>
  <c r="E128" i="2"/>
  <c r="C128" i="3" s="1"/>
  <c r="E129" i="2"/>
  <c r="C129" i="3" s="1"/>
  <c r="E130" i="2"/>
  <c r="C130" i="3" s="1"/>
  <c r="E131" i="2"/>
  <c r="C131" i="3" s="1"/>
  <c r="E132" i="2"/>
  <c r="C132" i="3" s="1"/>
  <c r="E133" i="2"/>
  <c r="C133" i="3" s="1"/>
  <c r="E134" i="2"/>
  <c r="C134" i="3" s="1"/>
  <c r="E135" i="2"/>
  <c r="C135" i="3" s="1"/>
  <c r="E136" i="2"/>
  <c r="C136" i="3" s="1"/>
  <c r="E137" i="2"/>
  <c r="C137" i="3" s="1"/>
  <c r="E138" i="2"/>
  <c r="C138" i="3" s="1"/>
  <c r="E139" i="2"/>
  <c r="C139" i="3" s="1"/>
  <c r="E140" i="2"/>
  <c r="C140" i="3" s="1"/>
  <c r="E141" i="2"/>
  <c r="C141" i="3" s="1"/>
  <c r="E142" i="2"/>
  <c r="C142" i="3" s="1"/>
  <c r="E143" i="2"/>
  <c r="C143" i="3" s="1"/>
  <c r="E144" i="2"/>
  <c r="C144" i="3" s="1"/>
  <c r="E145" i="2"/>
  <c r="C145" i="3" s="1"/>
  <c r="E146" i="2"/>
  <c r="C146" i="3" s="1"/>
  <c r="E147" i="2"/>
  <c r="C147" i="3" s="1"/>
  <c r="E148" i="2"/>
  <c r="C148" i="3" s="1"/>
  <c r="E149" i="2"/>
  <c r="C149" i="3" s="1"/>
  <c r="E150" i="2"/>
  <c r="C150" i="3" s="1"/>
  <c r="E151" i="2"/>
  <c r="C151" i="3" s="1"/>
  <c r="E152" i="2"/>
  <c r="C152" i="3" s="1"/>
  <c r="E153" i="2"/>
  <c r="C153" i="3" s="1"/>
  <c r="E154" i="2"/>
  <c r="C154" i="3" s="1"/>
  <c r="E155" i="2"/>
  <c r="C155" i="3" s="1"/>
  <c r="E156" i="2"/>
  <c r="C156" i="3" s="1"/>
  <c r="E157" i="2"/>
  <c r="C157" i="3" s="1"/>
  <c r="E158" i="2"/>
  <c r="C158" i="3" s="1"/>
  <c r="E159" i="2"/>
  <c r="C159" i="3" s="1"/>
  <c r="E160" i="2"/>
  <c r="C160" i="3" s="1"/>
  <c r="E161" i="2"/>
  <c r="C161" i="3" s="1"/>
  <c r="E162" i="2"/>
  <c r="C162" i="3" s="1"/>
  <c r="E163" i="2"/>
  <c r="C163" i="3" s="1"/>
  <c r="E164" i="2"/>
  <c r="C164" i="3" s="1"/>
  <c r="E165" i="2"/>
  <c r="C165" i="3" s="1"/>
  <c r="E166" i="2"/>
  <c r="C166" i="3" s="1"/>
  <c r="E167" i="2"/>
  <c r="C167" i="3" s="1"/>
  <c r="E168" i="2"/>
  <c r="C168" i="3" s="1"/>
  <c r="E169" i="2"/>
  <c r="C169" i="3" s="1"/>
  <c r="E170" i="2"/>
  <c r="C170" i="3" s="1"/>
  <c r="E171" i="2"/>
  <c r="C171" i="3" s="1"/>
  <c r="E172" i="2"/>
  <c r="C172" i="3" s="1"/>
  <c r="E173" i="2"/>
  <c r="C173" i="3" s="1"/>
  <c r="E174" i="2"/>
  <c r="C174" i="3" s="1"/>
  <c r="E175" i="2"/>
  <c r="C175" i="3" s="1"/>
  <c r="E176" i="2"/>
  <c r="C176" i="3" s="1"/>
  <c r="E177" i="2"/>
  <c r="C177" i="3" s="1"/>
  <c r="E178" i="2"/>
  <c r="C178" i="3" s="1"/>
  <c r="E179" i="2"/>
  <c r="C179" i="3" s="1"/>
  <c r="E180" i="2"/>
  <c r="C180" i="3" s="1"/>
  <c r="E181" i="2"/>
  <c r="C181" i="3" s="1"/>
  <c r="E182" i="2"/>
  <c r="C182" i="3" s="1"/>
  <c r="E183" i="2"/>
  <c r="C183" i="3" s="1"/>
  <c r="E184" i="2"/>
  <c r="C184" i="3" s="1"/>
  <c r="E185" i="2"/>
  <c r="C185" i="3" s="1"/>
  <c r="E186" i="2"/>
  <c r="C186" i="3" s="1"/>
  <c r="E187" i="2"/>
  <c r="C187" i="3" s="1"/>
  <c r="E188" i="2"/>
  <c r="C188" i="3" s="1"/>
  <c r="E189" i="2"/>
  <c r="C189" i="3" s="1"/>
  <c r="E190" i="2"/>
  <c r="C190" i="3" s="1"/>
  <c r="E191" i="2"/>
  <c r="C191" i="3" s="1"/>
  <c r="E192" i="2"/>
  <c r="C192" i="3" s="1"/>
  <c r="E193" i="2"/>
  <c r="C193" i="3" s="1"/>
  <c r="E194" i="2"/>
  <c r="C194" i="3" s="1"/>
  <c r="E195" i="2"/>
  <c r="C195" i="3" s="1"/>
  <c r="E196" i="2"/>
  <c r="C196" i="3" s="1"/>
  <c r="E197" i="2"/>
  <c r="C197" i="3" s="1"/>
  <c r="E198" i="2"/>
  <c r="C198" i="3" s="1"/>
  <c r="E199" i="2"/>
  <c r="C199" i="3" s="1"/>
  <c r="E200" i="2"/>
  <c r="C200" i="3" s="1"/>
  <c r="E201" i="2"/>
  <c r="C201" i="3" s="1"/>
  <c r="E202" i="2"/>
  <c r="C202" i="3" s="1"/>
  <c r="E203" i="2"/>
  <c r="C203" i="3" s="1"/>
  <c r="E204" i="2"/>
  <c r="C204" i="3" s="1"/>
  <c r="E205" i="2"/>
  <c r="C205" i="3" s="1"/>
  <c r="E206" i="2"/>
  <c r="C206" i="3" s="1"/>
  <c r="E207" i="2"/>
  <c r="C207" i="3" s="1"/>
  <c r="E208" i="2"/>
  <c r="C208" i="3" s="1"/>
  <c r="E209" i="2"/>
  <c r="C209" i="3" s="1"/>
  <c r="E210" i="2"/>
  <c r="C210" i="3" s="1"/>
  <c r="E211" i="2"/>
  <c r="C211" i="3" s="1"/>
  <c r="E212" i="2"/>
  <c r="C212" i="3" s="1"/>
  <c r="E213" i="2"/>
  <c r="C213" i="3" s="1"/>
  <c r="E214" i="2"/>
  <c r="C214" i="3" s="1"/>
  <c r="E215" i="2"/>
  <c r="C215" i="3" s="1"/>
  <c r="E216" i="2"/>
  <c r="C216" i="3" s="1"/>
  <c r="E217" i="2"/>
  <c r="C217" i="3" s="1"/>
  <c r="E218" i="2"/>
  <c r="C218" i="3" s="1"/>
  <c r="E219" i="2"/>
  <c r="C219" i="3" s="1"/>
  <c r="E220" i="2"/>
  <c r="C220" i="3" s="1"/>
  <c r="E221" i="2"/>
  <c r="C221" i="3" s="1"/>
  <c r="E222" i="2"/>
  <c r="C222" i="3" s="1"/>
  <c r="E223" i="2"/>
  <c r="C223" i="3" s="1"/>
  <c r="E224" i="2"/>
  <c r="C224" i="3" s="1"/>
  <c r="E225" i="2"/>
  <c r="C225" i="3" s="1"/>
  <c r="E226" i="2"/>
  <c r="C226" i="3" s="1"/>
  <c r="E227" i="2"/>
  <c r="C227" i="3" s="1"/>
  <c r="E228" i="2"/>
  <c r="C228" i="3" s="1"/>
  <c r="E229" i="2"/>
  <c r="C229" i="3" s="1"/>
  <c r="E230" i="2"/>
  <c r="C230" i="3" s="1"/>
  <c r="E231" i="2"/>
  <c r="C231" i="3" s="1"/>
  <c r="E232" i="2"/>
  <c r="C232" i="3" s="1"/>
  <c r="E233" i="2"/>
  <c r="C233" i="3" s="1"/>
  <c r="E234" i="2"/>
  <c r="C234" i="3" s="1"/>
  <c r="E235" i="2"/>
  <c r="C235" i="3" s="1"/>
  <c r="E236" i="2"/>
  <c r="C236" i="3" s="1"/>
  <c r="E237" i="2"/>
  <c r="C237" i="3" s="1"/>
  <c r="E238" i="2"/>
  <c r="C238" i="3" s="1"/>
  <c r="E239" i="2"/>
  <c r="C239" i="3" s="1"/>
  <c r="E240" i="2"/>
  <c r="C240" i="3" s="1"/>
  <c r="E241" i="2"/>
  <c r="C241" i="3" s="1"/>
  <c r="E242" i="2"/>
  <c r="C242" i="3" s="1"/>
  <c r="E243" i="2"/>
  <c r="C243" i="3" s="1"/>
  <c r="E244" i="2"/>
  <c r="C244" i="3" s="1"/>
  <c r="E245" i="2"/>
  <c r="C245" i="3" s="1"/>
  <c r="E246" i="2"/>
  <c r="C246" i="3" s="1"/>
  <c r="E247" i="2"/>
  <c r="C247" i="3" s="1"/>
  <c r="E248" i="2"/>
  <c r="C248" i="3" s="1"/>
  <c r="E249" i="2"/>
  <c r="C249" i="3" s="1"/>
  <c r="E250" i="2"/>
  <c r="C250" i="3" s="1"/>
  <c r="E251" i="2"/>
  <c r="C251" i="3" s="1"/>
  <c r="E252" i="2"/>
  <c r="C252" i="3" s="1"/>
  <c r="E253" i="2"/>
  <c r="C253" i="3" s="1"/>
  <c r="E254" i="2"/>
  <c r="C254" i="3" s="1"/>
  <c r="E255" i="2"/>
  <c r="C255" i="3" s="1"/>
  <c r="E256" i="2"/>
  <c r="C256" i="3" s="1"/>
  <c r="E257" i="2"/>
  <c r="C257" i="3" s="1"/>
  <c r="E258" i="2"/>
  <c r="C258" i="3" s="1"/>
  <c r="E259" i="2"/>
  <c r="C259" i="3" s="1"/>
  <c r="E260" i="2"/>
  <c r="C260" i="3" s="1"/>
  <c r="E261" i="2"/>
  <c r="C261" i="3" s="1"/>
  <c r="E262" i="2"/>
  <c r="C262" i="3" s="1"/>
  <c r="E263" i="2"/>
  <c r="C263" i="3" s="1"/>
  <c r="E264" i="2"/>
  <c r="C264" i="3" s="1"/>
  <c r="E265" i="2"/>
  <c r="C265" i="3" s="1"/>
  <c r="E266" i="2"/>
  <c r="C266" i="3" s="1"/>
  <c r="E267" i="2"/>
  <c r="C267" i="3" s="1"/>
  <c r="E268" i="2"/>
  <c r="C268" i="3" s="1"/>
  <c r="E269" i="2"/>
  <c r="C269" i="3" s="1"/>
  <c r="E270" i="2"/>
  <c r="C270" i="3" s="1"/>
  <c r="E271" i="2"/>
  <c r="C271" i="3" s="1"/>
  <c r="E272" i="2"/>
  <c r="C272" i="3" s="1"/>
  <c r="E273" i="2"/>
  <c r="C273" i="3" s="1"/>
  <c r="E274" i="2"/>
  <c r="C274" i="3" s="1"/>
  <c r="E275" i="2"/>
  <c r="C275" i="3" s="1"/>
  <c r="E276" i="2"/>
  <c r="C276" i="3" s="1"/>
  <c r="E277" i="2"/>
  <c r="C277" i="3" s="1"/>
  <c r="E278" i="2"/>
  <c r="C278" i="3" s="1"/>
  <c r="E279" i="2"/>
  <c r="C279" i="3" s="1"/>
  <c r="E280" i="2"/>
  <c r="C280" i="3" s="1"/>
  <c r="E281" i="2"/>
  <c r="C281" i="3" s="1"/>
  <c r="E282" i="2"/>
  <c r="C282" i="3" s="1"/>
  <c r="E283" i="2"/>
  <c r="C283" i="3" s="1"/>
  <c r="E284" i="2"/>
  <c r="C284" i="3" s="1"/>
  <c r="E285" i="2"/>
  <c r="C285" i="3" s="1"/>
  <c r="E286" i="2"/>
  <c r="C286" i="3" s="1"/>
  <c r="E287" i="2"/>
  <c r="C287" i="3" s="1"/>
  <c r="E288" i="2"/>
  <c r="C288" i="3" s="1"/>
  <c r="E289" i="2"/>
  <c r="C289" i="3" s="1"/>
  <c r="E290" i="2"/>
  <c r="C290" i="3" s="1"/>
  <c r="E291" i="2"/>
  <c r="C291" i="3" s="1"/>
  <c r="E292" i="2"/>
  <c r="C292" i="3" s="1"/>
  <c r="E293" i="2"/>
  <c r="C293" i="3" s="1"/>
  <c r="E294" i="2"/>
  <c r="C294" i="3" s="1"/>
  <c r="E295" i="2"/>
  <c r="C295" i="3" s="1"/>
  <c r="E296" i="2"/>
  <c r="C296" i="3" s="1"/>
  <c r="E297" i="2"/>
  <c r="C297" i="3" s="1"/>
  <c r="E298" i="2"/>
  <c r="C298" i="3" s="1"/>
  <c r="E299" i="2"/>
  <c r="C299" i="3" s="1"/>
  <c r="E300" i="2"/>
  <c r="C300" i="3" s="1"/>
  <c r="E301" i="2"/>
  <c r="C301" i="3" s="1"/>
  <c r="E302" i="2"/>
  <c r="C302" i="3" s="1"/>
  <c r="E303" i="2"/>
  <c r="C303" i="3" s="1"/>
  <c r="E304" i="2"/>
  <c r="C304" i="3" s="1"/>
  <c r="E305" i="2"/>
  <c r="C305" i="3" s="1"/>
  <c r="E306" i="2"/>
  <c r="C306" i="3" s="1"/>
  <c r="E307" i="2"/>
  <c r="C307" i="3" s="1"/>
  <c r="E308" i="2"/>
  <c r="C308" i="3" s="1"/>
  <c r="E309" i="2"/>
  <c r="C309" i="3" s="1"/>
  <c r="E310" i="2"/>
  <c r="C310" i="3" s="1"/>
  <c r="E311" i="2"/>
  <c r="C311" i="3" s="1"/>
  <c r="E312" i="2"/>
  <c r="C312" i="3" s="1"/>
  <c r="E313" i="2"/>
  <c r="C313" i="3" s="1"/>
  <c r="E314" i="2"/>
  <c r="C314" i="3" s="1"/>
  <c r="E315" i="2"/>
  <c r="C315" i="3" s="1"/>
  <c r="E316" i="2"/>
  <c r="C316" i="3" s="1"/>
  <c r="E317" i="2"/>
  <c r="C317" i="3" s="1"/>
  <c r="E318" i="2"/>
  <c r="C318" i="3" s="1"/>
  <c r="E319" i="2"/>
  <c r="C319" i="3" s="1"/>
  <c r="E320" i="2"/>
  <c r="C320" i="3" s="1"/>
  <c r="E321" i="2"/>
  <c r="C321" i="3" s="1"/>
  <c r="E322" i="2"/>
  <c r="C322" i="3" s="1"/>
  <c r="E323" i="2"/>
  <c r="C323" i="3" s="1"/>
  <c r="E324" i="2"/>
  <c r="C324" i="3" s="1"/>
  <c r="E325" i="2"/>
  <c r="C325" i="3" s="1"/>
  <c r="E326" i="2"/>
  <c r="C326" i="3" s="1"/>
  <c r="E327" i="2"/>
  <c r="C327" i="3" s="1"/>
  <c r="E328" i="2"/>
  <c r="C328" i="3" s="1"/>
  <c r="E329" i="2"/>
  <c r="C329" i="3" s="1"/>
  <c r="E330" i="2"/>
  <c r="C330" i="3" s="1"/>
  <c r="E331" i="2"/>
  <c r="C331" i="3" s="1"/>
  <c r="E332" i="2"/>
  <c r="C332" i="3" s="1"/>
  <c r="E333" i="2"/>
  <c r="C333" i="3" s="1"/>
  <c r="E334" i="2"/>
  <c r="C334" i="3" s="1"/>
  <c r="E335" i="2"/>
  <c r="C335" i="3" s="1"/>
  <c r="E336" i="2"/>
  <c r="C336" i="3" s="1"/>
  <c r="E337" i="2"/>
  <c r="C337" i="3" s="1"/>
  <c r="E338" i="2"/>
  <c r="C338" i="3" s="1"/>
  <c r="E339" i="2"/>
  <c r="C339" i="3" s="1"/>
  <c r="E340" i="2"/>
  <c r="C340" i="3" s="1"/>
  <c r="E341" i="2"/>
  <c r="C341" i="3" s="1"/>
  <c r="E342" i="2"/>
  <c r="C342" i="3" s="1"/>
  <c r="E343" i="2"/>
  <c r="C343" i="3" s="1"/>
  <c r="E344" i="2"/>
  <c r="C344" i="3" s="1"/>
  <c r="E345" i="2"/>
  <c r="C345" i="3" s="1"/>
  <c r="E346" i="2"/>
  <c r="C346" i="3" s="1"/>
  <c r="E347" i="2"/>
  <c r="C347" i="3" s="1"/>
  <c r="E348" i="2"/>
  <c r="C348" i="3" s="1"/>
  <c r="E349" i="2"/>
  <c r="C349" i="3" s="1"/>
  <c r="E350" i="2"/>
  <c r="C350" i="3" s="1"/>
  <c r="E351" i="2"/>
  <c r="C351" i="3" s="1"/>
  <c r="E352" i="2"/>
  <c r="C352" i="3" s="1"/>
  <c r="E353" i="2"/>
  <c r="C353" i="3" s="1"/>
  <c r="E354" i="2"/>
  <c r="C354" i="3" s="1"/>
  <c r="E355" i="2"/>
  <c r="C355" i="3" s="1"/>
  <c r="E356" i="2"/>
  <c r="C356" i="3" s="1"/>
  <c r="E357" i="2"/>
  <c r="C357" i="3" s="1"/>
  <c r="E358" i="2"/>
  <c r="C358" i="3" s="1"/>
  <c r="E359" i="2"/>
  <c r="C359" i="3" s="1"/>
  <c r="E360" i="2"/>
  <c r="C360" i="3" s="1"/>
  <c r="E361" i="2"/>
  <c r="C361" i="3" s="1"/>
  <c r="E362" i="2"/>
  <c r="C362" i="3" s="1"/>
  <c r="E363" i="2"/>
  <c r="C363" i="3" s="1"/>
  <c r="E364" i="2"/>
  <c r="C364" i="3" s="1"/>
  <c r="E365" i="2"/>
  <c r="C365" i="3" s="1"/>
  <c r="E366" i="2"/>
  <c r="C366" i="3" s="1"/>
  <c r="E367" i="2"/>
  <c r="C367" i="3" s="1"/>
  <c r="E368" i="2"/>
  <c r="C368" i="3" s="1"/>
  <c r="E369" i="2"/>
  <c r="C369" i="3" s="1"/>
  <c r="E370" i="2"/>
  <c r="C370" i="3" s="1"/>
  <c r="E371" i="2"/>
  <c r="C371" i="3" s="1"/>
  <c r="E372" i="2"/>
  <c r="C372" i="3" s="1"/>
  <c r="E373" i="2"/>
  <c r="C373" i="3" s="1"/>
  <c r="E374" i="2"/>
  <c r="C374" i="3" s="1"/>
  <c r="E375" i="2"/>
  <c r="C375" i="3" s="1"/>
  <c r="E376" i="2"/>
  <c r="C376" i="3" s="1"/>
  <c r="E377" i="2"/>
  <c r="C377" i="3" s="1"/>
  <c r="E378" i="2"/>
  <c r="C378" i="3" s="1"/>
  <c r="E379" i="2"/>
  <c r="C379" i="3" s="1"/>
  <c r="E380" i="2"/>
  <c r="C380" i="3" s="1"/>
  <c r="E381" i="2"/>
  <c r="C381" i="3" s="1"/>
  <c r="E382" i="2"/>
  <c r="C382" i="3" s="1"/>
  <c r="E383" i="2"/>
  <c r="C383" i="3" s="1"/>
  <c r="E384" i="2"/>
  <c r="C384" i="3" s="1"/>
  <c r="E385" i="2"/>
  <c r="C385" i="3" s="1"/>
  <c r="E386" i="2"/>
  <c r="C386" i="3" s="1"/>
  <c r="E387" i="2"/>
  <c r="C387" i="3" s="1"/>
  <c r="E388" i="2"/>
  <c r="C388" i="3" s="1"/>
  <c r="E389" i="2"/>
  <c r="C389" i="3" s="1"/>
  <c r="E390" i="2"/>
  <c r="C390" i="3" s="1"/>
  <c r="E391" i="2"/>
  <c r="C391" i="3" s="1"/>
  <c r="E392" i="2"/>
  <c r="C392" i="3" s="1"/>
  <c r="E393" i="2"/>
  <c r="C393" i="3" s="1"/>
  <c r="E394" i="2"/>
  <c r="C394" i="3" s="1"/>
  <c r="E395" i="2"/>
  <c r="C395" i="3" s="1"/>
  <c r="E396" i="2"/>
  <c r="C396" i="3" s="1"/>
  <c r="E397" i="2"/>
  <c r="C397" i="3" s="1"/>
  <c r="E398" i="2"/>
  <c r="C398" i="3" s="1"/>
  <c r="E399" i="2"/>
  <c r="C399" i="3" s="1"/>
  <c r="E400" i="2"/>
  <c r="C400" i="3" s="1"/>
  <c r="E401" i="2"/>
  <c r="C401" i="3" s="1"/>
  <c r="E402" i="2"/>
  <c r="C402" i="3" s="1"/>
  <c r="E403" i="2"/>
  <c r="C403" i="3" s="1"/>
  <c r="E404" i="2"/>
  <c r="C404" i="3" s="1"/>
  <c r="E405" i="2"/>
  <c r="C405" i="3" s="1"/>
  <c r="E406" i="2"/>
  <c r="C406" i="3" s="1"/>
  <c r="E407" i="2"/>
  <c r="C407" i="3" s="1"/>
  <c r="E408" i="2"/>
  <c r="C408" i="3" s="1"/>
  <c r="E409" i="2"/>
  <c r="C409" i="3" s="1"/>
  <c r="E410" i="2"/>
  <c r="C410" i="3" s="1"/>
  <c r="E411" i="2"/>
  <c r="C411" i="3" s="1"/>
  <c r="E412" i="2"/>
  <c r="C412" i="3" s="1"/>
  <c r="E413" i="2"/>
  <c r="C413" i="3" s="1"/>
  <c r="E414" i="2"/>
  <c r="C414" i="3" s="1"/>
  <c r="E415" i="2"/>
  <c r="C415" i="3" s="1"/>
  <c r="E416" i="2"/>
  <c r="C416" i="3" s="1"/>
  <c r="E417" i="2"/>
  <c r="C417" i="3" s="1"/>
  <c r="E418" i="2"/>
  <c r="C418" i="3" s="1"/>
  <c r="E419" i="2"/>
  <c r="C419" i="3" s="1"/>
  <c r="E420" i="2"/>
  <c r="C420" i="3" s="1"/>
  <c r="E421" i="2"/>
  <c r="C421" i="3" s="1"/>
  <c r="E422" i="2"/>
  <c r="C422" i="3" s="1"/>
  <c r="E423" i="2"/>
  <c r="C423" i="3" s="1"/>
  <c r="E424" i="2"/>
  <c r="C424" i="3" s="1"/>
  <c r="E425" i="2"/>
  <c r="C425" i="3" s="1"/>
  <c r="E426" i="2"/>
  <c r="C426" i="3" s="1"/>
  <c r="E427" i="2"/>
  <c r="C427" i="3" s="1"/>
  <c r="E428" i="2"/>
  <c r="C428" i="3" s="1"/>
  <c r="E429" i="2"/>
  <c r="C429" i="3" s="1"/>
  <c r="E430" i="2"/>
  <c r="C430" i="3" s="1"/>
  <c r="E431" i="2"/>
  <c r="C431" i="3" s="1"/>
  <c r="E432" i="2"/>
  <c r="C432" i="3" s="1"/>
  <c r="E433" i="2"/>
  <c r="C433" i="3" s="1"/>
  <c r="E434" i="2"/>
  <c r="C434" i="3" s="1"/>
  <c r="E435" i="2"/>
  <c r="C435" i="3" s="1"/>
  <c r="E436" i="2"/>
  <c r="C436" i="3" s="1"/>
  <c r="E437" i="2"/>
  <c r="C437" i="3" s="1"/>
  <c r="E438" i="2"/>
  <c r="C438" i="3" s="1"/>
  <c r="E439" i="2"/>
  <c r="C439" i="3" s="1"/>
  <c r="E440" i="2"/>
  <c r="C440" i="3" s="1"/>
  <c r="E441" i="2"/>
  <c r="C441" i="3" s="1"/>
  <c r="E442" i="2"/>
  <c r="C442" i="3" s="1"/>
  <c r="E443" i="2"/>
  <c r="C443" i="3" s="1"/>
  <c r="E444" i="2"/>
  <c r="C444" i="3" s="1"/>
  <c r="E445" i="2"/>
  <c r="C445" i="3" s="1"/>
  <c r="E446" i="2"/>
  <c r="C446" i="3" s="1"/>
  <c r="E447" i="2"/>
  <c r="C447" i="3" s="1"/>
  <c r="E448" i="2"/>
  <c r="C448" i="3" s="1"/>
  <c r="E449" i="2"/>
  <c r="C449" i="3" s="1"/>
  <c r="E450" i="2"/>
  <c r="C450" i="3" s="1"/>
  <c r="E451" i="2"/>
  <c r="C451" i="3" s="1"/>
  <c r="E452" i="2"/>
  <c r="C452" i="3" s="1"/>
  <c r="E453" i="2"/>
  <c r="C453" i="3" s="1"/>
  <c r="E454" i="2"/>
  <c r="C454" i="3" s="1"/>
  <c r="E455" i="2"/>
  <c r="C455" i="3" s="1"/>
  <c r="E456" i="2"/>
  <c r="C456" i="3" s="1"/>
  <c r="E457" i="2"/>
  <c r="C457" i="3" s="1"/>
  <c r="E458" i="2"/>
  <c r="C458" i="3" s="1"/>
  <c r="E459" i="2"/>
  <c r="C459" i="3" s="1"/>
  <c r="E460" i="2"/>
  <c r="C460" i="3" s="1"/>
  <c r="E461" i="2"/>
  <c r="C461" i="3" s="1"/>
  <c r="E462" i="2"/>
  <c r="C462" i="3" s="1"/>
  <c r="E463" i="2"/>
  <c r="C463" i="3" s="1"/>
  <c r="E464" i="2"/>
  <c r="C464" i="3" s="1"/>
  <c r="E465" i="2"/>
  <c r="C465" i="3" s="1"/>
  <c r="E466" i="2"/>
  <c r="C466" i="3" s="1"/>
  <c r="E467" i="2"/>
  <c r="C467" i="3" s="1"/>
  <c r="E468" i="2"/>
  <c r="C468" i="3" s="1"/>
  <c r="E469" i="2"/>
  <c r="C469" i="3" s="1"/>
  <c r="E470" i="2"/>
  <c r="C470" i="3" s="1"/>
  <c r="E471" i="2"/>
  <c r="C471" i="3" s="1"/>
  <c r="E472" i="2"/>
  <c r="C472" i="3" s="1"/>
  <c r="E473" i="2"/>
  <c r="C473" i="3" s="1"/>
  <c r="E474" i="2"/>
  <c r="C474" i="3" s="1"/>
  <c r="E475" i="2"/>
  <c r="C475" i="3" s="1"/>
  <c r="E476" i="2"/>
  <c r="C476" i="3" s="1"/>
  <c r="E477" i="2"/>
  <c r="C477" i="3" s="1"/>
  <c r="E478" i="2"/>
  <c r="C478" i="3" s="1"/>
  <c r="E479" i="2"/>
  <c r="C479" i="3" s="1"/>
  <c r="E480" i="2"/>
  <c r="C480" i="3" s="1"/>
  <c r="E481" i="2"/>
  <c r="C481" i="3" s="1"/>
  <c r="E482" i="2"/>
  <c r="C482" i="3" s="1"/>
  <c r="E483" i="2"/>
  <c r="C483" i="3" s="1"/>
  <c r="E484" i="2"/>
  <c r="C484" i="3" s="1"/>
  <c r="E485" i="2"/>
  <c r="C485" i="3" s="1"/>
  <c r="E486" i="2"/>
  <c r="C486" i="3" s="1"/>
  <c r="E487" i="2"/>
  <c r="C487" i="3" s="1"/>
  <c r="E488" i="2"/>
  <c r="C488" i="3" s="1"/>
  <c r="E489" i="2"/>
  <c r="C489" i="3" s="1"/>
  <c r="E490" i="2"/>
  <c r="C490" i="3" s="1"/>
  <c r="E491" i="2"/>
  <c r="C491" i="3" s="1"/>
  <c r="E492" i="2"/>
  <c r="C492" i="3" s="1"/>
  <c r="E493" i="2"/>
  <c r="C493" i="3" s="1"/>
  <c r="E494" i="2"/>
  <c r="C494" i="3" s="1"/>
  <c r="E495" i="2"/>
  <c r="C495" i="3" s="1"/>
  <c r="E496" i="2"/>
  <c r="C496" i="3" s="1"/>
  <c r="E497" i="2"/>
  <c r="C497" i="3" s="1"/>
  <c r="E498" i="2"/>
  <c r="C498" i="3" s="1"/>
  <c r="E499" i="2"/>
  <c r="C499" i="3" s="1"/>
  <c r="E500" i="2"/>
  <c r="C500" i="3" s="1"/>
  <c r="E501" i="2"/>
  <c r="C501" i="3" s="1"/>
  <c r="E502" i="2"/>
  <c r="C502" i="3" s="1"/>
  <c r="E503" i="2"/>
  <c r="C503" i="3" s="1"/>
  <c r="E504" i="2"/>
  <c r="C504" i="3" s="1"/>
  <c r="E505" i="2"/>
  <c r="C505" i="3" s="1"/>
  <c r="E506" i="2"/>
  <c r="C506" i="3" s="1"/>
  <c r="E507" i="2"/>
  <c r="C507" i="3" s="1"/>
  <c r="E508" i="2"/>
  <c r="C508" i="3" s="1"/>
  <c r="E509" i="2"/>
  <c r="C509" i="3" s="1"/>
  <c r="E510" i="2"/>
  <c r="C510" i="3" s="1"/>
  <c r="E511" i="2"/>
  <c r="C511" i="3" s="1"/>
  <c r="E512" i="2"/>
  <c r="C512" i="3" s="1"/>
  <c r="E513" i="2"/>
  <c r="C513" i="3" s="1"/>
  <c r="E514" i="2"/>
  <c r="C514" i="3" s="1"/>
  <c r="E515" i="2"/>
  <c r="C515" i="3" s="1"/>
  <c r="E516" i="2"/>
  <c r="C516" i="3" s="1"/>
  <c r="E517" i="2"/>
  <c r="C517" i="3" s="1"/>
  <c r="E518" i="2"/>
  <c r="C518" i="3" s="1"/>
  <c r="E519" i="2"/>
  <c r="C519" i="3" s="1"/>
  <c r="E520" i="2"/>
  <c r="C520" i="3" s="1"/>
  <c r="E521" i="2"/>
  <c r="C521" i="3" s="1"/>
  <c r="E522" i="2"/>
  <c r="C522" i="3" s="1"/>
  <c r="E523" i="2"/>
  <c r="C523" i="3" s="1"/>
  <c r="E524" i="2"/>
  <c r="C524" i="3" s="1"/>
  <c r="E525" i="2"/>
  <c r="C525" i="3" s="1"/>
  <c r="E526" i="2"/>
  <c r="C526" i="3" s="1"/>
  <c r="E527" i="2"/>
  <c r="C527" i="3" s="1"/>
  <c r="E528" i="2"/>
  <c r="C528" i="3" s="1"/>
  <c r="E529" i="2"/>
  <c r="C529" i="3" s="1"/>
  <c r="E530" i="2"/>
  <c r="C530" i="3" s="1"/>
  <c r="E531" i="2"/>
  <c r="C531" i="3" s="1"/>
  <c r="E532" i="2"/>
  <c r="C532" i="3" s="1"/>
  <c r="E533" i="2"/>
  <c r="C533" i="3" s="1"/>
  <c r="E534" i="2"/>
  <c r="C534" i="3" s="1"/>
  <c r="E535" i="2"/>
  <c r="C535" i="3" s="1"/>
  <c r="E536" i="2"/>
  <c r="C536" i="3" s="1"/>
  <c r="E537" i="2"/>
  <c r="C537" i="3" s="1"/>
  <c r="E538" i="2"/>
  <c r="C538" i="3" s="1"/>
  <c r="E539" i="2"/>
  <c r="C539" i="3" s="1"/>
  <c r="E540" i="2"/>
  <c r="C540" i="3" s="1"/>
  <c r="E541" i="2"/>
  <c r="C541" i="3" s="1"/>
  <c r="E542" i="2"/>
  <c r="C542" i="3" s="1"/>
  <c r="E543" i="2"/>
  <c r="C543" i="3" s="1"/>
  <c r="E544" i="2"/>
  <c r="C544" i="3" s="1"/>
  <c r="E545" i="2"/>
  <c r="C545" i="3" s="1"/>
  <c r="E546" i="2"/>
  <c r="C546" i="3" s="1"/>
  <c r="E547" i="2"/>
  <c r="C547" i="3" s="1"/>
  <c r="E548" i="2"/>
  <c r="C548" i="3" s="1"/>
  <c r="E549" i="2"/>
  <c r="C549" i="3" s="1"/>
  <c r="E550" i="2"/>
  <c r="C550" i="3" s="1"/>
  <c r="E551" i="2"/>
  <c r="C551" i="3" s="1"/>
  <c r="E552" i="2"/>
  <c r="C552" i="3" s="1"/>
  <c r="E553" i="2"/>
  <c r="C553" i="3" s="1"/>
  <c r="E554" i="2"/>
  <c r="C554" i="3" s="1"/>
  <c r="E555" i="2"/>
  <c r="C555" i="3" s="1"/>
  <c r="E556" i="2"/>
  <c r="C556" i="3" s="1"/>
  <c r="E557" i="2"/>
  <c r="C557" i="3" s="1"/>
  <c r="E558" i="2"/>
  <c r="C558" i="3" s="1"/>
  <c r="E559" i="2"/>
  <c r="C559" i="3" s="1"/>
  <c r="E560" i="2"/>
  <c r="C560" i="3" s="1"/>
  <c r="E561" i="2"/>
  <c r="C561" i="3" s="1"/>
  <c r="E562" i="2"/>
  <c r="C562" i="3" s="1"/>
  <c r="E563" i="2"/>
  <c r="C563" i="3" s="1"/>
  <c r="E564" i="2"/>
  <c r="C564" i="3" s="1"/>
  <c r="E565" i="2"/>
  <c r="C565" i="3" s="1"/>
  <c r="E566" i="2"/>
  <c r="C566" i="3" s="1"/>
  <c r="E567" i="2"/>
  <c r="C567" i="3" s="1"/>
  <c r="E568" i="2"/>
  <c r="C568" i="3" s="1"/>
  <c r="E569" i="2"/>
  <c r="C569" i="3" s="1"/>
  <c r="E570" i="2"/>
  <c r="C570" i="3" s="1"/>
  <c r="E571" i="2"/>
  <c r="C571" i="3" s="1"/>
  <c r="E572" i="2"/>
  <c r="C572" i="3" s="1"/>
  <c r="E573" i="2"/>
  <c r="C573" i="3" s="1"/>
  <c r="E574" i="2"/>
  <c r="C574" i="3" s="1"/>
  <c r="E575" i="2"/>
  <c r="C575" i="3" s="1"/>
  <c r="E576" i="2"/>
  <c r="C576" i="3" s="1"/>
  <c r="E577" i="2"/>
  <c r="C577" i="3" s="1"/>
  <c r="E578" i="2"/>
  <c r="C578" i="3" s="1"/>
  <c r="E579" i="2"/>
  <c r="C579" i="3" s="1"/>
  <c r="E580" i="2"/>
  <c r="C580" i="3" s="1"/>
  <c r="E581" i="2"/>
  <c r="C581" i="3" s="1"/>
  <c r="E582" i="2"/>
  <c r="C582" i="3" s="1"/>
  <c r="E583" i="2"/>
  <c r="C583" i="3" s="1"/>
  <c r="E584" i="2"/>
  <c r="C584" i="3" s="1"/>
  <c r="E585" i="2"/>
  <c r="C585" i="3" s="1"/>
  <c r="E586" i="2"/>
  <c r="C586" i="3" s="1"/>
  <c r="E587" i="2"/>
  <c r="C587" i="3" s="1"/>
  <c r="E588" i="2"/>
  <c r="C588" i="3" s="1"/>
  <c r="E589" i="2"/>
  <c r="C589" i="3" s="1"/>
  <c r="E590" i="2"/>
  <c r="C590" i="3" s="1"/>
  <c r="E591" i="2"/>
  <c r="C591" i="3" s="1"/>
  <c r="E592" i="2"/>
  <c r="C592" i="3" s="1"/>
  <c r="E593" i="2"/>
  <c r="C593" i="3" s="1"/>
  <c r="E594" i="2"/>
  <c r="C594" i="3" s="1"/>
  <c r="E595" i="2"/>
  <c r="C595" i="3" s="1"/>
  <c r="E596" i="2"/>
  <c r="C596" i="3" s="1"/>
  <c r="E597" i="2"/>
  <c r="C597" i="3" s="1"/>
  <c r="E598" i="2"/>
  <c r="C598" i="3" s="1"/>
  <c r="E599" i="2"/>
  <c r="C599" i="3" s="1"/>
  <c r="E600" i="2"/>
  <c r="C600" i="3" s="1"/>
  <c r="E601" i="2"/>
  <c r="C601" i="3" s="1"/>
  <c r="E602" i="2"/>
  <c r="C602" i="3" s="1"/>
  <c r="E603" i="2"/>
  <c r="C603" i="3" s="1"/>
  <c r="E604" i="2"/>
  <c r="C604" i="3" s="1"/>
  <c r="E605" i="2"/>
  <c r="C605" i="3" s="1"/>
  <c r="E606" i="2"/>
  <c r="C606" i="3" s="1"/>
  <c r="E607" i="2"/>
  <c r="C607" i="3" s="1"/>
  <c r="E608" i="2"/>
  <c r="C608" i="3" s="1"/>
  <c r="E609" i="2"/>
  <c r="C609" i="3" s="1"/>
  <c r="E610" i="2"/>
  <c r="C610" i="3" s="1"/>
  <c r="E611" i="2"/>
  <c r="C611" i="3" s="1"/>
  <c r="E612" i="2"/>
  <c r="C612" i="3" s="1"/>
  <c r="E613" i="2"/>
  <c r="C613" i="3" s="1"/>
  <c r="E614" i="2"/>
  <c r="C614" i="3" s="1"/>
  <c r="E615" i="2"/>
  <c r="C615" i="3" s="1"/>
  <c r="E616" i="2"/>
  <c r="C616" i="3" s="1"/>
  <c r="E617" i="2"/>
  <c r="C617" i="3" s="1"/>
  <c r="E618" i="2"/>
  <c r="C618" i="3" s="1"/>
  <c r="E619" i="2"/>
  <c r="C619" i="3" s="1"/>
  <c r="E620" i="2"/>
  <c r="C620" i="3" s="1"/>
  <c r="E621" i="2"/>
  <c r="C621" i="3" s="1"/>
  <c r="E622" i="2"/>
  <c r="C622" i="3" s="1"/>
  <c r="E623" i="2"/>
  <c r="C623" i="3" s="1"/>
  <c r="E624" i="2"/>
  <c r="C624" i="3" s="1"/>
  <c r="E625" i="2"/>
  <c r="C625" i="3" s="1"/>
  <c r="E626" i="2"/>
  <c r="C626" i="3" s="1"/>
  <c r="E627" i="2"/>
  <c r="C627" i="3" s="1"/>
  <c r="E628" i="2"/>
  <c r="C628" i="3" s="1"/>
  <c r="E629" i="2"/>
  <c r="C629" i="3" s="1"/>
  <c r="E630" i="2"/>
  <c r="C630" i="3" s="1"/>
  <c r="E631" i="2"/>
  <c r="C631" i="3" s="1"/>
  <c r="E632" i="2"/>
  <c r="C632" i="3" s="1"/>
  <c r="E633" i="2"/>
  <c r="C633" i="3" s="1"/>
  <c r="E634" i="2"/>
  <c r="C634" i="3" s="1"/>
  <c r="E635" i="2"/>
  <c r="C635" i="3" s="1"/>
  <c r="E636" i="2"/>
  <c r="C636" i="3" s="1"/>
  <c r="E637" i="2"/>
  <c r="C637" i="3" s="1"/>
  <c r="E638" i="2"/>
  <c r="C638" i="3" s="1"/>
  <c r="E639" i="2"/>
  <c r="C639" i="3" s="1"/>
  <c r="E640" i="2"/>
  <c r="C640" i="3" s="1"/>
  <c r="E641" i="2"/>
  <c r="C641" i="3" s="1"/>
  <c r="E642" i="2"/>
  <c r="C642" i="3" s="1"/>
  <c r="E643" i="2"/>
  <c r="C643" i="3" s="1"/>
  <c r="E644" i="2"/>
  <c r="C644" i="3" s="1"/>
  <c r="E645" i="2"/>
  <c r="C645" i="3" s="1"/>
  <c r="E646" i="2"/>
  <c r="C646" i="3" s="1"/>
  <c r="E647" i="2"/>
  <c r="C647" i="3" s="1"/>
  <c r="E648" i="2"/>
  <c r="C648" i="3" s="1"/>
  <c r="E649" i="2"/>
  <c r="C649" i="3" s="1"/>
  <c r="E650" i="2"/>
  <c r="C650" i="3" s="1"/>
  <c r="E651" i="2"/>
  <c r="C651" i="3" s="1"/>
  <c r="E652" i="2"/>
  <c r="C652" i="3" s="1"/>
  <c r="E653" i="2"/>
  <c r="C653" i="3" s="1"/>
  <c r="E654" i="2"/>
  <c r="C654" i="3" s="1"/>
  <c r="E655" i="2"/>
  <c r="C655" i="3" s="1"/>
  <c r="E656" i="2"/>
  <c r="C656" i="3" s="1"/>
  <c r="E657" i="2"/>
  <c r="C657" i="3" s="1"/>
  <c r="E658" i="2"/>
  <c r="C658" i="3" s="1"/>
  <c r="E659" i="2"/>
  <c r="C659" i="3" s="1"/>
  <c r="E660" i="2"/>
  <c r="C660" i="3" s="1"/>
  <c r="E661" i="2"/>
  <c r="C661" i="3" s="1"/>
  <c r="E662" i="2"/>
  <c r="C662" i="3" s="1"/>
  <c r="E663" i="2"/>
  <c r="C663" i="3" s="1"/>
  <c r="E664" i="2"/>
  <c r="C664" i="3" s="1"/>
  <c r="E665" i="2"/>
  <c r="C665" i="3" s="1"/>
  <c r="E666" i="2"/>
  <c r="C666" i="3" s="1"/>
  <c r="E667" i="2"/>
  <c r="C667" i="3" s="1"/>
  <c r="E668" i="2"/>
  <c r="C668" i="3" s="1"/>
  <c r="E669" i="2"/>
  <c r="C669" i="3" s="1"/>
  <c r="E670" i="2"/>
  <c r="C670" i="3" s="1"/>
  <c r="E671" i="2"/>
  <c r="C671" i="3" s="1"/>
  <c r="E672" i="2"/>
  <c r="C672" i="3" s="1"/>
  <c r="E673" i="2"/>
  <c r="C673" i="3" s="1"/>
  <c r="E674" i="2"/>
  <c r="C674" i="3" s="1"/>
  <c r="E675" i="2"/>
  <c r="C675" i="3" s="1"/>
  <c r="E676" i="2"/>
  <c r="C676" i="3" s="1"/>
  <c r="E677" i="2"/>
  <c r="C677" i="3" s="1"/>
  <c r="E678" i="2"/>
  <c r="C678" i="3" s="1"/>
  <c r="E679" i="2"/>
  <c r="C679" i="3" s="1"/>
  <c r="E680" i="2"/>
  <c r="C680" i="3" s="1"/>
  <c r="E681" i="2"/>
  <c r="C681" i="3" s="1"/>
  <c r="E682" i="2"/>
  <c r="C682" i="3" s="1"/>
  <c r="E683" i="2"/>
  <c r="C683" i="3" s="1"/>
  <c r="E684" i="2"/>
  <c r="C684" i="3" s="1"/>
  <c r="E685" i="2"/>
  <c r="C685" i="3" s="1"/>
  <c r="E686" i="2"/>
  <c r="C686" i="3" s="1"/>
  <c r="E687" i="2"/>
  <c r="C687" i="3" s="1"/>
  <c r="E688" i="2"/>
  <c r="C688" i="3" s="1"/>
  <c r="E689" i="2"/>
  <c r="C689" i="3" s="1"/>
  <c r="E690" i="2"/>
  <c r="C690" i="3" s="1"/>
  <c r="E691" i="2"/>
  <c r="C691" i="3" s="1"/>
  <c r="E692" i="2"/>
  <c r="C692" i="3" s="1"/>
  <c r="E693" i="2"/>
  <c r="C693" i="3" s="1"/>
  <c r="E694" i="2"/>
  <c r="C694" i="3" s="1"/>
  <c r="E695" i="2"/>
  <c r="C695" i="3" s="1"/>
  <c r="E696" i="2"/>
  <c r="C696" i="3" s="1"/>
  <c r="E697" i="2"/>
  <c r="C697" i="3" s="1"/>
  <c r="E698" i="2"/>
  <c r="C698" i="3" s="1"/>
  <c r="E699" i="2"/>
  <c r="C699" i="3" s="1"/>
  <c r="E700" i="2"/>
  <c r="C700" i="3" s="1"/>
  <c r="E701" i="2"/>
  <c r="C701" i="3" s="1"/>
  <c r="E702" i="2"/>
  <c r="C702" i="3" s="1"/>
  <c r="E703" i="2"/>
  <c r="C703" i="3" s="1"/>
  <c r="E704" i="2"/>
  <c r="C704" i="3" s="1"/>
  <c r="E705" i="2"/>
  <c r="C705" i="3" s="1"/>
  <c r="E706" i="2"/>
  <c r="C706" i="3" s="1"/>
  <c r="E707" i="2"/>
  <c r="C707" i="3" s="1"/>
  <c r="E708" i="2"/>
  <c r="C708" i="3" s="1"/>
  <c r="E709" i="2"/>
  <c r="C709" i="3" s="1"/>
  <c r="E710" i="2"/>
  <c r="C710" i="3" s="1"/>
  <c r="E711" i="2"/>
  <c r="C711" i="3" s="1"/>
  <c r="E712" i="2"/>
  <c r="C712" i="3" s="1"/>
  <c r="E713" i="2"/>
  <c r="C713" i="3" s="1"/>
  <c r="E714" i="2"/>
  <c r="C714" i="3" s="1"/>
  <c r="E715" i="2"/>
  <c r="C715" i="3" s="1"/>
  <c r="E716" i="2"/>
  <c r="C716" i="3" s="1"/>
  <c r="E717" i="2"/>
  <c r="C717" i="3" s="1"/>
  <c r="E718" i="2"/>
  <c r="C718" i="3" s="1"/>
  <c r="E719" i="2"/>
  <c r="C719" i="3" s="1"/>
  <c r="E720" i="2"/>
  <c r="C720" i="3" s="1"/>
  <c r="E721" i="2"/>
  <c r="C721" i="3" s="1"/>
  <c r="E722" i="2"/>
  <c r="C722" i="3" s="1"/>
  <c r="E723" i="2"/>
  <c r="C723" i="3" s="1"/>
  <c r="E724" i="2"/>
  <c r="C724" i="3" s="1"/>
  <c r="E725" i="2"/>
  <c r="C725" i="3" s="1"/>
  <c r="E726" i="2"/>
  <c r="C726" i="3" s="1"/>
  <c r="E727" i="2"/>
  <c r="C727" i="3" s="1"/>
  <c r="E728" i="2"/>
  <c r="C728" i="3" s="1"/>
  <c r="E729" i="2"/>
  <c r="C729" i="3" s="1"/>
  <c r="E730" i="2"/>
  <c r="C730" i="3" s="1"/>
  <c r="E731" i="2"/>
  <c r="C731" i="3" s="1"/>
  <c r="E732" i="2"/>
  <c r="C732" i="3" s="1"/>
  <c r="E733" i="2"/>
  <c r="C733" i="3" s="1"/>
  <c r="E734" i="2"/>
  <c r="C734" i="3" s="1"/>
  <c r="E735" i="2"/>
  <c r="C735" i="3" s="1"/>
  <c r="E736" i="2"/>
  <c r="C736" i="3" s="1"/>
  <c r="E737" i="2"/>
  <c r="C737" i="3" s="1"/>
  <c r="E738" i="2"/>
  <c r="C738" i="3" s="1"/>
  <c r="E739" i="2"/>
  <c r="C739" i="3" s="1"/>
  <c r="E740" i="2"/>
  <c r="C740" i="3" s="1"/>
  <c r="E741" i="2"/>
  <c r="C741" i="3" s="1"/>
  <c r="E742" i="2"/>
  <c r="C742" i="3" s="1"/>
  <c r="E743" i="2"/>
  <c r="C743" i="3" s="1"/>
  <c r="E744" i="2"/>
  <c r="C744" i="3" s="1"/>
  <c r="E745" i="2"/>
  <c r="C745" i="3" s="1"/>
  <c r="E746" i="2"/>
  <c r="C746" i="3" s="1"/>
  <c r="E747" i="2"/>
  <c r="C747" i="3" s="1"/>
  <c r="E748" i="2"/>
  <c r="C748" i="3" s="1"/>
  <c r="E749" i="2"/>
  <c r="C749" i="3" s="1"/>
  <c r="E750" i="2"/>
  <c r="C750" i="3" s="1"/>
  <c r="E751" i="2"/>
  <c r="C751" i="3" s="1"/>
  <c r="E752" i="2"/>
  <c r="C752" i="3" s="1"/>
  <c r="E753" i="2"/>
  <c r="C753" i="3" s="1"/>
  <c r="E754" i="2"/>
  <c r="C754" i="3" s="1"/>
  <c r="E755" i="2"/>
  <c r="C755" i="3" s="1"/>
  <c r="E756" i="2"/>
  <c r="C756" i="3" s="1"/>
  <c r="E757" i="2"/>
  <c r="C757" i="3" s="1"/>
  <c r="E758" i="2"/>
  <c r="C758" i="3" s="1"/>
  <c r="E759" i="2"/>
  <c r="C759" i="3" s="1"/>
  <c r="E760" i="2"/>
  <c r="C760" i="3" s="1"/>
  <c r="E761" i="2"/>
  <c r="C761" i="3" s="1"/>
  <c r="E762" i="2"/>
  <c r="C762" i="3" s="1"/>
  <c r="E763" i="2"/>
  <c r="C763" i="3" s="1"/>
  <c r="E764" i="2"/>
  <c r="C764" i="3" s="1"/>
  <c r="E765" i="2"/>
  <c r="C765" i="3" s="1"/>
  <c r="E766" i="2"/>
  <c r="C766" i="3" s="1"/>
  <c r="E767" i="2"/>
  <c r="C767" i="3" s="1"/>
  <c r="E768" i="2"/>
  <c r="C768" i="3" s="1"/>
  <c r="E769" i="2"/>
  <c r="C769" i="3" s="1"/>
  <c r="E770" i="2"/>
  <c r="C770" i="3" s="1"/>
  <c r="E771" i="2"/>
  <c r="C771" i="3" s="1"/>
  <c r="E772" i="2"/>
  <c r="C772" i="3" s="1"/>
  <c r="E773" i="2"/>
  <c r="C773" i="3" s="1"/>
  <c r="E774" i="2"/>
  <c r="C774" i="3" s="1"/>
  <c r="E775" i="2"/>
  <c r="C775" i="3" s="1"/>
  <c r="E776" i="2"/>
  <c r="C776" i="3" s="1"/>
  <c r="E777" i="2"/>
  <c r="C777" i="3" s="1"/>
  <c r="E778" i="2"/>
  <c r="C778" i="3" s="1"/>
  <c r="E779" i="2"/>
  <c r="C779" i="3" s="1"/>
  <c r="E780" i="2"/>
  <c r="C780" i="3" s="1"/>
  <c r="E781" i="2"/>
  <c r="C781" i="3" s="1"/>
  <c r="E782" i="2"/>
  <c r="C782" i="3" s="1"/>
  <c r="E783" i="2"/>
  <c r="C783" i="3" s="1"/>
  <c r="E784" i="2"/>
  <c r="C784" i="3" s="1"/>
  <c r="E785" i="2"/>
  <c r="C785" i="3" s="1"/>
  <c r="E786" i="2"/>
  <c r="C786" i="3" s="1"/>
  <c r="E787" i="2"/>
  <c r="C787" i="3" s="1"/>
  <c r="E788" i="2"/>
  <c r="C788" i="3" s="1"/>
  <c r="E789" i="2"/>
  <c r="C789" i="3" s="1"/>
  <c r="E790" i="2"/>
  <c r="C790" i="3" s="1"/>
  <c r="E791" i="2"/>
  <c r="C791" i="3" s="1"/>
  <c r="E792" i="2"/>
  <c r="C792" i="3" s="1"/>
  <c r="E793" i="2"/>
  <c r="C793" i="3" s="1"/>
  <c r="E794" i="2"/>
  <c r="C794" i="3" s="1"/>
  <c r="E795" i="2"/>
  <c r="C795" i="3" s="1"/>
  <c r="E796" i="2"/>
  <c r="C796" i="3" s="1"/>
  <c r="E797" i="2"/>
  <c r="C797" i="3" s="1"/>
  <c r="E798" i="2"/>
  <c r="C798" i="3" s="1"/>
  <c r="E799" i="2"/>
  <c r="C799" i="3" s="1"/>
  <c r="E800" i="2"/>
  <c r="C800" i="3" s="1"/>
  <c r="E801" i="2"/>
  <c r="C801" i="3" s="1"/>
  <c r="E802" i="2"/>
  <c r="C802" i="3" s="1"/>
  <c r="E803" i="2"/>
  <c r="C803" i="3" s="1"/>
  <c r="E804" i="2"/>
  <c r="C804" i="3" s="1"/>
  <c r="E805" i="2"/>
  <c r="C805" i="3" s="1"/>
  <c r="E806" i="2"/>
  <c r="C806" i="3" s="1"/>
  <c r="E807" i="2"/>
  <c r="C807" i="3" s="1"/>
  <c r="E808" i="2"/>
  <c r="C808" i="3" s="1"/>
  <c r="E809" i="2"/>
  <c r="C809" i="3" s="1"/>
  <c r="E810" i="2"/>
  <c r="C810" i="3" s="1"/>
  <c r="E811" i="2"/>
  <c r="C811" i="3" s="1"/>
  <c r="E812" i="2"/>
  <c r="C812" i="3" s="1"/>
  <c r="E813" i="2"/>
  <c r="C813" i="3" s="1"/>
  <c r="E814" i="2"/>
  <c r="C814" i="3" s="1"/>
  <c r="E815" i="2"/>
  <c r="C815" i="3" s="1"/>
  <c r="E816" i="2"/>
  <c r="C816" i="3" s="1"/>
  <c r="E817" i="2"/>
  <c r="C817" i="3" s="1"/>
  <c r="E818" i="2"/>
  <c r="C818" i="3" s="1"/>
  <c r="E819" i="2"/>
  <c r="C819" i="3" s="1"/>
  <c r="E820" i="2"/>
  <c r="C820" i="3" s="1"/>
  <c r="E821" i="2"/>
  <c r="C821" i="3" s="1"/>
  <c r="E822" i="2"/>
  <c r="C822" i="3" s="1"/>
  <c r="E823" i="2"/>
  <c r="C823" i="3" s="1"/>
  <c r="E824" i="2"/>
  <c r="C824" i="3" s="1"/>
  <c r="E825" i="2"/>
  <c r="C825" i="3" s="1"/>
  <c r="E826" i="2"/>
  <c r="C826" i="3" s="1"/>
  <c r="E827" i="2"/>
  <c r="C827" i="3" s="1"/>
  <c r="E828" i="2"/>
  <c r="C828" i="3" s="1"/>
  <c r="E829" i="2"/>
  <c r="C829" i="3" s="1"/>
  <c r="E830" i="2"/>
  <c r="C830" i="3" s="1"/>
  <c r="E831" i="2"/>
  <c r="C831" i="3" s="1"/>
  <c r="E832" i="2"/>
  <c r="C832" i="3" s="1"/>
  <c r="E833" i="2"/>
  <c r="C833" i="3" s="1"/>
  <c r="E834" i="2"/>
  <c r="C834" i="3" s="1"/>
  <c r="E835" i="2"/>
  <c r="C835" i="3" s="1"/>
  <c r="E836" i="2"/>
  <c r="C836" i="3" s="1"/>
  <c r="E837" i="2"/>
  <c r="C837" i="3" s="1"/>
  <c r="E838" i="2"/>
  <c r="C838" i="3" s="1"/>
  <c r="E839" i="2"/>
  <c r="C839" i="3" s="1"/>
  <c r="E840" i="2"/>
  <c r="C840" i="3" s="1"/>
  <c r="E841" i="2"/>
  <c r="C841" i="3" s="1"/>
  <c r="E842" i="2"/>
  <c r="C842" i="3" s="1"/>
  <c r="E843" i="2"/>
  <c r="C843" i="3" s="1"/>
  <c r="E844" i="2"/>
  <c r="C844" i="3" s="1"/>
  <c r="E845" i="2"/>
  <c r="C845" i="3" s="1"/>
  <c r="E846" i="2"/>
  <c r="C846" i="3" s="1"/>
  <c r="E847" i="2"/>
  <c r="C847" i="3" s="1"/>
  <c r="E848" i="2"/>
  <c r="C848" i="3" s="1"/>
  <c r="E849" i="2"/>
  <c r="C849" i="3" s="1"/>
  <c r="E850" i="2"/>
  <c r="C850" i="3" s="1"/>
  <c r="E851" i="2"/>
  <c r="C851" i="3" s="1"/>
  <c r="E852" i="2"/>
  <c r="C852" i="3" s="1"/>
  <c r="E853" i="2"/>
  <c r="C853" i="3" s="1"/>
  <c r="E854" i="2"/>
  <c r="C854" i="3" s="1"/>
  <c r="E855" i="2"/>
  <c r="C855" i="3" s="1"/>
  <c r="E856" i="2"/>
  <c r="C856" i="3" s="1"/>
  <c r="E857" i="2"/>
  <c r="C857" i="3" s="1"/>
  <c r="E858" i="2"/>
  <c r="C858" i="3" s="1"/>
  <c r="E859" i="2"/>
  <c r="C859" i="3" s="1"/>
  <c r="E860" i="2"/>
  <c r="C860" i="3" s="1"/>
  <c r="E861" i="2"/>
  <c r="C861" i="3" s="1"/>
  <c r="E862" i="2"/>
  <c r="C862" i="3" s="1"/>
  <c r="E863" i="2"/>
  <c r="C863" i="3" s="1"/>
  <c r="E864" i="2"/>
  <c r="C864" i="3" s="1"/>
  <c r="E865" i="2"/>
  <c r="C865" i="3" s="1"/>
  <c r="E866" i="2"/>
  <c r="C866" i="3" s="1"/>
  <c r="E867" i="2"/>
  <c r="C867" i="3" s="1"/>
  <c r="E868" i="2"/>
  <c r="C868" i="3" s="1"/>
  <c r="E869" i="2"/>
  <c r="C869" i="3" s="1"/>
  <c r="E870" i="2"/>
  <c r="C870" i="3" s="1"/>
  <c r="E871" i="2"/>
  <c r="C871" i="3" s="1"/>
  <c r="E872" i="2"/>
  <c r="C872" i="3" s="1"/>
  <c r="E873" i="2"/>
  <c r="C873" i="3" s="1"/>
  <c r="E874" i="2"/>
  <c r="C874" i="3" s="1"/>
  <c r="E875" i="2"/>
  <c r="C875" i="3" s="1"/>
  <c r="E876" i="2"/>
  <c r="C876" i="3" s="1"/>
  <c r="E877" i="2"/>
  <c r="C877" i="3" s="1"/>
  <c r="E878" i="2"/>
  <c r="C878" i="3" s="1"/>
  <c r="E879" i="2"/>
  <c r="C879" i="3" s="1"/>
  <c r="E880" i="2"/>
  <c r="C880" i="3" s="1"/>
  <c r="E881" i="2"/>
  <c r="C881" i="3" s="1"/>
  <c r="E882" i="2"/>
  <c r="C882" i="3" s="1"/>
  <c r="E883" i="2"/>
  <c r="C883" i="3" s="1"/>
  <c r="E884" i="2"/>
  <c r="C884" i="3" s="1"/>
  <c r="E885" i="2"/>
  <c r="C885" i="3" s="1"/>
  <c r="E886" i="2"/>
  <c r="C886" i="3" s="1"/>
  <c r="E887" i="2"/>
  <c r="C887" i="3" s="1"/>
  <c r="E888" i="2"/>
  <c r="C888" i="3" s="1"/>
  <c r="E889" i="2"/>
  <c r="C889" i="3" s="1"/>
  <c r="E890" i="2"/>
  <c r="C890" i="3" s="1"/>
  <c r="E891" i="2"/>
  <c r="C891" i="3" s="1"/>
  <c r="E892" i="2"/>
  <c r="C892" i="3" s="1"/>
  <c r="E893" i="2"/>
  <c r="C893" i="3" s="1"/>
  <c r="E894" i="2"/>
  <c r="C894" i="3" s="1"/>
  <c r="E895" i="2"/>
  <c r="C895" i="3" s="1"/>
  <c r="E896" i="2"/>
  <c r="C896" i="3" s="1"/>
  <c r="E897" i="2"/>
  <c r="C897" i="3" s="1"/>
  <c r="E898" i="2"/>
  <c r="C898" i="3" s="1"/>
  <c r="E899" i="2"/>
  <c r="C899" i="3" s="1"/>
  <c r="E900" i="2"/>
  <c r="C900" i="3" s="1"/>
  <c r="E901" i="2"/>
  <c r="C901" i="3" s="1"/>
  <c r="E902" i="2"/>
  <c r="C902" i="3" s="1"/>
  <c r="E903" i="2"/>
  <c r="C903" i="3" s="1"/>
  <c r="E904" i="2"/>
  <c r="C904" i="3" s="1"/>
  <c r="E905" i="2"/>
  <c r="C905" i="3" s="1"/>
  <c r="E906" i="2"/>
  <c r="C906" i="3" s="1"/>
  <c r="E907" i="2"/>
  <c r="C907" i="3" s="1"/>
  <c r="E908" i="2"/>
  <c r="C908" i="3" s="1"/>
  <c r="E909" i="2"/>
  <c r="C909" i="3" s="1"/>
  <c r="E910" i="2"/>
  <c r="C910" i="3" s="1"/>
  <c r="E911" i="2"/>
  <c r="C911" i="3" s="1"/>
  <c r="E912" i="2"/>
  <c r="C912" i="3" s="1"/>
  <c r="E913" i="2"/>
  <c r="C913" i="3" s="1"/>
  <c r="E914" i="2"/>
  <c r="C914" i="3" s="1"/>
  <c r="E915" i="2"/>
  <c r="C915" i="3" s="1"/>
  <c r="E916" i="2"/>
  <c r="C916" i="3" s="1"/>
  <c r="E917" i="2"/>
  <c r="C917" i="3" s="1"/>
  <c r="E918" i="2"/>
  <c r="C918" i="3" s="1"/>
  <c r="E919" i="2"/>
  <c r="C919" i="3" s="1"/>
  <c r="E920" i="2"/>
  <c r="C920" i="3" s="1"/>
  <c r="E921" i="2"/>
  <c r="C921" i="3" s="1"/>
  <c r="E922" i="2"/>
  <c r="C922" i="3" s="1"/>
  <c r="E923" i="2"/>
  <c r="C923" i="3" s="1"/>
  <c r="E924" i="2"/>
  <c r="C924" i="3" s="1"/>
  <c r="E925" i="2"/>
  <c r="C925" i="3" s="1"/>
  <c r="E926" i="2"/>
  <c r="C926" i="3" s="1"/>
  <c r="E927" i="2"/>
  <c r="C927" i="3" s="1"/>
  <c r="E928" i="2"/>
  <c r="C928" i="3" s="1"/>
  <c r="E929" i="2"/>
  <c r="C929" i="3" s="1"/>
  <c r="E930" i="2"/>
  <c r="C930" i="3" s="1"/>
  <c r="E931" i="2"/>
  <c r="C931" i="3" s="1"/>
  <c r="E932" i="2"/>
  <c r="C932" i="3" s="1"/>
  <c r="E933" i="2"/>
  <c r="C933" i="3" s="1"/>
  <c r="E934" i="2"/>
  <c r="C934" i="3" s="1"/>
  <c r="E935" i="2"/>
  <c r="C935" i="3" s="1"/>
  <c r="E936" i="2"/>
  <c r="C936" i="3" s="1"/>
  <c r="E937" i="2"/>
  <c r="C937" i="3" s="1"/>
  <c r="E938" i="2"/>
  <c r="C938" i="3" s="1"/>
  <c r="E939" i="2"/>
  <c r="C939" i="3" s="1"/>
  <c r="E940" i="2"/>
  <c r="C940" i="3" s="1"/>
  <c r="E941" i="2"/>
  <c r="C941" i="3" s="1"/>
  <c r="E942" i="2"/>
  <c r="C942" i="3" s="1"/>
  <c r="E943" i="2"/>
  <c r="C943" i="3" s="1"/>
  <c r="E944" i="2"/>
  <c r="C944" i="3" s="1"/>
  <c r="E945" i="2"/>
  <c r="C945" i="3" s="1"/>
  <c r="E946" i="2"/>
  <c r="C946" i="3" s="1"/>
  <c r="E947" i="2"/>
  <c r="C947" i="3" s="1"/>
  <c r="E948" i="2"/>
  <c r="C948" i="3" s="1"/>
  <c r="E949" i="2"/>
  <c r="C949" i="3" s="1"/>
  <c r="E950" i="2"/>
  <c r="C950" i="3" s="1"/>
  <c r="E951" i="2"/>
  <c r="C951" i="3" s="1"/>
  <c r="E952" i="2"/>
  <c r="C952" i="3" s="1"/>
  <c r="E953" i="2"/>
  <c r="C953" i="3" s="1"/>
  <c r="E954" i="2"/>
  <c r="C954" i="3" s="1"/>
  <c r="E955" i="2"/>
  <c r="C955" i="3" s="1"/>
  <c r="E956" i="2"/>
  <c r="C956" i="3" s="1"/>
  <c r="E957" i="2"/>
  <c r="C957" i="3" s="1"/>
  <c r="E958" i="2"/>
  <c r="C958" i="3" s="1"/>
  <c r="E959" i="2"/>
  <c r="C959" i="3" s="1"/>
  <c r="E960" i="2"/>
  <c r="C960" i="3" s="1"/>
  <c r="E961" i="2"/>
  <c r="C961" i="3" s="1"/>
  <c r="E962" i="2"/>
  <c r="C962" i="3" s="1"/>
  <c r="E963" i="2"/>
  <c r="C963" i="3" s="1"/>
  <c r="E964" i="2"/>
  <c r="C964" i="3" s="1"/>
  <c r="E965" i="2"/>
  <c r="C965" i="3" s="1"/>
  <c r="E966" i="2"/>
  <c r="C966" i="3" s="1"/>
  <c r="E967" i="2"/>
  <c r="C967" i="3" s="1"/>
  <c r="E968" i="2"/>
  <c r="C968" i="3" s="1"/>
  <c r="E969" i="2"/>
  <c r="C969" i="3" s="1"/>
  <c r="E970" i="2"/>
  <c r="C970" i="3" s="1"/>
  <c r="E971" i="2"/>
  <c r="C971" i="3" s="1"/>
  <c r="E972" i="2"/>
  <c r="C972" i="3" s="1"/>
  <c r="E973" i="2"/>
  <c r="C973" i="3" s="1"/>
  <c r="E974" i="2"/>
  <c r="C974" i="3" s="1"/>
  <c r="E975" i="2"/>
  <c r="C975" i="3" s="1"/>
  <c r="E976" i="2"/>
  <c r="C976" i="3" s="1"/>
  <c r="E977" i="2"/>
  <c r="C977" i="3" s="1"/>
  <c r="E978" i="2"/>
  <c r="C978" i="3" s="1"/>
  <c r="E979" i="2"/>
  <c r="C979" i="3" s="1"/>
  <c r="E980" i="2"/>
  <c r="C980" i="3" s="1"/>
  <c r="E981" i="2"/>
  <c r="C981" i="3" s="1"/>
  <c r="E982" i="2"/>
  <c r="C982" i="3" s="1"/>
  <c r="E983" i="2"/>
  <c r="C983" i="3" s="1"/>
  <c r="E984" i="2"/>
  <c r="C984" i="3" s="1"/>
  <c r="E985" i="2"/>
  <c r="C985" i="3" s="1"/>
  <c r="E986" i="2"/>
  <c r="C986" i="3" s="1"/>
  <c r="E987" i="2"/>
  <c r="C987" i="3" s="1"/>
  <c r="E988" i="2"/>
  <c r="C988" i="3" s="1"/>
  <c r="E989" i="2"/>
  <c r="C989" i="3" s="1"/>
  <c r="E990" i="2"/>
  <c r="C990" i="3" s="1"/>
  <c r="E991" i="2"/>
  <c r="C991" i="3" s="1"/>
  <c r="E992" i="2"/>
  <c r="C992" i="3" s="1"/>
  <c r="E993" i="2"/>
  <c r="C993" i="3" s="1"/>
  <c r="E994" i="2"/>
  <c r="C994" i="3" s="1"/>
  <c r="E995" i="2"/>
  <c r="C995" i="3" s="1"/>
  <c r="E996" i="2"/>
  <c r="C996" i="3" s="1"/>
  <c r="E997" i="2"/>
  <c r="C997" i="3" s="1"/>
  <c r="E998" i="2"/>
  <c r="C998" i="3" s="1"/>
  <c r="E999" i="2"/>
  <c r="C999" i="3" s="1"/>
  <c r="E1000" i="2"/>
  <c r="C1000" i="3" s="1"/>
  <c r="E1001" i="2"/>
  <c r="C1001" i="3" s="1"/>
  <c r="E2" i="2"/>
  <c r="C2" i="3" s="1"/>
  <c r="C3" i="2"/>
  <c r="B3" i="3" s="1"/>
  <c r="C4" i="2"/>
  <c r="B4" i="3" s="1"/>
  <c r="C5" i="2"/>
  <c r="B5" i="3" s="1"/>
  <c r="C6" i="2"/>
  <c r="B6" i="3" s="1"/>
  <c r="C7" i="2"/>
  <c r="B7" i="3" s="1"/>
  <c r="C8" i="2"/>
  <c r="B8" i="3" s="1"/>
  <c r="C9" i="2"/>
  <c r="B9" i="3" s="1"/>
  <c r="C10" i="2"/>
  <c r="B10" i="3" s="1"/>
  <c r="C11" i="2"/>
  <c r="B11" i="3" s="1"/>
  <c r="C12" i="2"/>
  <c r="B12" i="3" s="1"/>
  <c r="C13" i="2"/>
  <c r="B13" i="3" s="1"/>
  <c r="C14" i="2"/>
  <c r="B14" i="3" s="1"/>
  <c r="C15" i="2"/>
  <c r="B15" i="3" s="1"/>
  <c r="C16" i="2"/>
  <c r="B16" i="3" s="1"/>
  <c r="C17" i="2"/>
  <c r="B17" i="3" s="1"/>
  <c r="C18" i="2"/>
  <c r="B18" i="3" s="1"/>
  <c r="C19" i="2"/>
  <c r="B19" i="3" s="1"/>
  <c r="C20" i="2"/>
  <c r="B20" i="3" s="1"/>
  <c r="C21" i="2"/>
  <c r="B21" i="3" s="1"/>
  <c r="C22" i="2"/>
  <c r="B22" i="3" s="1"/>
  <c r="C23" i="2"/>
  <c r="B23" i="3" s="1"/>
  <c r="C24" i="2"/>
  <c r="B24" i="3" s="1"/>
  <c r="C25" i="2"/>
  <c r="B25" i="3" s="1"/>
  <c r="C26" i="2"/>
  <c r="B26" i="3" s="1"/>
  <c r="C27" i="2"/>
  <c r="B27" i="3" s="1"/>
  <c r="C28" i="2"/>
  <c r="B28" i="3" s="1"/>
  <c r="C29" i="2"/>
  <c r="B29" i="3" s="1"/>
  <c r="C30" i="2"/>
  <c r="B30" i="3" s="1"/>
  <c r="C31" i="2"/>
  <c r="B31" i="3" s="1"/>
  <c r="C32" i="2"/>
  <c r="B32" i="3" s="1"/>
  <c r="C33" i="2"/>
  <c r="B33" i="3" s="1"/>
  <c r="C34" i="2"/>
  <c r="B34" i="3" s="1"/>
  <c r="C35" i="2"/>
  <c r="B35" i="3" s="1"/>
  <c r="C36" i="2"/>
  <c r="B36" i="3" s="1"/>
  <c r="C37" i="2"/>
  <c r="B37" i="3" s="1"/>
  <c r="C38" i="2"/>
  <c r="B38" i="3" s="1"/>
  <c r="C39" i="2"/>
  <c r="B39" i="3" s="1"/>
  <c r="C40" i="2"/>
  <c r="B40" i="3" s="1"/>
  <c r="C41" i="2"/>
  <c r="B41" i="3" s="1"/>
  <c r="C42" i="2"/>
  <c r="B42" i="3" s="1"/>
  <c r="C43" i="2"/>
  <c r="B43" i="3" s="1"/>
  <c r="C44" i="2"/>
  <c r="B44" i="3" s="1"/>
  <c r="C45" i="2"/>
  <c r="B45" i="3" s="1"/>
  <c r="C46" i="2"/>
  <c r="B46" i="3" s="1"/>
  <c r="C47" i="2"/>
  <c r="B47" i="3" s="1"/>
  <c r="C48" i="2"/>
  <c r="B48" i="3" s="1"/>
  <c r="C49" i="2"/>
  <c r="B49" i="3" s="1"/>
  <c r="C50" i="2"/>
  <c r="B50" i="3" s="1"/>
  <c r="C51" i="2"/>
  <c r="B51" i="3" s="1"/>
  <c r="C52" i="2"/>
  <c r="B52" i="3" s="1"/>
  <c r="C53" i="2"/>
  <c r="B53" i="3" s="1"/>
  <c r="C54" i="2"/>
  <c r="B54" i="3" s="1"/>
  <c r="C55" i="2"/>
  <c r="B55" i="3" s="1"/>
  <c r="C56" i="2"/>
  <c r="B56" i="3" s="1"/>
  <c r="C57" i="2"/>
  <c r="B57" i="3" s="1"/>
  <c r="C58" i="2"/>
  <c r="B58" i="3" s="1"/>
  <c r="C59" i="2"/>
  <c r="B59" i="3" s="1"/>
  <c r="C60" i="2"/>
  <c r="B60" i="3" s="1"/>
  <c r="C61" i="2"/>
  <c r="B61" i="3" s="1"/>
  <c r="C62" i="2"/>
  <c r="B62" i="3" s="1"/>
  <c r="C63" i="2"/>
  <c r="B63" i="3" s="1"/>
  <c r="C64" i="2"/>
  <c r="B64" i="3" s="1"/>
  <c r="C65" i="2"/>
  <c r="B65" i="3" s="1"/>
  <c r="C66" i="2"/>
  <c r="B66" i="3" s="1"/>
  <c r="C67" i="2"/>
  <c r="B67" i="3" s="1"/>
  <c r="C68" i="2"/>
  <c r="B68" i="3" s="1"/>
  <c r="C69" i="2"/>
  <c r="B69" i="3" s="1"/>
  <c r="C70" i="2"/>
  <c r="B70" i="3" s="1"/>
  <c r="C71" i="2"/>
  <c r="B71" i="3" s="1"/>
  <c r="C72" i="2"/>
  <c r="B72" i="3" s="1"/>
  <c r="C73" i="2"/>
  <c r="B73" i="3" s="1"/>
  <c r="C74" i="2"/>
  <c r="B74" i="3" s="1"/>
  <c r="C75" i="2"/>
  <c r="B75" i="3" s="1"/>
  <c r="C76" i="2"/>
  <c r="B76" i="3" s="1"/>
  <c r="C77" i="2"/>
  <c r="B77" i="3" s="1"/>
  <c r="C78" i="2"/>
  <c r="B78" i="3" s="1"/>
  <c r="C79" i="2"/>
  <c r="B79" i="3" s="1"/>
  <c r="C80" i="2"/>
  <c r="B80" i="3" s="1"/>
  <c r="C81" i="2"/>
  <c r="B81" i="3" s="1"/>
  <c r="C82" i="2"/>
  <c r="B82" i="3" s="1"/>
  <c r="C83" i="2"/>
  <c r="B83" i="3" s="1"/>
  <c r="C84" i="2"/>
  <c r="B84" i="3" s="1"/>
  <c r="C85" i="2"/>
  <c r="B85" i="3" s="1"/>
  <c r="C86" i="2"/>
  <c r="B86" i="3" s="1"/>
  <c r="C87" i="2"/>
  <c r="B87" i="3" s="1"/>
  <c r="C88" i="2"/>
  <c r="B88" i="3" s="1"/>
  <c r="C89" i="2"/>
  <c r="B89" i="3" s="1"/>
  <c r="C90" i="2"/>
  <c r="B90" i="3" s="1"/>
  <c r="C91" i="2"/>
  <c r="B91" i="3" s="1"/>
  <c r="C92" i="2"/>
  <c r="B92" i="3" s="1"/>
  <c r="C93" i="2"/>
  <c r="B93" i="3" s="1"/>
  <c r="C94" i="2"/>
  <c r="B94" i="3" s="1"/>
  <c r="C95" i="2"/>
  <c r="B95" i="3" s="1"/>
  <c r="C96" i="2"/>
  <c r="B96" i="3" s="1"/>
  <c r="C97" i="2"/>
  <c r="B97" i="3" s="1"/>
  <c r="C98" i="2"/>
  <c r="B98" i="3" s="1"/>
  <c r="C99" i="2"/>
  <c r="B99" i="3" s="1"/>
  <c r="C100" i="2"/>
  <c r="B100" i="3" s="1"/>
  <c r="C101" i="2"/>
  <c r="B101" i="3" s="1"/>
  <c r="C102" i="2"/>
  <c r="B102" i="3" s="1"/>
  <c r="C103" i="2"/>
  <c r="B103" i="3" s="1"/>
  <c r="C104" i="2"/>
  <c r="B104" i="3" s="1"/>
  <c r="C105" i="2"/>
  <c r="B105" i="3" s="1"/>
  <c r="C106" i="2"/>
  <c r="B106" i="3" s="1"/>
  <c r="C107" i="2"/>
  <c r="B107" i="3" s="1"/>
  <c r="C108" i="2"/>
  <c r="B108" i="3" s="1"/>
  <c r="C109" i="2"/>
  <c r="B109" i="3" s="1"/>
  <c r="C110" i="2"/>
  <c r="B110" i="3" s="1"/>
  <c r="C111" i="2"/>
  <c r="B111" i="3" s="1"/>
  <c r="C112" i="2"/>
  <c r="B112" i="3" s="1"/>
  <c r="C113" i="2"/>
  <c r="B113" i="3" s="1"/>
  <c r="C114" i="2"/>
  <c r="B114" i="3" s="1"/>
  <c r="C115" i="2"/>
  <c r="B115" i="3" s="1"/>
  <c r="C116" i="2"/>
  <c r="B116" i="3" s="1"/>
  <c r="C117" i="2"/>
  <c r="B117" i="3" s="1"/>
  <c r="C118" i="2"/>
  <c r="B118" i="3" s="1"/>
  <c r="C119" i="2"/>
  <c r="B119" i="3" s="1"/>
  <c r="C120" i="2"/>
  <c r="B120" i="3" s="1"/>
  <c r="C121" i="2"/>
  <c r="B121" i="3" s="1"/>
  <c r="C122" i="2"/>
  <c r="B122" i="3" s="1"/>
  <c r="C123" i="2"/>
  <c r="B123" i="3" s="1"/>
  <c r="C124" i="2"/>
  <c r="B124" i="3" s="1"/>
  <c r="C125" i="2"/>
  <c r="B125" i="3" s="1"/>
  <c r="C126" i="2"/>
  <c r="B126" i="3" s="1"/>
  <c r="C127" i="2"/>
  <c r="B127" i="3" s="1"/>
  <c r="C128" i="2"/>
  <c r="B128" i="3" s="1"/>
  <c r="C129" i="2"/>
  <c r="B129" i="3" s="1"/>
  <c r="C130" i="2"/>
  <c r="B130" i="3" s="1"/>
  <c r="C131" i="2"/>
  <c r="B131" i="3" s="1"/>
  <c r="C132" i="2"/>
  <c r="B132" i="3" s="1"/>
  <c r="C133" i="2"/>
  <c r="B133" i="3" s="1"/>
  <c r="C134" i="2"/>
  <c r="B134" i="3" s="1"/>
  <c r="C135" i="2"/>
  <c r="B135" i="3" s="1"/>
  <c r="C136" i="2"/>
  <c r="B136" i="3" s="1"/>
  <c r="C137" i="2"/>
  <c r="B137" i="3" s="1"/>
  <c r="C138" i="2"/>
  <c r="B138" i="3" s="1"/>
  <c r="C139" i="2"/>
  <c r="B139" i="3" s="1"/>
  <c r="C140" i="2"/>
  <c r="B140" i="3" s="1"/>
  <c r="C141" i="2"/>
  <c r="B141" i="3" s="1"/>
  <c r="C142" i="2"/>
  <c r="B142" i="3" s="1"/>
  <c r="C143" i="2"/>
  <c r="B143" i="3" s="1"/>
  <c r="C144" i="2"/>
  <c r="B144" i="3" s="1"/>
  <c r="C145" i="2"/>
  <c r="B145" i="3" s="1"/>
  <c r="C146" i="2"/>
  <c r="B146" i="3" s="1"/>
  <c r="C147" i="2"/>
  <c r="B147" i="3" s="1"/>
  <c r="C148" i="2"/>
  <c r="B148" i="3" s="1"/>
  <c r="C149" i="2"/>
  <c r="B149" i="3" s="1"/>
  <c r="C150" i="2"/>
  <c r="B150" i="3" s="1"/>
  <c r="C151" i="2"/>
  <c r="B151" i="3" s="1"/>
  <c r="C152" i="2"/>
  <c r="B152" i="3" s="1"/>
  <c r="C153" i="2"/>
  <c r="B153" i="3" s="1"/>
  <c r="C154" i="2"/>
  <c r="B154" i="3" s="1"/>
  <c r="C155" i="2"/>
  <c r="B155" i="3" s="1"/>
  <c r="C156" i="2"/>
  <c r="B156" i="3" s="1"/>
  <c r="C157" i="2"/>
  <c r="B157" i="3" s="1"/>
  <c r="C158" i="2"/>
  <c r="B158" i="3" s="1"/>
  <c r="C159" i="2"/>
  <c r="B159" i="3" s="1"/>
  <c r="C160" i="2"/>
  <c r="B160" i="3" s="1"/>
  <c r="C161" i="2"/>
  <c r="B161" i="3" s="1"/>
  <c r="C162" i="2"/>
  <c r="B162" i="3" s="1"/>
  <c r="C163" i="2"/>
  <c r="B163" i="3" s="1"/>
  <c r="C164" i="2"/>
  <c r="B164" i="3" s="1"/>
  <c r="C165" i="2"/>
  <c r="B165" i="3" s="1"/>
  <c r="C166" i="2"/>
  <c r="B166" i="3" s="1"/>
  <c r="C167" i="2"/>
  <c r="B167" i="3" s="1"/>
  <c r="C168" i="2"/>
  <c r="B168" i="3" s="1"/>
  <c r="C169" i="2"/>
  <c r="B169" i="3" s="1"/>
  <c r="C170" i="2"/>
  <c r="B170" i="3" s="1"/>
  <c r="C171" i="2"/>
  <c r="B171" i="3" s="1"/>
  <c r="C172" i="2"/>
  <c r="B172" i="3" s="1"/>
  <c r="C173" i="2"/>
  <c r="B173" i="3" s="1"/>
  <c r="C174" i="2"/>
  <c r="B174" i="3" s="1"/>
  <c r="C175" i="2"/>
  <c r="B175" i="3" s="1"/>
  <c r="C176" i="2"/>
  <c r="B176" i="3" s="1"/>
  <c r="C177" i="2"/>
  <c r="B177" i="3" s="1"/>
  <c r="C178" i="2"/>
  <c r="B178" i="3" s="1"/>
  <c r="C179" i="2"/>
  <c r="B179" i="3" s="1"/>
  <c r="C180" i="2"/>
  <c r="B180" i="3" s="1"/>
  <c r="C181" i="2"/>
  <c r="B181" i="3" s="1"/>
  <c r="C182" i="2"/>
  <c r="B182" i="3" s="1"/>
  <c r="C183" i="2"/>
  <c r="B183" i="3" s="1"/>
  <c r="C184" i="2"/>
  <c r="B184" i="3" s="1"/>
  <c r="C185" i="2"/>
  <c r="B185" i="3" s="1"/>
  <c r="C186" i="2"/>
  <c r="B186" i="3" s="1"/>
  <c r="C187" i="2"/>
  <c r="B187" i="3" s="1"/>
  <c r="C188" i="2"/>
  <c r="B188" i="3" s="1"/>
  <c r="C189" i="2"/>
  <c r="B189" i="3" s="1"/>
  <c r="C190" i="2"/>
  <c r="B190" i="3" s="1"/>
  <c r="C191" i="2"/>
  <c r="B191" i="3" s="1"/>
  <c r="C192" i="2"/>
  <c r="B192" i="3" s="1"/>
  <c r="C193" i="2"/>
  <c r="B193" i="3" s="1"/>
  <c r="C194" i="2"/>
  <c r="B194" i="3" s="1"/>
  <c r="C195" i="2"/>
  <c r="B195" i="3" s="1"/>
  <c r="C196" i="2"/>
  <c r="B196" i="3" s="1"/>
  <c r="C197" i="2"/>
  <c r="B197" i="3" s="1"/>
  <c r="C198" i="2"/>
  <c r="B198" i="3" s="1"/>
  <c r="C199" i="2"/>
  <c r="B199" i="3" s="1"/>
  <c r="C200" i="2"/>
  <c r="B200" i="3" s="1"/>
  <c r="C201" i="2"/>
  <c r="B201" i="3" s="1"/>
  <c r="C202" i="2"/>
  <c r="B202" i="3" s="1"/>
  <c r="C203" i="2"/>
  <c r="B203" i="3" s="1"/>
  <c r="C204" i="2"/>
  <c r="B204" i="3" s="1"/>
  <c r="C205" i="2"/>
  <c r="B205" i="3" s="1"/>
  <c r="C206" i="2"/>
  <c r="B206" i="3" s="1"/>
  <c r="C207" i="2"/>
  <c r="B207" i="3" s="1"/>
  <c r="C208" i="2"/>
  <c r="B208" i="3" s="1"/>
  <c r="C209" i="2"/>
  <c r="B209" i="3" s="1"/>
  <c r="C210" i="2"/>
  <c r="B210" i="3" s="1"/>
  <c r="C211" i="2"/>
  <c r="B211" i="3" s="1"/>
  <c r="C212" i="2"/>
  <c r="B212" i="3" s="1"/>
  <c r="C213" i="2"/>
  <c r="B213" i="3" s="1"/>
  <c r="C214" i="2"/>
  <c r="B214" i="3" s="1"/>
  <c r="C215" i="2"/>
  <c r="B215" i="3" s="1"/>
  <c r="C216" i="2"/>
  <c r="B216" i="3" s="1"/>
  <c r="C217" i="2"/>
  <c r="B217" i="3" s="1"/>
  <c r="C218" i="2"/>
  <c r="B218" i="3" s="1"/>
  <c r="C219" i="2"/>
  <c r="B219" i="3" s="1"/>
  <c r="C220" i="2"/>
  <c r="B220" i="3" s="1"/>
  <c r="C221" i="2"/>
  <c r="B221" i="3" s="1"/>
  <c r="C222" i="2"/>
  <c r="B222" i="3" s="1"/>
  <c r="C223" i="2"/>
  <c r="B223" i="3" s="1"/>
  <c r="C224" i="2"/>
  <c r="B224" i="3" s="1"/>
  <c r="C225" i="2"/>
  <c r="B225" i="3" s="1"/>
  <c r="C226" i="2"/>
  <c r="B226" i="3" s="1"/>
  <c r="C227" i="2"/>
  <c r="B227" i="3" s="1"/>
  <c r="C228" i="2"/>
  <c r="B228" i="3" s="1"/>
  <c r="C229" i="2"/>
  <c r="B229" i="3" s="1"/>
  <c r="C230" i="2"/>
  <c r="B230" i="3" s="1"/>
  <c r="C231" i="2"/>
  <c r="B231" i="3" s="1"/>
  <c r="C232" i="2"/>
  <c r="B232" i="3" s="1"/>
  <c r="C233" i="2"/>
  <c r="B233" i="3" s="1"/>
  <c r="C234" i="2"/>
  <c r="B234" i="3" s="1"/>
  <c r="C235" i="2"/>
  <c r="B235" i="3" s="1"/>
  <c r="C236" i="2"/>
  <c r="B236" i="3" s="1"/>
  <c r="C237" i="2"/>
  <c r="B237" i="3" s="1"/>
  <c r="C238" i="2"/>
  <c r="B238" i="3" s="1"/>
  <c r="C239" i="2"/>
  <c r="B239" i="3" s="1"/>
  <c r="C240" i="2"/>
  <c r="B240" i="3" s="1"/>
  <c r="C241" i="2"/>
  <c r="B241" i="3" s="1"/>
  <c r="C242" i="2"/>
  <c r="B242" i="3" s="1"/>
  <c r="C243" i="2"/>
  <c r="B243" i="3" s="1"/>
  <c r="C244" i="2"/>
  <c r="B244" i="3" s="1"/>
  <c r="C245" i="2"/>
  <c r="B245" i="3" s="1"/>
  <c r="C246" i="2"/>
  <c r="B246" i="3" s="1"/>
  <c r="C247" i="2"/>
  <c r="B247" i="3" s="1"/>
  <c r="C248" i="2"/>
  <c r="B248" i="3" s="1"/>
  <c r="C249" i="2"/>
  <c r="B249" i="3" s="1"/>
  <c r="C250" i="2"/>
  <c r="B250" i="3" s="1"/>
  <c r="C251" i="2"/>
  <c r="B251" i="3" s="1"/>
  <c r="C252" i="2"/>
  <c r="B252" i="3" s="1"/>
  <c r="C253" i="2"/>
  <c r="B253" i="3" s="1"/>
  <c r="C254" i="2"/>
  <c r="B254" i="3" s="1"/>
  <c r="C255" i="2"/>
  <c r="B255" i="3" s="1"/>
  <c r="C256" i="2"/>
  <c r="B256" i="3" s="1"/>
  <c r="C257" i="2"/>
  <c r="B257" i="3" s="1"/>
  <c r="C258" i="2"/>
  <c r="B258" i="3" s="1"/>
  <c r="C259" i="2"/>
  <c r="B259" i="3" s="1"/>
  <c r="C260" i="2"/>
  <c r="B260" i="3" s="1"/>
  <c r="C261" i="2"/>
  <c r="B261" i="3" s="1"/>
  <c r="C262" i="2"/>
  <c r="B262" i="3" s="1"/>
  <c r="C263" i="2"/>
  <c r="B263" i="3" s="1"/>
  <c r="C264" i="2"/>
  <c r="B264" i="3" s="1"/>
  <c r="C265" i="2"/>
  <c r="B265" i="3" s="1"/>
  <c r="C266" i="2"/>
  <c r="B266" i="3" s="1"/>
  <c r="C267" i="2"/>
  <c r="B267" i="3" s="1"/>
  <c r="C268" i="2"/>
  <c r="B268" i="3" s="1"/>
  <c r="C269" i="2"/>
  <c r="B269" i="3" s="1"/>
  <c r="C270" i="2"/>
  <c r="B270" i="3" s="1"/>
  <c r="C271" i="2"/>
  <c r="B271" i="3" s="1"/>
  <c r="C272" i="2"/>
  <c r="B272" i="3" s="1"/>
  <c r="C273" i="2"/>
  <c r="B273" i="3" s="1"/>
  <c r="C274" i="2"/>
  <c r="B274" i="3" s="1"/>
  <c r="C275" i="2"/>
  <c r="B275" i="3" s="1"/>
  <c r="C276" i="2"/>
  <c r="B276" i="3" s="1"/>
  <c r="C277" i="2"/>
  <c r="B277" i="3" s="1"/>
  <c r="C278" i="2"/>
  <c r="B278" i="3" s="1"/>
  <c r="C279" i="2"/>
  <c r="B279" i="3" s="1"/>
  <c r="C280" i="2"/>
  <c r="B280" i="3" s="1"/>
  <c r="C281" i="2"/>
  <c r="B281" i="3" s="1"/>
  <c r="C282" i="2"/>
  <c r="B282" i="3" s="1"/>
  <c r="C283" i="2"/>
  <c r="B283" i="3" s="1"/>
  <c r="C284" i="2"/>
  <c r="B284" i="3" s="1"/>
  <c r="C285" i="2"/>
  <c r="B285" i="3" s="1"/>
  <c r="C286" i="2"/>
  <c r="B286" i="3" s="1"/>
  <c r="C287" i="2"/>
  <c r="B287" i="3" s="1"/>
  <c r="C288" i="2"/>
  <c r="B288" i="3" s="1"/>
  <c r="C289" i="2"/>
  <c r="B289" i="3" s="1"/>
  <c r="C290" i="2"/>
  <c r="B290" i="3" s="1"/>
  <c r="C291" i="2"/>
  <c r="B291" i="3" s="1"/>
  <c r="C292" i="2"/>
  <c r="B292" i="3" s="1"/>
  <c r="C293" i="2"/>
  <c r="B293" i="3" s="1"/>
  <c r="C294" i="2"/>
  <c r="B294" i="3" s="1"/>
  <c r="C295" i="2"/>
  <c r="B295" i="3" s="1"/>
  <c r="C296" i="2"/>
  <c r="B296" i="3" s="1"/>
  <c r="C297" i="2"/>
  <c r="B297" i="3" s="1"/>
  <c r="C298" i="2"/>
  <c r="B298" i="3" s="1"/>
  <c r="C299" i="2"/>
  <c r="B299" i="3" s="1"/>
  <c r="C300" i="2"/>
  <c r="B300" i="3" s="1"/>
  <c r="C301" i="2"/>
  <c r="B301" i="3" s="1"/>
  <c r="C302" i="2"/>
  <c r="B302" i="3" s="1"/>
  <c r="C303" i="2"/>
  <c r="B303" i="3" s="1"/>
  <c r="C304" i="2"/>
  <c r="B304" i="3" s="1"/>
  <c r="C305" i="2"/>
  <c r="B305" i="3" s="1"/>
  <c r="C306" i="2"/>
  <c r="B306" i="3" s="1"/>
  <c r="C307" i="2"/>
  <c r="B307" i="3" s="1"/>
  <c r="C308" i="2"/>
  <c r="B308" i="3" s="1"/>
  <c r="C309" i="2"/>
  <c r="B309" i="3" s="1"/>
  <c r="C310" i="2"/>
  <c r="B310" i="3" s="1"/>
  <c r="C311" i="2"/>
  <c r="B311" i="3" s="1"/>
  <c r="C312" i="2"/>
  <c r="B312" i="3" s="1"/>
  <c r="C313" i="2"/>
  <c r="B313" i="3" s="1"/>
  <c r="C314" i="2"/>
  <c r="B314" i="3" s="1"/>
  <c r="C315" i="2"/>
  <c r="B315" i="3" s="1"/>
  <c r="C316" i="2"/>
  <c r="B316" i="3" s="1"/>
  <c r="C317" i="2"/>
  <c r="B317" i="3" s="1"/>
  <c r="C318" i="2"/>
  <c r="B318" i="3" s="1"/>
  <c r="C319" i="2"/>
  <c r="B319" i="3" s="1"/>
  <c r="C320" i="2"/>
  <c r="B320" i="3" s="1"/>
  <c r="C321" i="2"/>
  <c r="B321" i="3" s="1"/>
  <c r="C322" i="2"/>
  <c r="B322" i="3" s="1"/>
  <c r="C323" i="2"/>
  <c r="B323" i="3" s="1"/>
  <c r="C324" i="2"/>
  <c r="B324" i="3" s="1"/>
  <c r="C325" i="2"/>
  <c r="B325" i="3" s="1"/>
  <c r="C326" i="2"/>
  <c r="B326" i="3" s="1"/>
  <c r="C327" i="2"/>
  <c r="B327" i="3" s="1"/>
  <c r="C328" i="2"/>
  <c r="B328" i="3" s="1"/>
  <c r="C329" i="2"/>
  <c r="B329" i="3" s="1"/>
  <c r="C330" i="2"/>
  <c r="B330" i="3" s="1"/>
  <c r="C331" i="2"/>
  <c r="B331" i="3" s="1"/>
  <c r="C332" i="2"/>
  <c r="B332" i="3" s="1"/>
  <c r="C333" i="2"/>
  <c r="B333" i="3" s="1"/>
  <c r="C334" i="2"/>
  <c r="B334" i="3" s="1"/>
  <c r="C335" i="2"/>
  <c r="B335" i="3" s="1"/>
  <c r="C336" i="2"/>
  <c r="B336" i="3" s="1"/>
  <c r="C337" i="2"/>
  <c r="B337" i="3" s="1"/>
  <c r="C338" i="2"/>
  <c r="B338" i="3" s="1"/>
  <c r="C339" i="2"/>
  <c r="B339" i="3" s="1"/>
  <c r="C340" i="2"/>
  <c r="B340" i="3" s="1"/>
  <c r="C341" i="2"/>
  <c r="B341" i="3" s="1"/>
  <c r="C342" i="2"/>
  <c r="B342" i="3" s="1"/>
  <c r="C343" i="2"/>
  <c r="B343" i="3" s="1"/>
  <c r="C344" i="2"/>
  <c r="B344" i="3" s="1"/>
  <c r="C345" i="2"/>
  <c r="B345" i="3" s="1"/>
  <c r="C346" i="2"/>
  <c r="B346" i="3" s="1"/>
  <c r="C347" i="2"/>
  <c r="B347" i="3" s="1"/>
  <c r="C348" i="2"/>
  <c r="B348" i="3" s="1"/>
  <c r="C349" i="2"/>
  <c r="B349" i="3" s="1"/>
  <c r="C350" i="2"/>
  <c r="B350" i="3" s="1"/>
  <c r="C351" i="2"/>
  <c r="B351" i="3" s="1"/>
  <c r="C352" i="2"/>
  <c r="B352" i="3" s="1"/>
  <c r="C353" i="2"/>
  <c r="B353" i="3" s="1"/>
  <c r="C354" i="2"/>
  <c r="B354" i="3" s="1"/>
  <c r="C355" i="2"/>
  <c r="B355" i="3" s="1"/>
  <c r="C356" i="2"/>
  <c r="B356" i="3" s="1"/>
  <c r="C357" i="2"/>
  <c r="B357" i="3" s="1"/>
  <c r="C358" i="2"/>
  <c r="B358" i="3" s="1"/>
  <c r="C359" i="2"/>
  <c r="B359" i="3" s="1"/>
  <c r="C360" i="2"/>
  <c r="B360" i="3" s="1"/>
  <c r="C361" i="2"/>
  <c r="B361" i="3" s="1"/>
  <c r="C362" i="2"/>
  <c r="B362" i="3" s="1"/>
  <c r="C363" i="2"/>
  <c r="B363" i="3" s="1"/>
  <c r="C364" i="2"/>
  <c r="B364" i="3" s="1"/>
  <c r="C365" i="2"/>
  <c r="B365" i="3" s="1"/>
  <c r="C366" i="2"/>
  <c r="B366" i="3" s="1"/>
  <c r="C367" i="2"/>
  <c r="B367" i="3" s="1"/>
  <c r="C368" i="2"/>
  <c r="B368" i="3" s="1"/>
  <c r="C369" i="2"/>
  <c r="B369" i="3" s="1"/>
  <c r="C370" i="2"/>
  <c r="B370" i="3" s="1"/>
  <c r="C371" i="2"/>
  <c r="B371" i="3" s="1"/>
  <c r="C372" i="2"/>
  <c r="B372" i="3" s="1"/>
  <c r="C373" i="2"/>
  <c r="B373" i="3" s="1"/>
  <c r="C374" i="2"/>
  <c r="B374" i="3" s="1"/>
  <c r="C375" i="2"/>
  <c r="B375" i="3" s="1"/>
  <c r="C376" i="2"/>
  <c r="B376" i="3" s="1"/>
  <c r="C377" i="2"/>
  <c r="B377" i="3" s="1"/>
  <c r="C378" i="2"/>
  <c r="B378" i="3" s="1"/>
  <c r="C379" i="2"/>
  <c r="B379" i="3" s="1"/>
  <c r="C380" i="2"/>
  <c r="B380" i="3" s="1"/>
  <c r="C381" i="2"/>
  <c r="B381" i="3" s="1"/>
  <c r="C382" i="2"/>
  <c r="B382" i="3" s="1"/>
  <c r="C383" i="2"/>
  <c r="B383" i="3" s="1"/>
  <c r="C384" i="2"/>
  <c r="B384" i="3" s="1"/>
  <c r="C385" i="2"/>
  <c r="B385" i="3" s="1"/>
  <c r="C386" i="2"/>
  <c r="B386" i="3" s="1"/>
  <c r="C387" i="2"/>
  <c r="B387" i="3" s="1"/>
  <c r="C388" i="2"/>
  <c r="B388" i="3" s="1"/>
  <c r="C389" i="2"/>
  <c r="B389" i="3" s="1"/>
  <c r="C390" i="2"/>
  <c r="B390" i="3" s="1"/>
  <c r="C391" i="2"/>
  <c r="B391" i="3" s="1"/>
  <c r="C392" i="2"/>
  <c r="B392" i="3" s="1"/>
  <c r="C393" i="2"/>
  <c r="B393" i="3" s="1"/>
  <c r="C394" i="2"/>
  <c r="B394" i="3" s="1"/>
  <c r="C395" i="2"/>
  <c r="B395" i="3" s="1"/>
  <c r="C396" i="2"/>
  <c r="B396" i="3" s="1"/>
  <c r="C397" i="2"/>
  <c r="B397" i="3" s="1"/>
  <c r="C398" i="2"/>
  <c r="B398" i="3" s="1"/>
  <c r="C399" i="2"/>
  <c r="B399" i="3" s="1"/>
  <c r="C400" i="2"/>
  <c r="B400" i="3" s="1"/>
  <c r="C401" i="2"/>
  <c r="B401" i="3" s="1"/>
  <c r="C402" i="2"/>
  <c r="B402" i="3" s="1"/>
  <c r="C403" i="2"/>
  <c r="B403" i="3" s="1"/>
  <c r="C404" i="2"/>
  <c r="B404" i="3" s="1"/>
  <c r="C405" i="2"/>
  <c r="B405" i="3" s="1"/>
  <c r="C406" i="2"/>
  <c r="B406" i="3" s="1"/>
  <c r="C407" i="2"/>
  <c r="B407" i="3" s="1"/>
  <c r="C408" i="2"/>
  <c r="B408" i="3" s="1"/>
  <c r="C409" i="2"/>
  <c r="B409" i="3" s="1"/>
  <c r="C410" i="2"/>
  <c r="B410" i="3" s="1"/>
  <c r="C411" i="2"/>
  <c r="B411" i="3" s="1"/>
  <c r="C412" i="2"/>
  <c r="B412" i="3" s="1"/>
  <c r="C413" i="2"/>
  <c r="B413" i="3" s="1"/>
  <c r="C414" i="2"/>
  <c r="B414" i="3" s="1"/>
  <c r="C415" i="2"/>
  <c r="B415" i="3" s="1"/>
  <c r="C416" i="2"/>
  <c r="B416" i="3" s="1"/>
  <c r="C417" i="2"/>
  <c r="B417" i="3" s="1"/>
  <c r="C418" i="2"/>
  <c r="B418" i="3" s="1"/>
  <c r="C419" i="2"/>
  <c r="B419" i="3" s="1"/>
  <c r="C420" i="2"/>
  <c r="B420" i="3" s="1"/>
  <c r="C421" i="2"/>
  <c r="B421" i="3" s="1"/>
  <c r="C422" i="2"/>
  <c r="B422" i="3" s="1"/>
  <c r="C423" i="2"/>
  <c r="B423" i="3" s="1"/>
  <c r="C424" i="2"/>
  <c r="B424" i="3" s="1"/>
  <c r="C425" i="2"/>
  <c r="B425" i="3" s="1"/>
  <c r="C426" i="2"/>
  <c r="B426" i="3" s="1"/>
  <c r="C427" i="2"/>
  <c r="B427" i="3" s="1"/>
  <c r="C428" i="2"/>
  <c r="B428" i="3" s="1"/>
  <c r="C429" i="2"/>
  <c r="B429" i="3" s="1"/>
  <c r="C430" i="2"/>
  <c r="B430" i="3" s="1"/>
  <c r="C431" i="2"/>
  <c r="B431" i="3" s="1"/>
  <c r="C432" i="2"/>
  <c r="B432" i="3" s="1"/>
  <c r="C433" i="2"/>
  <c r="B433" i="3" s="1"/>
  <c r="C434" i="2"/>
  <c r="B434" i="3" s="1"/>
  <c r="C435" i="2"/>
  <c r="B435" i="3" s="1"/>
  <c r="C436" i="2"/>
  <c r="B436" i="3" s="1"/>
  <c r="C437" i="2"/>
  <c r="B437" i="3" s="1"/>
  <c r="C438" i="2"/>
  <c r="B438" i="3" s="1"/>
  <c r="C439" i="2"/>
  <c r="B439" i="3" s="1"/>
  <c r="C440" i="2"/>
  <c r="B440" i="3" s="1"/>
  <c r="C441" i="2"/>
  <c r="B441" i="3" s="1"/>
  <c r="C442" i="2"/>
  <c r="B442" i="3" s="1"/>
  <c r="C443" i="2"/>
  <c r="B443" i="3" s="1"/>
  <c r="C444" i="2"/>
  <c r="B444" i="3" s="1"/>
  <c r="C445" i="2"/>
  <c r="B445" i="3" s="1"/>
  <c r="C446" i="2"/>
  <c r="B446" i="3" s="1"/>
  <c r="C447" i="2"/>
  <c r="B447" i="3" s="1"/>
  <c r="C448" i="2"/>
  <c r="B448" i="3" s="1"/>
  <c r="C449" i="2"/>
  <c r="B449" i="3" s="1"/>
  <c r="C450" i="2"/>
  <c r="B450" i="3" s="1"/>
  <c r="C451" i="2"/>
  <c r="B451" i="3" s="1"/>
  <c r="C452" i="2"/>
  <c r="B452" i="3" s="1"/>
  <c r="C453" i="2"/>
  <c r="B453" i="3" s="1"/>
  <c r="C454" i="2"/>
  <c r="B454" i="3" s="1"/>
  <c r="C455" i="2"/>
  <c r="B455" i="3" s="1"/>
  <c r="C456" i="2"/>
  <c r="B456" i="3" s="1"/>
  <c r="C457" i="2"/>
  <c r="B457" i="3" s="1"/>
  <c r="C458" i="2"/>
  <c r="B458" i="3" s="1"/>
  <c r="C459" i="2"/>
  <c r="B459" i="3" s="1"/>
  <c r="C460" i="2"/>
  <c r="B460" i="3" s="1"/>
  <c r="C461" i="2"/>
  <c r="B461" i="3" s="1"/>
  <c r="C462" i="2"/>
  <c r="B462" i="3" s="1"/>
  <c r="C463" i="2"/>
  <c r="B463" i="3" s="1"/>
  <c r="C464" i="2"/>
  <c r="B464" i="3" s="1"/>
  <c r="C465" i="2"/>
  <c r="B465" i="3" s="1"/>
  <c r="C466" i="2"/>
  <c r="B466" i="3" s="1"/>
  <c r="C467" i="2"/>
  <c r="B467" i="3" s="1"/>
  <c r="C468" i="2"/>
  <c r="B468" i="3" s="1"/>
  <c r="C469" i="2"/>
  <c r="B469" i="3" s="1"/>
  <c r="C470" i="2"/>
  <c r="B470" i="3" s="1"/>
  <c r="C471" i="2"/>
  <c r="B471" i="3" s="1"/>
  <c r="C472" i="2"/>
  <c r="B472" i="3" s="1"/>
  <c r="C473" i="2"/>
  <c r="B473" i="3" s="1"/>
  <c r="C474" i="2"/>
  <c r="B474" i="3" s="1"/>
  <c r="C475" i="2"/>
  <c r="B475" i="3" s="1"/>
  <c r="C476" i="2"/>
  <c r="B476" i="3" s="1"/>
  <c r="C477" i="2"/>
  <c r="B477" i="3" s="1"/>
  <c r="C478" i="2"/>
  <c r="B478" i="3" s="1"/>
  <c r="C479" i="2"/>
  <c r="B479" i="3" s="1"/>
  <c r="C480" i="2"/>
  <c r="B480" i="3" s="1"/>
  <c r="C481" i="2"/>
  <c r="B481" i="3" s="1"/>
  <c r="C482" i="2"/>
  <c r="B482" i="3" s="1"/>
  <c r="C483" i="2"/>
  <c r="B483" i="3" s="1"/>
  <c r="C484" i="2"/>
  <c r="B484" i="3" s="1"/>
  <c r="C485" i="2"/>
  <c r="B485" i="3" s="1"/>
  <c r="C486" i="2"/>
  <c r="B486" i="3" s="1"/>
  <c r="C487" i="2"/>
  <c r="B487" i="3" s="1"/>
  <c r="C488" i="2"/>
  <c r="B488" i="3" s="1"/>
  <c r="C489" i="2"/>
  <c r="B489" i="3" s="1"/>
  <c r="C490" i="2"/>
  <c r="B490" i="3" s="1"/>
  <c r="C491" i="2"/>
  <c r="B491" i="3" s="1"/>
  <c r="C492" i="2"/>
  <c r="B492" i="3" s="1"/>
  <c r="C493" i="2"/>
  <c r="B493" i="3" s="1"/>
  <c r="C494" i="2"/>
  <c r="B494" i="3" s="1"/>
  <c r="C495" i="2"/>
  <c r="B495" i="3" s="1"/>
  <c r="C496" i="2"/>
  <c r="B496" i="3" s="1"/>
  <c r="C497" i="2"/>
  <c r="B497" i="3" s="1"/>
  <c r="C498" i="2"/>
  <c r="B498" i="3" s="1"/>
  <c r="C499" i="2"/>
  <c r="B499" i="3" s="1"/>
  <c r="C500" i="2"/>
  <c r="B500" i="3" s="1"/>
  <c r="C501" i="2"/>
  <c r="B501" i="3" s="1"/>
  <c r="C502" i="2"/>
  <c r="B502" i="3" s="1"/>
  <c r="C503" i="2"/>
  <c r="B503" i="3" s="1"/>
  <c r="C504" i="2"/>
  <c r="B504" i="3" s="1"/>
  <c r="C505" i="2"/>
  <c r="B505" i="3" s="1"/>
  <c r="C506" i="2"/>
  <c r="B506" i="3" s="1"/>
  <c r="C507" i="2"/>
  <c r="B507" i="3" s="1"/>
  <c r="C508" i="2"/>
  <c r="B508" i="3" s="1"/>
  <c r="C509" i="2"/>
  <c r="B509" i="3" s="1"/>
  <c r="C510" i="2"/>
  <c r="B510" i="3" s="1"/>
  <c r="C511" i="2"/>
  <c r="B511" i="3" s="1"/>
  <c r="C512" i="2"/>
  <c r="B512" i="3" s="1"/>
  <c r="C513" i="2"/>
  <c r="B513" i="3" s="1"/>
  <c r="C514" i="2"/>
  <c r="B514" i="3" s="1"/>
  <c r="C515" i="2"/>
  <c r="B515" i="3" s="1"/>
  <c r="C516" i="2"/>
  <c r="B516" i="3" s="1"/>
  <c r="C517" i="2"/>
  <c r="B517" i="3" s="1"/>
  <c r="C518" i="2"/>
  <c r="B518" i="3" s="1"/>
  <c r="C519" i="2"/>
  <c r="B519" i="3" s="1"/>
  <c r="C520" i="2"/>
  <c r="B520" i="3" s="1"/>
  <c r="C521" i="2"/>
  <c r="B521" i="3" s="1"/>
  <c r="C522" i="2"/>
  <c r="B522" i="3" s="1"/>
  <c r="C523" i="2"/>
  <c r="B523" i="3" s="1"/>
  <c r="C524" i="2"/>
  <c r="B524" i="3" s="1"/>
  <c r="C525" i="2"/>
  <c r="B525" i="3" s="1"/>
  <c r="C526" i="2"/>
  <c r="B526" i="3" s="1"/>
  <c r="C527" i="2"/>
  <c r="B527" i="3" s="1"/>
  <c r="C528" i="2"/>
  <c r="B528" i="3" s="1"/>
  <c r="C529" i="2"/>
  <c r="B529" i="3" s="1"/>
  <c r="C530" i="2"/>
  <c r="B530" i="3" s="1"/>
  <c r="C531" i="2"/>
  <c r="B531" i="3" s="1"/>
  <c r="C532" i="2"/>
  <c r="B532" i="3" s="1"/>
  <c r="C533" i="2"/>
  <c r="B533" i="3" s="1"/>
  <c r="C534" i="2"/>
  <c r="B534" i="3" s="1"/>
  <c r="C535" i="2"/>
  <c r="B535" i="3" s="1"/>
  <c r="C536" i="2"/>
  <c r="B536" i="3" s="1"/>
  <c r="C537" i="2"/>
  <c r="B537" i="3" s="1"/>
  <c r="C538" i="2"/>
  <c r="B538" i="3" s="1"/>
  <c r="C539" i="2"/>
  <c r="B539" i="3" s="1"/>
  <c r="C540" i="2"/>
  <c r="B540" i="3" s="1"/>
  <c r="C541" i="2"/>
  <c r="B541" i="3" s="1"/>
  <c r="C542" i="2"/>
  <c r="B542" i="3" s="1"/>
  <c r="C543" i="2"/>
  <c r="B543" i="3" s="1"/>
  <c r="C544" i="2"/>
  <c r="B544" i="3" s="1"/>
  <c r="C545" i="2"/>
  <c r="B545" i="3" s="1"/>
  <c r="C546" i="2"/>
  <c r="B546" i="3" s="1"/>
  <c r="C547" i="2"/>
  <c r="B547" i="3" s="1"/>
  <c r="C548" i="2"/>
  <c r="B548" i="3" s="1"/>
  <c r="C549" i="2"/>
  <c r="B549" i="3" s="1"/>
  <c r="C550" i="2"/>
  <c r="B550" i="3" s="1"/>
  <c r="C551" i="2"/>
  <c r="B551" i="3" s="1"/>
  <c r="C552" i="2"/>
  <c r="B552" i="3" s="1"/>
  <c r="C553" i="2"/>
  <c r="B553" i="3" s="1"/>
  <c r="C554" i="2"/>
  <c r="B554" i="3" s="1"/>
  <c r="C555" i="2"/>
  <c r="B555" i="3" s="1"/>
  <c r="C556" i="2"/>
  <c r="B556" i="3" s="1"/>
  <c r="C557" i="2"/>
  <c r="B557" i="3" s="1"/>
  <c r="C558" i="2"/>
  <c r="B558" i="3" s="1"/>
  <c r="C559" i="2"/>
  <c r="B559" i="3" s="1"/>
  <c r="C560" i="2"/>
  <c r="B560" i="3" s="1"/>
  <c r="C561" i="2"/>
  <c r="B561" i="3" s="1"/>
  <c r="C562" i="2"/>
  <c r="B562" i="3" s="1"/>
  <c r="C563" i="2"/>
  <c r="B563" i="3" s="1"/>
  <c r="C564" i="2"/>
  <c r="B564" i="3" s="1"/>
  <c r="C565" i="2"/>
  <c r="B565" i="3" s="1"/>
  <c r="C566" i="2"/>
  <c r="B566" i="3" s="1"/>
  <c r="C567" i="2"/>
  <c r="B567" i="3" s="1"/>
  <c r="C568" i="2"/>
  <c r="B568" i="3" s="1"/>
  <c r="C569" i="2"/>
  <c r="B569" i="3" s="1"/>
  <c r="C570" i="2"/>
  <c r="B570" i="3" s="1"/>
  <c r="C571" i="2"/>
  <c r="B571" i="3" s="1"/>
  <c r="C572" i="2"/>
  <c r="B572" i="3" s="1"/>
  <c r="C573" i="2"/>
  <c r="B573" i="3" s="1"/>
  <c r="C574" i="2"/>
  <c r="B574" i="3" s="1"/>
  <c r="C575" i="2"/>
  <c r="B575" i="3" s="1"/>
  <c r="C576" i="2"/>
  <c r="B576" i="3" s="1"/>
  <c r="C577" i="2"/>
  <c r="B577" i="3" s="1"/>
  <c r="C578" i="2"/>
  <c r="B578" i="3" s="1"/>
  <c r="C579" i="2"/>
  <c r="B579" i="3" s="1"/>
  <c r="C580" i="2"/>
  <c r="B580" i="3" s="1"/>
  <c r="C581" i="2"/>
  <c r="B581" i="3" s="1"/>
  <c r="C582" i="2"/>
  <c r="B582" i="3" s="1"/>
  <c r="C583" i="2"/>
  <c r="B583" i="3" s="1"/>
  <c r="C584" i="2"/>
  <c r="B584" i="3" s="1"/>
  <c r="C585" i="2"/>
  <c r="B585" i="3" s="1"/>
  <c r="C586" i="2"/>
  <c r="B586" i="3" s="1"/>
  <c r="C587" i="2"/>
  <c r="B587" i="3" s="1"/>
  <c r="C588" i="2"/>
  <c r="B588" i="3" s="1"/>
  <c r="C589" i="2"/>
  <c r="B589" i="3" s="1"/>
  <c r="C590" i="2"/>
  <c r="B590" i="3" s="1"/>
  <c r="C591" i="2"/>
  <c r="B591" i="3" s="1"/>
  <c r="C592" i="2"/>
  <c r="B592" i="3" s="1"/>
  <c r="C593" i="2"/>
  <c r="B593" i="3" s="1"/>
  <c r="C594" i="2"/>
  <c r="B594" i="3" s="1"/>
  <c r="C595" i="2"/>
  <c r="B595" i="3" s="1"/>
  <c r="C596" i="2"/>
  <c r="B596" i="3" s="1"/>
  <c r="C597" i="2"/>
  <c r="B597" i="3" s="1"/>
  <c r="C598" i="2"/>
  <c r="B598" i="3" s="1"/>
  <c r="C599" i="2"/>
  <c r="B599" i="3" s="1"/>
  <c r="C600" i="2"/>
  <c r="B600" i="3" s="1"/>
  <c r="C601" i="2"/>
  <c r="B601" i="3" s="1"/>
  <c r="C602" i="2"/>
  <c r="B602" i="3" s="1"/>
  <c r="C603" i="2"/>
  <c r="B603" i="3" s="1"/>
  <c r="C604" i="2"/>
  <c r="B604" i="3" s="1"/>
  <c r="C605" i="2"/>
  <c r="B605" i="3" s="1"/>
  <c r="C606" i="2"/>
  <c r="B606" i="3" s="1"/>
  <c r="C607" i="2"/>
  <c r="B607" i="3" s="1"/>
  <c r="C608" i="2"/>
  <c r="B608" i="3" s="1"/>
  <c r="C609" i="2"/>
  <c r="B609" i="3" s="1"/>
  <c r="C610" i="2"/>
  <c r="B610" i="3" s="1"/>
  <c r="C611" i="2"/>
  <c r="B611" i="3" s="1"/>
  <c r="C612" i="2"/>
  <c r="B612" i="3" s="1"/>
  <c r="C613" i="2"/>
  <c r="B613" i="3" s="1"/>
  <c r="C614" i="2"/>
  <c r="B614" i="3" s="1"/>
  <c r="C615" i="2"/>
  <c r="B615" i="3" s="1"/>
  <c r="C616" i="2"/>
  <c r="B616" i="3" s="1"/>
  <c r="C617" i="2"/>
  <c r="B617" i="3" s="1"/>
  <c r="C618" i="2"/>
  <c r="B618" i="3" s="1"/>
  <c r="C619" i="2"/>
  <c r="B619" i="3" s="1"/>
  <c r="C620" i="2"/>
  <c r="B620" i="3" s="1"/>
  <c r="C621" i="2"/>
  <c r="B621" i="3" s="1"/>
  <c r="C622" i="2"/>
  <c r="B622" i="3" s="1"/>
  <c r="C623" i="2"/>
  <c r="B623" i="3" s="1"/>
  <c r="C624" i="2"/>
  <c r="B624" i="3" s="1"/>
  <c r="C625" i="2"/>
  <c r="B625" i="3" s="1"/>
  <c r="C626" i="2"/>
  <c r="B626" i="3" s="1"/>
  <c r="C627" i="2"/>
  <c r="B627" i="3" s="1"/>
  <c r="C628" i="2"/>
  <c r="B628" i="3" s="1"/>
  <c r="C629" i="2"/>
  <c r="B629" i="3" s="1"/>
  <c r="C630" i="2"/>
  <c r="B630" i="3" s="1"/>
  <c r="C631" i="2"/>
  <c r="B631" i="3" s="1"/>
  <c r="C632" i="2"/>
  <c r="B632" i="3" s="1"/>
  <c r="C633" i="2"/>
  <c r="B633" i="3" s="1"/>
  <c r="C634" i="2"/>
  <c r="B634" i="3" s="1"/>
  <c r="C635" i="2"/>
  <c r="B635" i="3" s="1"/>
  <c r="C636" i="2"/>
  <c r="B636" i="3" s="1"/>
  <c r="C637" i="2"/>
  <c r="B637" i="3" s="1"/>
  <c r="C638" i="2"/>
  <c r="B638" i="3" s="1"/>
  <c r="C639" i="2"/>
  <c r="B639" i="3" s="1"/>
  <c r="C640" i="2"/>
  <c r="B640" i="3" s="1"/>
  <c r="C641" i="2"/>
  <c r="B641" i="3" s="1"/>
  <c r="C642" i="2"/>
  <c r="B642" i="3" s="1"/>
  <c r="C643" i="2"/>
  <c r="B643" i="3" s="1"/>
  <c r="C644" i="2"/>
  <c r="B644" i="3" s="1"/>
  <c r="C645" i="2"/>
  <c r="B645" i="3" s="1"/>
  <c r="C646" i="2"/>
  <c r="B646" i="3" s="1"/>
  <c r="C647" i="2"/>
  <c r="B647" i="3" s="1"/>
  <c r="C648" i="2"/>
  <c r="B648" i="3" s="1"/>
  <c r="C649" i="2"/>
  <c r="B649" i="3" s="1"/>
  <c r="C650" i="2"/>
  <c r="B650" i="3" s="1"/>
  <c r="C651" i="2"/>
  <c r="B651" i="3" s="1"/>
  <c r="C652" i="2"/>
  <c r="B652" i="3" s="1"/>
  <c r="C653" i="2"/>
  <c r="B653" i="3" s="1"/>
  <c r="C654" i="2"/>
  <c r="B654" i="3" s="1"/>
  <c r="C655" i="2"/>
  <c r="B655" i="3" s="1"/>
  <c r="C656" i="2"/>
  <c r="B656" i="3" s="1"/>
  <c r="C657" i="2"/>
  <c r="B657" i="3" s="1"/>
  <c r="C658" i="2"/>
  <c r="B658" i="3" s="1"/>
  <c r="C659" i="2"/>
  <c r="B659" i="3" s="1"/>
  <c r="C660" i="2"/>
  <c r="B660" i="3" s="1"/>
  <c r="C661" i="2"/>
  <c r="B661" i="3" s="1"/>
  <c r="C662" i="2"/>
  <c r="B662" i="3" s="1"/>
  <c r="C663" i="2"/>
  <c r="B663" i="3" s="1"/>
  <c r="C664" i="2"/>
  <c r="B664" i="3" s="1"/>
  <c r="C665" i="2"/>
  <c r="B665" i="3" s="1"/>
  <c r="C666" i="2"/>
  <c r="B666" i="3" s="1"/>
  <c r="C667" i="2"/>
  <c r="B667" i="3" s="1"/>
  <c r="C668" i="2"/>
  <c r="B668" i="3" s="1"/>
  <c r="C669" i="2"/>
  <c r="B669" i="3" s="1"/>
  <c r="C670" i="2"/>
  <c r="B670" i="3" s="1"/>
  <c r="C671" i="2"/>
  <c r="B671" i="3" s="1"/>
  <c r="C672" i="2"/>
  <c r="B672" i="3" s="1"/>
  <c r="C673" i="2"/>
  <c r="B673" i="3" s="1"/>
  <c r="C674" i="2"/>
  <c r="B674" i="3" s="1"/>
  <c r="C675" i="2"/>
  <c r="B675" i="3" s="1"/>
  <c r="C676" i="2"/>
  <c r="B676" i="3" s="1"/>
  <c r="C677" i="2"/>
  <c r="B677" i="3" s="1"/>
  <c r="C678" i="2"/>
  <c r="B678" i="3" s="1"/>
  <c r="C679" i="2"/>
  <c r="B679" i="3" s="1"/>
  <c r="C680" i="2"/>
  <c r="B680" i="3" s="1"/>
  <c r="C681" i="2"/>
  <c r="B681" i="3" s="1"/>
  <c r="C682" i="2"/>
  <c r="B682" i="3" s="1"/>
  <c r="C683" i="2"/>
  <c r="B683" i="3" s="1"/>
  <c r="C684" i="2"/>
  <c r="B684" i="3" s="1"/>
  <c r="C685" i="2"/>
  <c r="B685" i="3" s="1"/>
  <c r="C686" i="2"/>
  <c r="B686" i="3" s="1"/>
  <c r="C687" i="2"/>
  <c r="B687" i="3" s="1"/>
  <c r="C688" i="2"/>
  <c r="B688" i="3" s="1"/>
  <c r="C689" i="2"/>
  <c r="B689" i="3" s="1"/>
  <c r="C690" i="2"/>
  <c r="B690" i="3" s="1"/>
  <c r="C691" i="2"/>
  <c r="B691" i="3" s="1"/>
  <c r="C692" i="2"/>
  <c r="B692" i="3" s="1"/>
  <c r="C693" i="2"/>
  <c r="B693" i="3" s="1"/>
  <c r="C694" i="2"/>
  <c r="B694" i="3" s="1"/>
  <c r="C695" i="2"/>
  <c r="B695" i="3" s="1"/>
  <c r="C696" i="2"/>
  <c r="B696" i="3" s="1"/>
  <c r="C697" i="2"/>
  <c r="B697" i="3" s="1"/>
  <c r="C698" i="2"/>
  <c r="B698" i="3" s="1"/>
  <c r="C699" i="2"/>
  <c r="B699" i="3" s="1"/>
  <c r="C700" i="2"/>
  <c r="B700" i="3" s="1"/>
  <c r="C701" i="2"/>
  <c r="B701" i="3" s="1"/>
  <c r="C702" i="2"/>
  <c r="B702" i="3" s="1"/>
  <c r="C703" i="2"/>
  <c r="B703" i="3" s="1"/>
  <c r="C704" i="2"/>
  <c r="B704" i="3" s="1"/>
  <c r="C705" i="2"/>
  <c r="B705" i="3" s="1"/>
  <c r="C706" i="2"/>
  <c r="B706" i="3" s="1"/>
  <c r="C707" i="2"/>
  <c r="B707" i="3" s="1"/>
  <c r="C708" i="2"/>
  <c r="B708" i="3" s="1"/>
  <c r="C709" i="2"/>
  <c r="B709" i="3" s="1"/>
  <c r="C710" i="2"/>
  <c r="B710" i="3" s="1"/>
  <c r="C711" i="2"/>
  <c r="B711" i="3" s="1"/>
  <c r="C712" i="2"/>
  <c r="B712" i="3" s="1"/>
  <c r="C713" i="2"/>
  <c r="B713" i="3" s="1"/>
  <c r="C714" i="2"/>
  <c r="B714" i="3" s="1"/>
  <c r="C715" i="2"/>
  <c r="B715" i="3" s="1"/>
  <c r="C716" i="2"/>
  <c r="B716" i="3" s="1"/>
  <c r="C717" i="2"/>
  <c r="B717" i="3" s="1"/>
  <c r="C718" i="2"/>
  <c r="B718" i="3" s="1"/>
  <c r="C719" i="2"/>
  <c r="B719" i="3" s="1"/>
  <c r="C720" i="2"/>
  <c r="B720" i="3" s="1"/>
  <c r="C721" i="2"/>
  <c r="B721" i="3" s="1"/>
  <c r="C722" i="2"/>
  <c r="B722" i="3" s="1"/>
  <c r="C723" i="2"/>
  <c r="B723" i="3" s="1"/>
  <c r="C724" i="2"/>
  <c r="B724" i="3" s="1"/>
  <c r="C725" i="2"/>
  <c r="B725" i="3" s="1"/>
  <c r="C726" i="2"/>
  <c r="B726" i="3" s="1"/>
  <c r="C727" i="2"/>
  <c r="B727" i="3" s="1"/>
  <c r="C728" i="2"/>
  <c r="B728" i="3" s="1"/>
  <c r="C729" i="2"/>
  <c r="B729" i="3" s="1"/>
  <c r="C730" i="2"/>
  <c r="B730" i="3" s="1"/>
  <c r="C731" i="2"/>
  <c r="B731" i="3" s="1"/>
  <c r="C732" i="2"/>
  <c r="B732" i="3" s="1"/>
  <c r="C733" i="2"/>
  <c r="B733" i="3" s="1"/>
  <c r="C734" i="2"/>
  <c r="B734" i="3" s="1"/>
  <c r="C735" i="2"/>
  <c r="B735" i="3" s="1"/>
  <c r="C736" i="2"/>
  <c r="B736" i="3" s="1"/>
  <c r="C737" i="2"/>
  <c r="B737" i="3" s="1"/>
  <c r="C738" i="2"/>
  <c r="B738" i="3" s="1"/>
  <c r="C739" i="2"/>
  <c r="B739" i="3" s="1"/>
  <c r="C740" i="2"/>
  <c r="B740" i="3" s="1"/>
  <c r="C741" i="2"/>
  <c r="B741" i="3" s="1"/>
  <c r="C742" i="2"/>
  <c r="B742" i="3" s="1"/>
  <c r="C743" i="2"/>
  <c r="B743" i="3" s="1"/>
  <c r="C744" i="2"/>
  <c r="B744" i="3" s="1"/>
  <c r="C745" i="2"/>
  <c r="B745" i="3" s="1"/>
  <c r="C746" i="2"/>
  <c r="B746" i="3" s="1"/>
  <c r="C747" i="2"/>
  <c r="B747" i="3" s="1"/>
  <c r="C748" i="2"/>
  <c r="B748" i="3" s="1"/>
  <c r="C749" i="2"/>
  <c r="B749" i="3" s="1"/>
  <c r="C750" i="2"/>
  <c r="B750" i="3" s="1"/>
  <c r="C751" i="2"/>
  <c r="B751" i="3" s="1"/>
  <c r="C752" i="2"/>
  <c r="B752" i="3" s="1"/>
  <c r="C753" i="2"/>
  <c r="B753" i="3" s="1"/>
  <c r="C754" i="2"/>
  <c r="B754" i="3" s="1"/>
  <c r="C755" i="2"/>
  <c r="B755" i="3" s="1"/>
  <c r="C756" i="2"/>
  <c r="B756" i="3" s="1"/>
  <c r="C757" i="2"/>
  <c r="B757" i="3" s="1"/>
  <c r="C758" i="2"/>
  <c r="B758" i="3" s="1"/>
  <c r="C759" i="2"/>
  <c r="B759" i="3" s="1"/>
  <c r="C760" i="2"/>
  <c r="B760" i="3" s="1"/>
  <c r="C761" i="2"/>
  <c r="B761" i="3" s="1"/>
  <c r="C762" i="2"/>
  <c r="B762" i="3" s="1"/>
  <c r="C763" i="2"/>
  <c r="B763" i="3" s="1"/>
  <c r="C764" i="2"/>
  <c r="B764" i="3" s="1"/>
  <c r="C765" i="2"/>
  <c r="B765" i="3" s="1"/>
  <c r="C766" i="2"/>
  <c r="B766" i="3" s="1"/>
  <c r="C767" i="2"/>
  <c r="B767" i="3" s="1"/>
  <c r="C768" i="2"/>
  <c r="B768" i="3" s="1"/>
  <c r="C769" i="2"/>
  <c r="B769" i="3" s="1"/>
  <c r="C770" i="2"/>
  <c r="B770" i="3" s="1"/>
  <c r="C771" i="2"/>
  <c r="B771" i="3" s="1"/>
  <c r="C772" i="2"/>
  <c r="B772" i="3" s="1"/>
  <c r="C773" i="2"/>
  <c r="B773" i="3" s="1"/>
  <c r="C774" i="2"/>
  <c r="B774" i="3" s="1"/>
  <c r="C775" i="2"/>
  <c r="B775" i="3" s="1"/>
  <c r="C776" i="2"/>
  <c r="B776" i="3" s="1"/>
  <c r="C777" i="2"/>
  <c r="B777" i="3" s="1"/>
  <c r="C778" i="2"/>
  <c r="B778" i="3" s="1"/>
  <c r="C779" i="2"/>
  <c r="B779" i="3" s="1"/>
  <c r="C780" i="2"/>
  <c r="B780" i="3" s="1"/>
  <c r="C781" i="2"/>
  <c r="B781" i="3" s="1"/>
  <c r="C782" i="2"/>
  <c r="B782" i="3" s="1"/>
  <c r="C783" i="2"/>
  <c r="B783" i="3" s="1"/>
  <c r="C784" i="2"/>
  <c r="B784" i="3" s="1"/>
  <c r="C785" i="2"/>
  <c r="B785" i="3" s="1"/>
  <c r="C786" i="2"/>
  <c r="B786" i="3" s="1"/>
  <c r="C787" i="2"/>
  <c r="B787" i="3" s="1"/>
  <c r="C788" i="2"/>
  <c r="B788" i="3" s="1"/>
  <c r="C789" i="2"/>
  <c r="B789" i="3" s="1"/>
  <c r="C790" i="2"/>
  <c r="B790" i="3" s="1"/>
  <c r="C791" i="2"/>
  <c r="B791" i="3" s="1"/>
  <c r="C792" i="2"/>
  <c r="B792" i="3" s="1"/>
  <c r="C793" i="2"/>
  <c r="B793" i="3" s="1"/>
  <c r="C794" i="2"/>
  <c r="B794" i="3" s="1"/>
  <c r="C795" i="2"/>
  <c r="B795" i="3" s="1"/>
  <c r="C796" i="2"/>
  <c r="B796" i="3" s="1"/>
  <c r="C797" i="2"/>
  <c r="B797" i="3" s="1"/>
  <c r="C798" i="2"/>
  <c r="B798" i="3" s="1"/>
  <c r="C799" i="2"/>
  <c r="B799" i="3" s="1"/>
  <c r="C800" i="2"/>
  <c r="B800" i="3" s="1"/>
  <c r="C801" i="2"/>
  <c r="B801" i="3" s="1"/>
  <c r="C802" i="2"/>
  <c r="B802" i="3" s="1"/>
  <c r="C803" i="2"/>
  <c r="B803" i="3" s="1"/>
  <c r="C804" i="2"/>
  <c r="B804" i="3" s="1"/>
  <c r="C805" i="2"/>
  <c r="B805" i="3" s="1"/>
  <c r="C806" i="2"/>
  <c r="B806" i="3" s="1"/>
  <c r="C807" i="2"/>
  <c r="B807" i="3" s="1"/>
  <c r="C808" i="2"/>
  <c r="B808" i="3" s="1"/>
  <c r="C809" i="2"/>
  <c r="B809" i="3" s="1"/>
  <c r="C810" i="2"/>
  <c r="B810" i="3" s="1"/>
  <c r="C811" i="2"/>
  <c r="B811" i="3" s="1"/>
  <c r="C812" i="2"/>
  <c r="B812" i="3" s="1"/>
  <c r="C813" i="2"/>
  <c r="B813" i="3" s="1"/>
  <c r="C814" i="2"/>
  <c r="B814" i="3" s="1"/>
  <c r="C815" i="2"/>
  <c r="B815" i="3" s="1"/>
  <c r="C816" i="2"/>
  <c r="B816" i="3" s="1"/>
  <c r="C817" i="2"/>
  <c r="B817" i="3" s="1"/>
  <c r="C818" i="2"/>
  <c r="B818" i="3" s="1"/>
  <c r="C819" i="2"/>
  <c r="B819" i="3" s="1"/>
  <c r="C820" i="2"/>
  <c r="B820" i="3" s="1"/>
  <c r="C821" i="2"/>
  <c r="B821" i="3" s="1"/>
  <c r="C822" i="2"/>
  <c r="B822" i="3" s="1"/>
  <c r="C823" i="2"/>
  <c r="B823" i="3" s="1"/>
  <c r="C824" i="2"/>
  <c r="B824" i="3" s="1"/>
  <c r="C825" i="2"/>
  <c r="B825" i="3" s="1"/>
  <c r="C826" i="2"/>
  <c r="B826" i="3" s="1"/>
  <c r="C827" i="2"/>
  <c r="B827" i="3" s="1"/>
  <c r="C828" i="2"/>
  <c r="B828" i="3" s="1"/>
  <c r="C829" i="2"/>
  <c r="B829" i="3" s="1"/>
  <c r="C830" i="2"/>
  <c r="B830" i="3" s="1"/>
  <c r="C831" i="2"/>
  <c r="B831" i="3" s="1"/>
  <c r="C832" i="2"/>
  <c r="B832" i="3" s="1"/>
  <c r="C833" i="2"/>
  <c r="B833" i="3" s="1"/>
  <c r="C834" i="2"/>
  <c r="B834" i="3" s="1"/>
  <c r="C835" i="2"/>
  <c r="B835" i="3" s="1"/>
  <c r="C836" i="2"/>
  <c r="B836" i="3" s="1"/>
  <c r="C837" i="2"/>
  <c r="B837" i="3" s="1"/>
  <c r="C838" i="2"/>
  <c r="B838" i="3" s="1"/>
  <c r="C839" i="2"/>
  <c r="B839" i="3" s="1"/>
  <c r="C840" i="2"/>
  <c r="B840" i="3" s="1"/>
  <c r="C841" i="2"/>
  <c r="B841" i="3" s="1"/>
  <c r="C842" i="2"/>
  <c r="B842" i="3" s="1"/>
  <c r="C843" i="2"/>
  <c r="B843" i="3" s="1"/>
  <c r="C844" i="2"/>
  <c r="B844" i="3" s="1"/>
  <c r="C845" i="2"/>
  <c r="B845" i="3" s="1"/>
  <c r="C846" i="2"/>
  <c r="B846" i="3" s="1"/>
  <c r="C847" i="2"/>
  <c r="B847" i="3" s="1"/>
  <c r="C848" i="2"/>
  <c r="B848" i="3" s="1"/>
  <c r="C849" i="2"/>
  <c r="B849" i="3" s="1"/>
  <c r="C850" i="2"/>
  <c r="B850" i="3" s="1"/>
  <c r="C851" i="2"/>
  <c r="B851" i="3" s="1"/>
  <c r="C852" i="2"/>
  <c r="B852" i="3" s="1"/>
  <c r="C853" i="2"/>
  <c r="B853" i="3" s="1"/>
  <c r="C854" i="2"/>
  <c r="B854" i="3" s="1"/>
  <c r="C855" i="2"/>
  <c r="B855" i="3" s="1"/>
  <c r="C856" i="2"/>
  <c r="B856" i="3" s="1"/>
  <c r="C857" i="2"/>
  <c r="B857" i="3" s="1"/>
  <c r="C858" i="2"/>
  <c r="B858" i="3" s="1"/>
  <c r="C859" i="2"/>
  <c r="B859" i="3" s="1"/>
  <c r="C860" i="2"/>
  <c r="B860" i="3" s="1"/>
  <c r="C861" i="2"/>
  <c r="B861" i="3" s="1"/>
  <c r="C862" i="2"/>
  <c r="B862" i="3" s="1"/>
  <c r="C863" i="2"/>
  <c r="B863" i="3" s="1"/>
  <c r="C864" i="2"/>
  <c r="B864" i="3" s="1"/>
  <c r="C865" i="2"/>
  <c r="B865" i="3" s="1"/>
  <c r="C866" i="2"/>
  <c r="B866" i="3" s="1"/>
  <c r="C867" i="2"/>
  <c r="B867" i="3" s="1"/>
  <c r="C868" i="2"/>
  <c r="B868" i="3" s="1"/>
  <c r="C869" i="2"/>
  <c r="B869" i="3" s="1"/>
  <c r="C870" i="2"/>
  <c r="B870" i="3" s="1"/>
  <c r="C871" i="2"/>
  <c r="B871" i="3" s="1"/>
  <c r="C872" i="2"/>
  <c r="B872" i="3" s="1"/>
  <c r="C873" i="2"/>
  <c r="B873" i="3" s="1"/>
  <c r="C874" i="2"/>
  <c r="B874" i="3" s="1"/>
  <c r="C875" i="2"/>
  <c r="B875" i="3" s="1"/>
  <c r="C876" i="2"/>
  <c r="B876" i="3" s="1"/>
  <c r="C877" i="2"/>
  <c r="B877" i="3" s="1"/>
  <c r="C878" i="2"/>
  <c r="B878" i="3" s="1"/>
  <c r="C879" i="2"/>
  <c r="B879" i="3" s="1"/>
  <c r="C880" i="2"/>
  <c r="B880" i="3" s="1"/>
  <c r="C881" i="2"/>
  <c r="B881" i="3" s="1"/>
  <c r="C882" i="2"/>
  <c r="B882" i="3" s="1"/>
  <c r="C883" i="2"/>
  <c r="B883" i="3" s="1"/>
  <c r="C884" i="2"/>
  <c r="B884" i="3" s="1"/>
  <c r="C885" i="2"/>
  <c r="B885" i="3" s="1"/>
  <c r="C886" i="2"/>
  <c r="B886" i="3" s="1"/>
  <c r="C887" i="2"/>
  <c r="B887" i="3" s="1"/>
  <c r="C888" i="2"/>
  <c r="B888" i="3" s="1"/>
  <c r="C889" i="2"/>
  <c r="B889" i="3" s="1"/>
  <c r="C890" i="2"/>
  <c r="B890" i="3" s="1"/>
  <c r="C891" i="2"/>
  <c r="B891" i="3" s="1"/>
  <c r="C892" i="2"/>
  <c r="B892" i="3" s="1"/>
  <c r="C893" i="2"/>
  <c r="B893" i="3" s="1"/>
  <c r="C894" i="2"/>
  <c r="B894" i="3" s="1"/>
  <c r="C895" i="2"/>
  <c r="B895" i="3" s="1"/>
  <c r="C896" i="2"/>
  <c r="B896" i="3" s="1"/>
  <c r="C897" i="2"/>
  <c r="B897" i="3" s="1"/>
  <c r="C898" i="2"/>
  <c r="B898" i="3" s="1"/>
  <c r="C899" i="2"/>
  <c r="B899" i="3" s="1"/>
  <c r="C900" i="2"/>
  <c r="B900" i="3" s="1"/>
  <c r="C901" i="2"/>
  <c r="B901" i="3" s="1"/>
  <c r="C902" i="2"/>
  <c r="B902" i="3" s="1"/>
  <c r="C903" i="2"/>
  <c r="B903" i="3" s="1"/>
  <c r="C904" i="2"/>
  <c r="B904" i="3" s="1"/>
  <c r="C905" i="2"/>
  <c r="B905" i="3" s="1"/>
  <c r="C906" i="2"/>
  <c r="B906" i="3" s="1"/>
  <c r="C907" i="2"/>
  <c r="B907" i="3" s="1"/>
  <c r="C908" i="2"/>
  <c r="B908" i="3" s="1"/>
  <c r="C909" i="2"/>
  <c r="B909" i="3" s="1"/>
  <c r="C910" i="2"/>
  <c r="B910" i="3" s="1"/>
  <c r="C911" i="2"/>
  <c r="B911" i="3" s="1"/>
  <c r="C912" i="2"/>
  <c r="B912" i="3" s="1"/>
  <c r="C913" i="2"/>
  <c r="B913" i="3" s="1"/>
  <c r="C914" i="2"/>
  <c r="B914" i="3" s="1"/>
  <c r="C915" i="2"/>
  <c r="B915" i="3" s="1"/>
  <c r="C916" i="2"/>
  <c r="B916" i="3" s="1"/>
  <c r="C917" i="2"/>
  <c r="B917" i="3" s="1"/>
  <c r="C918" i="2"/>
  <c r="B918" i="3" s="1"/>
  <c r="C919" i="2"/>
  <c r="B919" i="3" s="1"/>
  <c r="C920" i="2"/>
  <c r="B920" i="3" s="1"/>
  <c r="C921" i="2"/>
  <c r="B921" i="3" s="1"/>
  <c r="C922" i="2"/>
  <c r="B922" i="3" s="1"/>
  <c r="C923" i="2"/>
  <c r="B923" i="3" s="1"/>
  <c r="C924" i="2"/>
  <c r="B924" i="3" s="1"/>
  <c r="C925" i="2"/>
  <c r="B925" i="3" s="1"/>
  <c r="C926" i="2"/>
  <c r="B926" i="3" s="1"/>
  <c r="C927" i="2"/>
  <c r="B927" i="3" s="1"/>
  <c r="C928" i="2"/>
  <c r="B928" i="3" s="1"/>
  <c r="C929" i="2"/>
  <c r="B929" i="3" s="1"/>
  <c r="C930" i="2"/>
  <c r="B930" i="3" s="1"/>
  <c r="C931" i="2"/>
  <c r="B931" i="3" s="1"/>
  <c r="C932" i="2"/>
  <c r="B932" i="3" s="1"/>
  <c r="C933" i="2"/>
  <c r="B933" i="3" s="1"/>
  <c r="C934" i="2"/>
  <c r="B934" i="3" s="1"/>
  <c r="C935" i="2"/>
  <c r="B935" i="3" s="1"/>
  <c r="C936" i="2"/>
  <c r="B936" i="3" s="1"/>
  <c r="C937" i="2"/>
  <c r="B937" i="3" s="1"/>
  <c r="C938" i="2"/>
  <c r="B938" i="3" s="1"/>
  <c r="C939" i="2"/>
  <c r="B939" i="3" s="1"/>
  <c r="C940" i="2"/>
  <c r="B940" i="3" s="1"/>
  <c r="C941" i="2"/>
  <c r="B941" i="3" s="1"/>
  <c r="C942" i="2"/>
  <c r="B942" i="3" s="1"/>
  <c r="C943" i="2"/>
  <c r="B943" i="3" s="1"/>
  <c r="C944" i="2"/>
  <c r="B944" i="3" s="1"/>
  <c r="C945" i="2"/>
  <c r="B945" i="3" s="1"/>
  <c r="C946" i="2"/>
  <c r="B946" i="3" s="1"/>
  <c r="C947" i="2"/>
  <c r="B947" i="3" s="1"/>
  <c r="C948" i="2"/>
  <c r="B948" i="3" s="1"/>
  <c r="C949" i="2"/>
  <c r="B949" i="3" s="1"/>
  <c r="C950" i="2"/>
  <c r="B950" i="3" s="1"/>
  <c r="C951" i="2"/>
  <c r="B951" i="3" s="1"/>
  <c r="C952" i="2"/>
  <c r="B952" i="3" s="1"/>
  <c r="C953" i="2"/>
  <c r="B953" i="3" s="1"/>
  <c r="C954" i="2"/>
  <c r="B954" i="3" s="1"/>
  <c r="C955" i="2"/>
  <c r="B955" i="3" s="1"/>
  <c r="C956" i="2"/>
  <c r="B956" i="3" s="1"/>
  <c r="C957" i="2"/>
  <c r="B957" i="3" s="1"/>
  <c r="C958" i="2"/>
  <c r="B958" i="3" s="1"/>
  <c r="C959" i="2"/>
  <c r="B959" i="3" s="1"/>
  <c r="C960" i="2"/>
  <c r="B960" i="3" s="1"/>
  <c r="C961" i="2"/>
  <c r="B961" i="3" s="1"/>
  <c r="C962" i="2"/>
  <c r="B962" i="3" s="1"/>
  <c r="C963" i="2"/>
  <c r="B963" i="3" s="1"/>
  <c r="C964" i="2"/>
  <c r="B964" i="3" s="1"/>
  <c r="C965" i="2"/>
  <c r="B965" i="3" s="1"/>
  <c r="C966" i="2"/>
  <c r="B966" i="3" s="1"/>
  <c r="C967" i="2"/>
  <c r="B967" i="3" s="1"/>
  <c r="C968" i="2"/>
  <c r="B968" i="3" s="1"/>
  <c r="C969" i="2"/>
  <c r="B969" i="3" s="1"/>
  <c r="C970" i="2"/>
  <c r="B970" i="3" s="1"/>
  <c r="C971" i="2"/>
  <c r="B971" i="3" s="1"/>
  <c r="C972" i="2"/>
  <c r="B972" i="3" s="1"/>
  <c r="C973" i="2"/>
  <c r="B973" i="3" s="1"/>
  <c r="C974" i="2"/>
  <c r="B974" i="3" s="1"/>
  <c r="C975" i="2"/>
  <c r="B975" i="3" s="1"/>
  <c r="C976" i="2"/>
  <c r="B976" i="3" s="1"/>
  <c r="C977" i="2"/>
  <c r="B977" i="3" s="1"/>
  <c r="C978" i="2"/>
  <c r="B978" i="3" s="1"/>
  <c r="C979" i="2"/>
  <c r="B979" i="3" s="1"/>
  <c r="C980" i="2"/>
  <c r="B980" i="3" s="1"/>
  <c r="C981" i="2"/>
  <c r="B981" i="3" s="1"/>
  <c r="C982" i="2"/>
  <c r="B982" i="3" s="1"/>
  <c r="C983" i="2"/>
  <c r="B983" i="3" s="1"/>
  <c r="C984" i="2"/>
  <c r="B984" i="3" s="1"/>
  <c r="C985" i="2"/>
  <c r="B985" i="3" s="1"/>
  <c r="C986" i="2"/>
  <c r="B986" i="3" s="1"/>
  <c r="C987" i="2"/>
  <c r="B987" i="3" s="1"/>
  <c r="C988" i="2"/>
  <c r="B988" i="3" s="1"/>
  <c r="C989" i="2"/>
  <c r="B989" i="3" s="1"/>
  <c r="C990" i="2"/>
  <c r="B990" i="3" s="1"/>
  <c r="C991" i="2"/>
  <c r="B991" i="3" s="1"/>
  <c r="C992" i="2"/>
  <c r="B992" i="3" s="1"/>
  <c r="C993" i="2"/>
  <c r="B993" i="3" s="1"/>
  <c r="C994" i="2"/>
  <c r="B994" i="3" s="1"/>
  <c r="C995" i="2"/>
  <c r="B995" i="3" s="1"/>
  <c r="C996" i="2"/>
  <c r="B996" i="3" s="1"/>
  <c r="C997" i="2"/>
  <c r="B997" i="3" s="1"/>
  <c r="C998" i="2"/>
  <c r="B998" i="3" s="1"/>
  <c r="C999" i="2"/>
  <c r="B999" i="3" s="1"/>
  <c r="C1000" i="2"/>
  <c r="B1000" i="3" s="1"/>
  <c r="C1001" i="2"/>
  <c r="B1001" i="3" s="1"/>
  <c r="C2" i="2"/>
  <c r="B2" i="3" s="1"/>
</calcChain>
</file>

<file path=xl/sharedStrings.xml><?xml version="1.0" encoding="utf-8"?>
<sst xmlns="http://schemas.openxmlformats.org/spreadsheetml/2006/main" count="14564" uniqueCount="2100">
  <si>
    <t>freelancer_ID</t>
  </si>
  <si>
    <t>name</t>
  </si>
  <si>
    <t>gender</t>
  </si>
  <si>
    <t>age</t>
  </si>
  <si>
    <t>country</t>
  </si>
  <si>
    <t>language</t>
  </si>
  <si>
    <t>primary_skill</t>
  </si>
  <si>
    <t>years_of_experience</t>
  </si>
  <si>
    <t>hourly_rate (USD)</t>
  </si>
  <si>
    <t>rating</t>
  </si>
  <si>
    <t>is_active</t>
  </si>
  <si>
    <t>client_satisfaction</t>
  </si>
  <si>
    <t>FL250001</t>
  </si>
  <si>
    <t>Ms. Nicole Kidd</t>
  </si>
  <si>
    <t>f</t>
  </si>
  <si>
    <t>Italy</t>
  </si>
  <si>
    <t>Italian</t>
  </si>
  <si>
    <t>Blockchain Development</t>
  </si>
  <si>
    <t>FL250002</t>
  </si>
  <si>
    <t>Vanessa Garcia</t>
  </si>
  <si>
    <t>FEMALE</t>
  </si>
  <si>
    <t>Australia</t>
  </si>
  <si>
    <t>English</t>
  </si>
  <si>
    <t>Mobile Apps</t>
  </si>
  <si>
    <t>USD 100</t>
  </si>
  <si>
    <t>FL250003</t>
  </si>
  <si>
    <t>Juan Nelson</t>
  </si>
  <si>
    <t>male</t>
  </si>
  <si>
    <t>Germany</t>
  </si>
  <si>
    <t>German</t>
  </si>
  <si>
    <t>Graphic Design</t>
  </si>
  <si>
    <t>N</t>
  </si>
  <si>
    <t>FL250004</t>
  </si>
  <si>
    <t>Amanda Spencer</t>
  </si>
  <si>
    <t>F</t>
  </si>
  <si>
    <t>Web Development</t>
  </si>
  <si>
    <t>FL250005</t>
  </si>
  <si>
    <t>Lynn Curtis DDS</t>
  </si>
  <si>
    <t>female</t>
  </si>
  <si>
    <t>FL250006</t>
  </si>
  <si>
    <t>Lisa Johnson</t>
  </si>
  <si>
    <t>Netherlands</t>
  </si>
  <si>
    <t>Dutch</t>
  </si>
  <si>
    <t>AI</t>
  </si>
  <si>
    <t>FL250007</t>
  </si>
  <si>
    <t>Eric Myers</t>
  </si>
  <si>
    <t>m</t>
  </si>
  <si>
    <t>Indonesia</t>
  </si>
  <si>
    <t>Indonesian</t>
  </si>
  <si>
    <t>Data Analysis</t>
  </si>
  <si>
    <t>USD 75</t>
  </si>
  <si>
    <t>FL250008</t>
  </si>
  <si>
    <t>Ricky Graham</t>
  </si>
  <si>
    <t>USD 40</t>
  </si>
  <si>
    <t>FL250009</t>
  </si>
  <si>
    <t>Sean Martin</t>
  </si>
  <si>
    <t>United States</t>
  </si>
  <si>
    <t>FL250010</t>
  </si>
  <si>
    <t>Matthew Lloyd</t>
  </si>
  <si>
    <t>MALE</t>
  </si>
  <si>
    <t>Turkey</t>
  </si>
  <si>
    <t>Turkish</t>
  </si>
  <si>
    <t>FL250011</t>
  </si>
  <si>
    <t>Gavin Randall</t>
  </si>
  <si>
    <t>United Kingdom</t>
  </si>
  <si>
    <t>yes</t>
  </si>
  <si>
    <t>FL250012</t>
  </si>
  <si>
    <t>Michelle Curtis</t>
  </si>
  <si>
    <t>Argentina</t>
  </si>
  <si>
    <t>Spanish</t>
  </si>
  <si>
    <t>UI/UX Design</t>
  </si>
  <si>
    <t>Y</t>
  </si>
  <si>
    <t>FL250013</t>
  </si>
  <si>
    <t>Alice Schneider</t>
  </si>
  <si>
    <t>Female</t>
  </si>
  <si>
    <t>Cybersecurity</t>
  </si>
  <si>
    <t>FL250014</t>
  </si>
  <si>
    <t>Phillip Shelton</t>
  </si>
  <si>
    <t>FL250015</t>
  </si>
  <si>
    <t>Edward Ferguson</t>
  </si>
  <si>
    <t>FL250016</t>
  </si>
  <si>
    <t>Wyatt Stout</t>
  </si>
  <si>
    <t>Japan</t>
  </si>
  <si>
    <t>Japanese</t>
  </si>
  <si>
    <t>FL250017</t>
  </si>
  <si>
    <t>Laura Johnson</t>
  </si>
  <si>
    <t>DevOps</t>
  </si>
  <si>
    <t>FL250018</t>
  </si>
  <si>
    <t>Scott Burns</t>
  </si>
  <si>
    <t>M</t>
  </si>
  <si>
    <t>India</t>
  </si>
  <si>
    <t>Hindi</t>
  </si>
  <si>
    <t>FL250019</t>
  </si>
  <si>
    <t>Tyler Aguirre</t>
  </si>
  <si>
    <t>Male</t>
  </si>
  <si>
    <t>USD 50</t>
  </si>
  <si>
    <t>FL250020</t>
  </si>
  <si>
    <t>Matthew Lawson</t>
  </si>
  <si>
    <t>FL250021</t>
  </si>
  <si>
    <t>James Cherry</t>
  </si>
  <si>
    <t>FL250022</t>
  </si>
  <si>
    <t>Samuel Sanford</t>
  </si>
  <si>
    <t>FL250023</t>
  </si>
  <si>
    <t>Cesar Greene</t>
  </si>
  <si>
    <t>Brazil</t>
  </si>
  <si>
    <t>Portuguese</t>
  </si>
  <si>
    <t>USD 30</t>
  </si>
  <si>
    <t>FL250024</t>
  </si>
  <si>
    <t>Melanie Carter</t>
  </si>
  <si>
    <t>South Korea</t>
  </si>
  <si>
    <t>Korean</t>
  </si>
  <si>
    <t>Machine Learning</t>
  </si>
  <si>
    <t>FL250025</t>
  </si>
  <si>
    <t>Jennifer Martin</t>
  </si>
  <si>
    <t>FL250026</t>
  </si>
  <si>
    <t>Anna Mccann</t>
  </si>
  <si>
    <t>FL250027</t>
  </si>
  <si>
    <t>Marissa Bass</t>
  </si>
  <si>
    <t>FL250028</t>
  </si>
  <si>
    <t>Alexis Day</t>
  </si>
  <si>
    <t>Russia</t>
  </si>
  <si>
    <t>Russian</t>
  </si>
  <si>
    <t>FL250029</t>
  </si>
  <si>
    <t>Megan Jones</t>
  </si>
  <si>
    <t>Canada</t>
  </si>
  <si>
    <t>FL250030</t>
  </si>
  <si>
    <t>Lori Smith</t>
  </si>
  <si>
    <t>FL250031</t>
  </si>
  <si>
    <t>Eric Carpenter</t>
  </si>
  <si>
    <t>FL250032</t>
  </si>
  <si>
    <t>Timothy Daniels</t>
  </si>
  <si>
    <t>France</t>
  </si>
  <si>
    <t>French</t>
  </si>
  <si>
    <t>FL250033</t>
  </si>
  <si>
    <t>Robert Nelson</t>
  </si>
  <si>
    <t>Egypt</t>
  </si>
  <si>
    <t>Arabic</t>
  </si>
  <si>
    <t>FL250034</t>
  </si>
  <si>
    <t>Michael Anderson</t>
  </si>
  <si>
    <t>FL250035</t>
  </si>
  <si>
    <t>Jessica Snyder</t>
  </si>
  <si>
    <t>FL250036</t>
  </si>
  <si>
    <t>Emily Daniels</t>
  </si>
  <si>
    <t>FL250037</t>
  </si>
  <si>
    <t>Jamie Ramirez</t>
  </si>
  <si>
    <t>FL250038</t>
  </si>
  <si>
    <t>Amy Harrison</t>
  </si>
  <si>
    <t>FL250039</t>
  </si>
  <si>
    <t>Melinda White</t>
  </si>
  <si>
    <t>South Africa</t>
  </si>
  <si>
    <t>Afrikaans</t>
  </si>
  <si>
    <t>FL250040</t>
  </si>
  <si>
    <t>James Hernandez</t>
  </si>
  <si>
    <t>FL250041</t>
  </si>
  <si>
    <t>Angelica Rogers</t>
  </si>
  <si>
    <t>no</t>
  </si>
  <si>
    <t>FL250042</t>
  </si>
  <si>
    <t>Savannah Williams</t>
  </si>
  <si>
    <t>FL250043</t>
  </si>
  <si>
    <t>Kaitlyn Schmidt</t>
  </si>
  <si>
    <t>FL250044</t>
  </si>
  <si>
    <t>Jason Singh</t>
  </si>
  <si>
    <t>FL250045</t>
  </si>
  <si>
    <t>Michelle Ramirez</t>
  </si>
  <si>
    <t>FL250046</t>
  </si>
  <si>
    <t>James Brown</t>
  </si>
  <si>
    <t>FL250047</t>
  </si>
  <si>
    <t>Mrs. Samantha Simmons</t>
  </si>
  <si>
    <t>FL250048</t>
  </si>
  <si>
    <t>Chase Mason</t>
  </si>
  <si>
    <t>China</t>
  </si>
  <si>
    <t>Mandarin</t>
  </si>
  <si>
    <t>FL250049</t>
  </si>
  <si>
    <t>Dominique Ward</t>
  </si>
  <si>
    <t>Mexico</t>
  </si>
  <si>
    <t>FL250050</t>
  </si>
  <si>
    <t>Lance Griffin</t>
  </si>
  <si>
    <t>FL250051</t>
  </si>
  <si>
    <t>Julie Burgess</t>
  </si>
  <si>
    <t>FL250052</t>
  </si>
  <si>
    <t>Don Scott</t>
  </si>
  <si>
    <t>FL250053</t>
  </si>
  <si>
    <t>Kyle Atkinson</t>
  </si>
  <si>
    <t>FL250054</t>
  </si>
  <si>
    <t>Jimmy Hogan</t>
  </si>
  <si>
    <t>Spain</t>
  </si>
  <si>
    <t>FL250055</t>
  </si>
  <si>
    <t>Jennifer Mcintyre</t>
  </si>
  <si>
    <t>FL250056</t>
  </si>
  <si>
    <t>Larry Simpson</t>
  </si>
  <si>
    <t>FL250057</t>
  </si>
  <si>
    <t>Laura Price</t>
  </si>
  <si>
    <t>FL250058</t>
  </si>
  <si>
    <t>Mark Wright</t>
  </si>
  <si>
    <t>FL250059</t>
  </si>
  <si>
    <t>Samantha Mcdaniel</t>
  </si>
  <si>
    <t>FL250060</t>
  </si>
  <si>
    <t>Barbara Foster</t>
  </si>
  <si>
    <t>FL250061</t>
  </si>
  <si>
    <t>Courtney Tran</t>
  </si>
  <si>
    <t>FL250062</t>
  </si>
  <si>
    <t>Eddie Todd</t>
  </si>
  <si>
    <t>FL250063</t>
  </si>
  <si>
    <t>Christine Johnson</t>
  </si>
  <si>
    <t>FL250064</t>
  </si>
  <si>
    <t>Leah Phelps</t>
  </si>
  <si>
    <t>FL250065</t>
  </si>
  <si>
    <t>Rebekah Williams</t>
  </si>
  <si>
    <t>FL250066</t>
  </si>
  <si>
    <t>Crystal Wilson</t>
  </si>
  <si>
    <t>FL250067</t>
  </si>
  <si>
    <t>Ashley Cordova</t>
  </si>
  <si>
    <t>FL250068</t>
  </si>
  <si>
    <t>Vicki Kelly</t>
  </si>
  <si>
    <t>FL250069</t>
  </si>
  <si>
    <t>Corey Warren</t>
  </si>
  <si>
    <t>FL250070</t>
  </si>
  <si>
    <t>Gina Thompson</t>
  </si>
  <si>
    <t>FL250071</t>
  </si>
  <si>
    <t>Yvonne Berg</t>
  </si>
  <si>
    <t>FL250072</t>
  </si>
  <si>
    <t>Thomas Miller</t>
  </si>
  <si>
    <t>FL250073</t>
  </si>
  <si>
    <t>Nicholas Burton</t>
  </si>
  <si>
    <t>FL250074</t>
  </si>
  <si>
    <t>Jorge Riley</t>
  </si>
  <si>
    <t>FL250075</t>
  </si>
  <si>
    <t>Melvin Harris</t>
  </si>
  <si>
    <t>FL250076</t>
  </si>
  <si>
    <t>Jeremy Meyer</t>
  </si>
  <si>
    <t>FL250077</t>
  </si>
  <si>
    <t>Timothy Lee</t>
  </si>
  <si>
    <t>FL250078</t>
  </si>
  <si>
    <t>Diana Bautista</t>
  </si>
  <si>
    <t>FL250079</t>
  </si>
  <si>
    <t>Leslie Rodriguez</t>
  </si>
  <si>
    <t>FL250080</t>
  </si>
  <si>
    <t>Noah Wiggins</t>
  </si>
  <si>
    <t>FL250081</t>
  </si>
  <si>
    <t>Bridget Williams</t>
  </si>
  <si>
    <t>FL250082</t>
  </si>
  <si>
    <t>Veronica Baker</t>
  </si>
  <si>
    <t>FL250083</t>
  </si>
  <si>
    <t>Andrew Avila</t>
  </si>
  <si>
    <t>FL250084</t>
  </si>
  <si>
    <t>Michael Roberson</t>
  </si>
  <si>
    <t>FL250085</t>
  </si>
  <si>
    <t>Austin Jenkins</t>
  </si>
  <si>
    <t>FL250086</t>
  </si>
  <si>
    <t>Brenda Green</t>
  </si>
  <si>
    <t>FL250087</t>
  </si>
  <si>
    <t>Samuel Pierce</t>
  </si>
  <si>
    <t>FL250088</t>
  </si>
  <si>
    <t>Briana Smith</t>
  </si>
  <si>
    <t>FL250089</t>
  </si>
  <si>
    <t>Ronald Barrett</t>
  </si>
  <si>
    <t>FL250090</t>
  </si>
  <si>
    <t>Matthew Smith</t>
  </si>
  <si>
    <t>FL250091</t>
  </si>
  <si>
    <t>Logan Huang</t>
  </si>
  <si>
    <t>FL250092</t>
  </si>
  <si>
    <t>Miranda Hutchinson</t>
  </si>
  <si>
    <t>FL250093</t>
  </si>
  <si>
    <t>Paul Richardson</t>
  </si>
  <si>
    <t>FL250094</t>
  </si>
  <si>
    <t>Jose Jones</t>
  </si>
  <si>
    <t>FL250095</t>
  </si>
  <si>
    <t>Denise Smith</t>
  </si>
  <si>
    <t>FL250096</t>
  </si>
  <si>
    <t>Shelby Mcmahon</t>
  </si>
  <si>
    <t>FL250097</t>
  </si>
  <si>
    <t>Bethany Wright</t>
  </si>
  <si>
    <t>FL250098</t>
  </si>
  <si>
    <t>David Ortiz</t>
  </si>
  <si>
    <t>FL250099</t>
  </si>
  <si>
    <t>Andrew Lynch</t>
  </si>
  <si>
    <t>FL250100</t>
  </si>
  <si>
    <t>Kristopher Meyers</t>
  </si>
  <si>
    <t>FL250101</t>
  </si>
  <si>
    <t>Thomas Roth</t>
  </si>
  <si>
    <t>FL250102</t>
  </si>
  <si>
    <t>Vicki Brown</t>
  </si>
  <si>
    <t>FL250103</t>
  </si>
  <si>
    <t>Stacy Sutton</t>
  </si>
  <si>
    <t>FL250104</t>
  </si>
  <si>
    <t>Kimberly Holland</t>
  </si>
  <si>
    <t>FL250105</t>
  </si>
  <si>
    <t>Travis Richardson</t>
  </si>
  <si>
    <t>FL250106</t>
  </si>
  <si>
    <t>Jasmin Ho</t>
  </si>
  <si>
    <t>FL250107</t>
  </si>
  <si>
    <t>Mark Paul</t>
  </si>
  <si>
    <t>FL250108</t>
  </si>
  <si>
    <t>Jennifer Lewis</t>
  </si>
  <si>
    <t>FL250109</t>
  </si>
  <si>
    <t>Elizabeth Lester</t>
  </si>
  <si>
    <t>FL250110</t>
  </si>
  <si>
    <t>Kimberly Griffin</t>
  </si>
  <si>
    <t>FL250111</t>
  </si>
  <si>
    <t>Tyler Warner</t>
  </si>
  <si>
    <t>FL250112</t>
  </si>
  <si>
    <t>Jane Cox</t>
  </si>
  <si>
    <t>FL250113</t>
  </si>
  <si>
    <t>Leah Williams</t>
  </si>
  <si>
    <t>FL250114</t>
  </si>
  <si>
    <t>Kevin Wong</t>
  </si>
  <si>
    <t>FL250115</t>
  </si>
  <si>
    <t>Robert Andrews</t>
  </si>
  <si>
    <t>USD 20</t>
  </si>
  <si>
    <t>FL250116</t>
  </si>
  <si>
    <t>Jessica Torres</t>
  </si>
  <si>
    <t>FL250117</t>
  </si>
  <si>
    <t>Teresa Kim</t>
  </si>
  <si>
    <t>FL250118</t>
  </si>
  <si>
    <t>Jon Morgan</t>
  </si>
  <si>
    <t>FL250119</t>
  </si>
  <si>
    <t>Gloria Chaney</t>
  </si>
  <si>
    <t>FL250120</t>
  </si>
  <si>
    <t>Jesse Campbell</t>
  </si>
  <si>
    <t>FL250121</t>
  </si>
  <si>
    <t>Allison Tucker MD</t>
  </si>
  <si>
    <t>FL250122</t>
  </si>
  <si>
    <t>Candice Petersen</t>
  </si>
  <si>
    <t>FL250123</t>
  </si>
  <si>
    <t>Christopher Nichols</t>
  </si>
  <si>
    <t>FL250124</t>
  </si>
  <si>
    <t>Debra Garcia</t>
  </si>
  <si>
    <t>FL250125</t>
  </si>
  <si>
    <t>Andrew Fuentes</t>
  </si>
  <si>
    <t>FL250126</t>
  </si>
  <si>
    <t>Jason Carter</t>
  </si>
  <si>
    <t>FL250127</t>
  </si>
  <si>
    <t>Austin Romero</t>
  </si>
  <si>
    <t>FL250128</t>
  </si>
  <si>
    <t>Clayton Burns</t>
  </si>
  <si>
    <t>FL250129</t>
  </si>
  <si>
    <t>Jonathan Clark</t>
  </si>
  <si>
    <t>FL250130</t>
  </si>
  <si>
    <t>Alexander Griffin</t>
  </si>
  <si>
    <t>FL250131</t>
  </si>
  <si>
    <t>Shelly Whitehead</t>
  </si>
  <si>
    <t>FL250132</t>
  </si>
  <si>
    <t>Kaitlyn Davis</t>
  </si>
  <si>
    <t>FL250133</t>
  </si>
  <si>
    <t>Christopher Jones</t>
  </si>
  <si>
    <t>FL250134</t>
  </si>
  <si>
    <t>Cindy Jacobs</t>
  </si>
  <si>
    <t>FL250135</t>
  </si>
  <si>
    <t>Penny Day</t>
  </si>
  <si>
    <t>FL250136</t>
  </si>
  <si>
    <t>Thomas Ingram</t>
  </si>
  <si>
    <t>FL250137</t>
  </si>
  <si>
    <t>Donna Hansen</t>
  </si>
  <si>
    <t>FL250138</t>
  </si>
  <si>
    <t>Donna Bailey</t>
  </si>
  <si>
    <t>FL250139</t>
  </si>
  <si>
    <t>Joshua Armstrong</t>
  </si>
  <si>
    <t>FL250140</t>
  </si>
  <si>
    <t>Jonathan Garza</t>
  </si>
  <si>
    <t>FL250141</t>
  </si>
  <si>
    <t>Charles Jones</t>
  </si>
  <si>
    <t>FL250142</t>
  </si>
  <si>
    <t>Lindsey Miles</t>
  </si>
  <si>
    <t>FL250143</t>
  </si>
  <si>
    <t>Eduardo Reed</t>
  </si>
  <si>
    <t>FL250144</t>
  </si>
  <si>
    <t>Lee Fowler</t>
  </si>
  <si>
    <t>FL250145</t>
  </si>
  <si>
    <t>Steven Jones Jr.</t>
  </si>
  <si>
    <t>FL250146</t>
  </si>
  <si>
    <t>Ashley Chen</t>
  </si>
  <si>
    <t>FL250147</t>
  </si>
  <si>
    <t>Erica Davis</t>
  </si>
  <si>
    <t>FL250148</t>
  </si>
  <si>
    <t>Wayne Gonzales</t>
  </si>
  <si>
    <t>FL250149</t>
  </si>
  <si>
    <t>Gary Ballard</t>
  </si>
  <si>
    <t>FL250150</t>
  </si>
  <si>
    <t>Maria Mcguire</t>
  </si>
  <si>
    <t>FL250151</t>
  </si>
  <si>
    <t>Matthew Richards</t>
  </si>
  <si>
    <t>FL250152</t>
  </si>
  <si>
    <t>Patrick Malone</t>
  </si>
  <si>
    <t>FL250153</t>
  </si>
  <si>
    <t>Cindy Martin</t>
  </si>
  <si>
    <t>FL250154</t>
  </si>
  <si>
    <t>Anne Edwards</t>
  </si>
  <si>
    <t>FL250155</t>
  </si>
  <si>
    <t>Mitchell Martin</t>
  </si>
  <si>
    <t>FL250156</t>
  </si>
  <si>
    <t>Mitchell Patrick</t>
  </si>
  <si>
    <t>FL250157</t>
  </si>
  <si>
    <t>Rebecca Lyons</t>
  </si>
  <si>
    <t>FL250158</t>
  </si>
  <si>
    <t>Christian Lopez</t>
  </si>
  <si>
    <t>FL250159</t>
  </si>
  <si>
    <t>Nathan Blair</t>
  </si>
  <si>
    <t>FL250160</t>
  </si>
  <si>
    <t>Patricia Lopez</t>
  </si>
  <si>
    <t>FL250161</t>
  </si>
  <si>
    <t>Michelle Wu</t>
  </si>
  <si>
    <t>FL250162</t>
  </si>
  <si>
    <t>Donald Mitchell</t>
  </si>
  <si>
    <t>FL250163</t>
  </si>
  <si>
    <t>Sean Gordon</t>
  </si>
  <si>
    <t>FL250164</t>
  </si>
  <si>
    <t>Gregory Clarke</t>
  </si>
  <si>
    <t>FL250165</t>
  </si>
  <si>
    <t>Steven Whitney</t>
  </si>
  <si>
    <t>FL250166</t>
  </si>
  <si>
    <t>Robin Acosta</t>
  </si>
  <si>
    <t>FL250167</t>
  </si>
  <si>
    <t>John Smith</t>
  </si>
  <si>
    <t>FL250168</t>
  </si>
  <si>
    <t>Susan Baker</t>
  </si>
  <si>
    <t>FL250169</t>
  </si>
  <si>
    <t>Anthony Larsen</t>
  </si>
  <si>
    <t>FL250170</t>
  </si>
  <si>
    <t>Nicholas Carpenter</t>
  </si>
  <si>
    <t>FL250171</t>
  </si>
  <si>
    <t>Debra Salazar</t>
  </si>
  <si>
    <t>FL250172</t>
  </si>
  <si>
    <t>William Smith</t>
  </si>
  <si>
    <t>FL250173</t>
  </si>
  <si>
    <t>Caroline Gross</t>
  </si>
  <si>
    <t>FL250174</t>
  </si>
  <si>
    <t>Jeremy Sawyer</t>
  </si>
  <si>
    <t>FL250175</t>
  </si>
  <si>
    <t>Eduardo Burns</t>
  </si>
  <si>
    <t>FL250176</t>
  </si>
  <si>
    <t>Amanda Jones</t>
  </si>
  <si>
    <t>FL250177</t>
  </si>
  <si>
    <t>Frederick Ware</t>
  </si>
  <si>
    <t>FL250178</t>
  </si>
  <si>
    <t>Michael Black</t>
  </si>
  <si>
    <t>FL250179</t>
  </si>
  <si>
    <t>Patricia Sanders</t>
  </si>
  <si>
    <t>FL250180</t>
  </si>
  <si>
    <t>Marc Joseph</t>
  </si>
  <si>
    <t>FL250181</t>
  </si>
  <si>
    <t>Vanessa White</t>
  </si>
  <si>
    <t>FL250182</t>
  </si>
  <si>
    <t>Jennifer Garcia</t>
  </si>
  <si>
    <t>FL250183</t>
  </si>
  <si>
    <t>Michael Zavala</t>
  </si>
  <si>
    <t>FL250184</t>
  </si>
  <si>
    <t>Kimberly Williams</t>
  </si>
  <si>
    <t>FL250185</t>
  </si>
  <si>
    <t>Elizabeth Jenkins</t>
  </si>
  <si>
    <t>FL250186</t>
  </si>
  <si>
    <t>Brandon Ford</t>
  </si>
  <si>
    <t>FL250187</t>
  </si>
  <si>
    <t>Justin House</t>
  </si>
  <si>
    <t>FL250188</t>
  </si>
  <si>
    <t>Henry Mullen</t>
  </si>
  <si>
    <t>FL250189</t>
  </si>
  <si>
    <t>Jesse Cochran</t>
  </si>
  <si>
    <t>FL250190</t>
  </si>
  <si>
    <t>Melissa Rich</t>
  </si>
  <si>
    <t>FL250191</t>
  </si>
  <si>
    <t>Patrick Dunlap</t>
  </si>
  <si>
    <t>FL250192</t>
  </si>
  <si>
    <t>Troy Carson</t>
  </si>
  <si>
    <t>FL250193</t>
  </si>
  <si>
    <t>FL250194</t>
  </si>
  <si>
    <t>Jennifer Cherry</t>
  </si>
  <si>
    <t>FL250195</t>
  </si>
  <si>
    <t>Brandi Tucker</t>
  </si>
  <si>
    <t>FL250196</t>
  </si>
  <si>
    <t>Zachary Burke</t>
  </si>
  <si>
    <t>FL250197</t>
  </si>
  <si>
    <t>Thomas Jones</t>
  </si>
  <si>
    <t>FL250198</t>
  </si>
  <si>
    <t>Brian Dunn</t>
  </si>
  <si>
    <t>FL250199</t>
  </si>
  <si>
    <t>Shirley Strickland</t>
  </si>
  <si>
    <t>FL250200</t>
  </si>
  <si>
    <t>Nicole Meyers</t>
  </si>
  <si>
    <t>FL250201</t>
  </si>
  <si>
    <t>Jill Stephens</t>
  </si>
  <si>
    <t>FL250202</t>
  </si>
  <si>
    <t>Heidi Miranda</t>
  </si>
  <si>
    <t>FL250203</t>
  </si>
  <si>
    <t>Jesus Martinez</t>
  </si>
  <si>
    <t>FL250204</t>
  </si>
  <si>
    <t>Adam Payne</t>
  </si>
  <si>
    <t>FL250205</t>
  </si>
  <si>
    <t>Walter Williams</t>
  </si>
  <si>
    <t>FL250206</t>
  </si>
  <si>
    <t>Shannon Farmer</t>
  </si>
  <si>
    <t>FL250207</t>
  </si>
  <si>
    <t>Peter Reyes</t>
  </si>
  <si>
    <t>FL250208</t>
  </si>
  <si>
    <t>Kristen Knight</t>
  </si>
  <si>
    <t>FL250209</t>
  </si>
  <si>
    <t>William Moore Jr.</t>
  </si>
  <si>
    <t>FL250210</t>
  </si>
  <si>
    <t>Jennifer Rowe</t>
  </si>
  <si>
    <t>FL250211</t>
  </si>
  <si>
    <t>Mikayla Henry</t>
  </si>
  <si>
    <t>FL250212</t>
  </si>
  <si>
    <t>Jacob Kerr</t>
  </si>
  <si>
    <t>FL250213</t>
  </si>
  <si>
    <t>Ryan Johnson</t>
  </si>
  <si>
    <t>FL250214</t>
  </si>
  <si>
    <t>Michael Ruiz</t>
  </si>
  <si>
    <t>FL250215</t>
  </si>
  <si>
    <t>Monica Roberts</t>
  </si>
  <si>
    <t>FL250216</t>
  </si>
  <si>
    <t>Danny Brown</t>
  </si>
  <si>
    <t>FL250217</t>
  </si>
  <si>
    <t>Karen Larsen</t>
  </si>
  <si>
    <t>FL250218</t>
  </si>
  <si>
    <t>Robert Evans</t>
  </si>
  <si>
    <t>FL250219</t>
  </si>
  <si>
    <t>Sean Poole</t>
  </si>
  <si>
    <t>FL250220</t>
  </si>
  <si>
    <t>Richard Quinn</t>
  </si>
  <si>
    <t>FL250221</t>
  </si>
  <si>
    <t>Jennifer Gonzalez</t>
  </si>
  <si>
    <t>FL250222</t>
  </si>
  <si>
    <t>James Skinner</t>
  </si>
  <si>
    <t>FL250223</t>
  </si>
  <si>
    <t>Michelle Hill</t>
  </si>
  <si>
    <t>FL250224</t>
  </si>
  <si>
    <t>Jacqueline Williams</t>
  </si>
  <si>
    <t>FL250225</t>
  </si>
  <si>
    <t>Darrell Johnson</t>
  </si>
  <si>
    <t>FL250226</t>
  </si>
  <si>
    <t>Ryan Crawford</t>
  </si>
  <si>
    <t>FL250227</t>
  </si>
  <si>
    <t>Chelsea Barber</t>
  </si>
  <si>
    <t>FL250228</t>
  </si>
  <si>
    <t>Elaine Martinez</t>
  </si>
  <si>
    <t>FL250229</t>
  </si>
  <si>
    <t>Joseph Kent</t>
  </si>
  <si>
    <t>FL250230</t>
  </si>
  <si>
    <t>Megan Welch</t>
  </si>
  <si>
    <t>FL250231</t>
  </si>
  <si>
    <t>Stephen Ramirez</t>
  </si>
  <si>
    <t>FL250232</t>
  </si>
  <si>
    <t>Chloe Gray</t>
  </si>
  <si>
    <t>FL250233</t>
  </si>
  <si>
    <t>Michael Williams Jr.</t>
  </si>
  <si>
    <t>FL250234</t>
  </si>
  <si>
    <t>Matthew Martin</t>
  </si>
  <si>
    <t>FL250235</t>
  </si>
  <si>
    <t>Julia Murphy</t>
  </si>
  <si>
    <t>FL250236</t>
  </si>
  <si>
    <t>Anna Evans</t>
  </si>
  <si>
    <t>FL250237</t>
  </si>
  <si>
    <t>Brenda Fleming</t>
  </si>
  <si>
    <t>FL250238</t>
  </si>
  <si>
    <t>Daniel Harrington</t>
  </si>
  <si>
    <t>FL250239</t>
  </si>
  <si>
    <t>Daniel Barnett</t>
  </si>
  <si>
    <t>FL250240</t>
  </si>
  <si>
    <t>Mark Cummings</t>
  </si>
  <si>
    <t>FL250241</t>
  </si>
  <si>
    <t>Christopher Guerra</t>
  </si>
  <si>
    <t>FL250242</t>
  </si>
  <si>
    <t>Sarah Ho</t>
  </si>
  <si>
    <t>FL250243</t>
  </si>
  <si>
    <t>Veronica Thomas</t>
  </si>
  <si>
    <t>FL250244</t>
  </si>
  <si>
    <t>Mitchell Watson</t>
  </si>
  <si>
    <t>FL250245</t>
  </si>
  <si>
    <t>Monica Murphy</t>
  </si>
  <si>
    <t>FL250246</t>
  </si>
  <si>
    <t>Kristen Williams</t>
  </si>
  <si>
    <t>FL250247</t>
  </si>
  <si>
    <t>Nicole Wright</t>
  </si>
  <si>
    <t>FL250248</t>
  </si>
  <si>
    <t>Andrew Ruiz</t>
  </si>
  <si>
    <t>FL250249</t>
  </si>
  <si>
    <t>Zachary Jackson</t>
  </si>
  <si>
    <t>FL250250</t>
  </si>
  <si>
    <t>Stephanie Carter</t>
  </si>
  <si>
    <t>FL250251</t>
  </si>
  <si>
    <t>Amy Olson</t>
  </si>
  <si>
    <t>FL250252</t>
  </si>
  <si>
    <t>Fred Stark</t>
  </si>
  <si>
    <t>FL250253</t>
  </si>
  <si>
    <t>Jacob Gill</t>
  </si>
  <si>
    <t>FL250254</t>
  </si>
  <si>
    <t>Anthony Nichols</t>
  </si>
  <si>
    <t>FL250255</t>
  </si>
  <si>
    <t>William Knapp</t>
  </si>
  <si>
    <t>FL250256</t>
  </si>
  <si>
    <t>Elizabeth Walker</t>
  </si>
  <si>
    <t>FL250257</t>
  </si>
  <si>
    <t>Brenda Reeves</t>
  </si>
  <si>
    <t>FL250258</t>
  </si>
  <si>
    <t>Carrie Little</t>
  </si>
  <si>
    <t>FL250259</t>
  </si>
  <si>
    <t>Steven Jackson</t>
  </si>
  <si>
    <t>FL250260</t>
  </si>
  <si>
    <t>Mark Perry</t>
  </si>
  <si>
    <t>FL250261</t>
  </si>
  <si>
    <t>Cameron Spencer</t>
  </si>
  <si>
    <t>FL250262</t>
  </si>
  <si>
    <t>Jennifer Holmes</t>
  </si>
  <si>
    <t>FL250263</t>
  </si>
  <si>
    <t>Jacob Joseph</t>
  </si>
  <si>
    <t>FL250264</t>
  </si>
  <si>
    <t>Jeffery Tucker</t>
  </si>
  <si>
    <t>FL250265</t>
  </si>
  <si>
    <t>Jacqueline Drake</t>
  </si>
  <si>
    <t>FL250266</t>
  </si>
  <si>
    <t>Brian Bautista</t>
  </si>
  <si>
    <t>FL250267</t>
  </si>
  <si>
    <t>Dakota Wells</t>
  </si>
  <si>
    <t>FL250268</t>
  </si>
  <si>
    <t>Julie White</t>
  </si>
  <si>
    <t>FL250269</t>
  </si>
  <si>
    <t>Barbara Keith</t>
  </si>
  <si>
    <t>FL250270</t>
  </si>
  <si>
    <t>Heather Camacho</t>
  </si>
  <si>
    <t>FL250271</t>
  </si>
  <si>
    <t>Melanie Harris</t>
  </si>
  <si>
    <t>FL250272</t>
  </si>
  <si>
    <t>Jacqueline Peterson</t>
  </si>
  <si>
    <t>FL250273</t>
  </si>
  <si>
    <t>Nancy Long</t>
  </si>
  <si>
    <t>FL250274</t>
  </si>
  <si>
    <t>Mr. Juan Mitchell</t>
  </si>
  <si>
    <t>FL250275</t>
  </si>
  <si>
    <t>William Gaines</t>
  </si>
  <si>
    <t>FL250276</t>
  </si>
  <si>
    <t>Haley Yates</t>
  </si>
  <si>
    <t>FL250277</t>
  </si>
  <si>
    <t>Richard Mcguire</t>
  </si>
  <si>
    <t>FL250278</t>
  </si>
  <si>
    <t>Stephanie Fisher</t>
  </si>
  <si>
    <t>FL250279</t>
  </si>
  <si>
    <t>Anthony Goodwin DDS</t>
  </si>
  <si>
    <t>FL250280</t>
  </si>
  <si>
    <t>Meagan Walters</t>
  </si>
  <si>
    <t>FL250281</t>
  </si>
  <si>
    <t>David Powell</t>
  </si>
  <si>
    <t>FL250282</t>
  </si>
  <si>
    <t>Kelly Jones</t>
  </si>
  <si>
    <t>FL250283</t>
  </si>
  <si>
    <t>Dr. Michael Aguilar</t>
  </si>
  <si>
    <t>FL250284</t>
  </si>
  <si>
    <t>Alex Novak</t>
  </si>
  <si>
    <t>FL250285</t>
  </si>
  <si>
    <t>Ann Contreras</t>
  </si>
  <si>
    <t>FL250286</t>
  </si>
  <si>
    <t>Mary Reed</t>
  </si>
  <si>
    <t>FL250287</t>
  </si>
  <si>
    <t>Lauren Ross</t>
  </si>
  <si>
    <t>FL250288</t>
  </si>
  <si>
    <t>Candice Wise</t>
  </si>
  <si>
    <t>FL250289</t>
  </si>
  <si>
    <t>Joyce Humphrey</t>
  </si>
  <si>
    <t>FL250290</t>
  </si>
  <si>
    <t>James Carr</t>
  </si>
  <si>
    <t>FL250291</t>
  </si>
  <si>
    <t>Joseph Mendoza</t>
  </si>
  <si>
    <t>FL250292</t>
  </si>
  <si>
    <t>Cathy Baldwin</t>
  </si>
  <si>
    <t>FL250293</t>
  </si>
  <si>
    <t>Christine Hart</t>
  </si>
  <si>
    <t>FL250294</t>
  </si>
  <si>
    <t>Mike Stanley</t>
  </si>
  <si>
    <t>FL250295</t>
  </si>
  <si>
    <t>Jeffrey Edwards</t>
  </si>
  <si>
    <t>FL250296</t>
  </si>
  <si>
    <t>Amy Lee</t>
  </si>
  <si>
    <t>FL250297</t>
  </si>
  <si>
    <t>Mark Thompson</t>
  </si>
  <si>
    <t>FL250298</t>
  </si>
  <si>
    <t>Alex Wilson</t>
  </si>
  <si>
    <t>FL250299</t>
  </si>
  <si>
    <t>Nancy Mendez</t>
  </si>
  <si>
    <t>FL250300</t>
  </si>
  <si>
    <t>Beth Crane</t>
  </si>
  <si>
    <t>FL250301</t>
  </si>
  <si>
    <t>Miguel Rogers</t>
  </si>
  <si>
    <t>FL250302</t>
  </si>
  <si>
    <t>Thomas Robles</t>
  </si>
  <si>
    <t>FL250303</t>
  </si>
  <si>
    <t>Joel Brown III</t>
  </si>
  <si>
    <t>FL250304</t>
  </si>
  <si>
    <t>Olivia Schultz</t>
  </si>
  <si>
    <t>FL250305</t>
  </si>
  <si>
    <t>Clayton Pena</t>
  </si>
  <si>
    <t>FL250306</t>
  </si>
  <si>
    <t>Ashley Salazar</t>
  </si>
  <si>
    <t>FL250307</t>
  </si>
  <si>
    <t>Robert Lucas</t>
  </si>
  <si>
    <t>FL250308</t>
  </si>
  <si>
    <t>David Cox</t>
  </si>
  <si>
    <t>FL250309</t>
  </si>
  <si>
    <t>Christian Campbell</t>
  </si>
  <si>
    <t>FL250310</t>
  </si>
  <si>
    <t>Mrs. Angela Ward</t>
  </si>
  <si>
    <t>FL250311</t>
  </si>
  <si>
    <t>Lucas Chen</t>
  </si>
  <si>
    <t>FL250312</t>
  </si>
  <si>
    <t>Ruben Nelson</t>
  </si>
  <si>
    <t>FL250313</t>
  </si>
  <si>
    <t>Brenda Briggs</t>
  </si>
  <si>
    <t>FL250314</t>
  </si>
  <si>
    <t>Ronald Smith</t>
  </si>
  <si>
    <t>FL250315</t>
  </si>
  <si>
    <t>Dakota Giles</t>
  </si>
  <si>
    <t>FL250316</t>
  </si>
  <si>
    <t>Angela Castillo</t>
  </si>
  <si>
    <t>FL250317</t>
  </si>
  <si>
    <t>Allen Lee</t>
  </si>
  <si>
    <t>FL250318</t>
  </si>
  <si>
    <t>Michael Rogers</t>
  </si>
  <si>
    <t>FL250319</t>
  </si>
  <si>
    <t>Danielle Costa</t>
  </si>
  <si>
    <t>FL250320</t>
  </si>
  <si>
    <t>William Nunez</t>
  </si>
  <si>
    <t>FL250321</t>
  </si>
  <si>
    <t>Christopher Riggs</t>
  </si>
  <si>
    <t>FL250322</t>
  </si>
  <si>
    <t>Kathryn Myers</t>
  </si>
  <si>
    <t>FL250323</t>
  </si>
  <si>
    <t>Robert Walls</t>
  </si>
  <si>
    <t>FL250324</t>
  </si>
  <si>
    <t>Justin Johnson</t>
  </si>
  <si>
    <t>FL250325</t>
  </si>
  <si>
    <t>Paula Stevens</t>
  </si>
  <si>
    <t>FL250326</t>
  </si>
  <si>
    <t>Jennifer Allen</t>
  </si>
  <si>
    <t>FL250327</t>
  </si>
  <si>
    <t>Mark Hudson</t>
  </si>
  <si>
    <t>FL250328</t>
  </si>
  <si>
    <t>Jessica Smith</t>
  </si>
  <si>
    <t>FL250329</t>
  </si>
  <si>
    <t>Mike Dean</t>
  </si>
  <si>
    <t>FL250330</t>
  </si>
  <si>
    <t>Jose Wilson</t>
  </si>
  <si>
    <t>FL250331</t>
  </si>
  <si>
    <t>Tammy Hill</t>
  </si>
  <si>
    <t>FL250332</t>
  </si>
  <si>
    <t>Nathaniel Flores</t>
  </si>
  <si>
    <t>FL250333</t>
  </si>
  <si>
    <t>Edwin Carter</t>
  </si>
  <si>
    <t>FL250334</t>
  </si>
  <si>
    <t>Patricia Miller</t>
  </si>
  <si>
    <t>FL250335</t>
  </si>
  <si>
    <t>Rebecca Schneider</t>
  </si>
  <si>
    <t>FL250336</t>
  </si>
  <si>
    <t>John Greene</t>
  </si>
  <si>
    <t>FL250337</t>
  </si>
  <si>
    <t>Brittany Mcdowell</t>
  </si>
  <si>
    <t>FL250338</t>
  </si>
  <si>
    <t>Lori Miller</t>
  </si>
  <si>
    <t>FL250339</t>
  </si>
  <si>
    <t>Joseph Robinson</t>
  </si>
  <si>
    <t>FL250340</t>
  </si>
  <si>
    <t>Aaron Pruitt</t>
  </si>
  <si>
    <t>FL250341</t>
  </si>
  <si>
    <t>Victoria Miller</t>
  </si>
  <si>
    <t>FL250342</t>
  </si>
  <si>
    <t>Clarence Vega</t>
  </si>
  <si>
    <t>FL250343</t>
  </si>
  <si>
    <t>Deborah Day</t>
  </si>
  <si>
    <t>FL250344</t>
  </si>
  <si>
    <t>Nicole Rocha</t>
  </si>
  <si>
    <t>FL250345</t>
  </si>
  <si>
    <t>Elijah Green</t>
  </si>
  <si>
    <t>FL250346</t>
  </si>
  <si>
    <t>Emily Johnson</t>
  </si>
  <si>
    <t>FL250347</t>
  </si>
  <si>
    <t>Richard Velasquez Jr.</t>
  </si>
  <si>
    <t>FL250348</t>
  </si>
  <si>
    <t>Kurt Wilson</t>
  </si>
  <si>
    <t>FL250349</t>
  </si>
  <si>
    <t>Jeremiah Rodriguez</t>
  </si>
  <si>
    <t>FL250350</t>
  </si>
  <si>
    <t>Lauren Lang</t>
  </si>
  <si>
    <t>FL250351</t>
  </si>
  <si>
    <t>Matthew Phillips</t>
  </si>
  <si>
    <t>FL250352</t>
  </si>
  <si>
    <t>Michael Andersen</t>
  </si>
  <si>
    <t>FL250353</t>
  </si>
  <si>
    <t>Amanda Mayo</t>
  </si>
  <si>
    <t>FL250354</t>
  </si>
  <si>
    <t>Jessica Vance</t>
  </si>
  <si>
    <t>FL250355</t>
  </si>
  <si>
    <t>Alexa Gallegos</t>
  </si>
  <si>
    <t>FL250356</t>
  </si>
  <si>
    <t>Charles Pratt</t>
  </si>
  <si>
    <t>FL250357</t>
  </si>
  <si>
    <t>Brian Baker</t>
  </si>
  <si>
    <t>FL250358</t>
  </si>
  <si>
    <t>Christina Norman</t>
  </si>
  <si>
    <t>FL250359</t>
  </si>
  <si>
    <t>Laura Kelly</t>
  </si>
  <si>
    <t>FL250360</t>
  </si>
  <si>
    <t>John Webb</t>
  </si>
  <si>
    <t>FL250361</t>
  </si>
  <si>
    <t>Christopher Burton</t>
  </si>
  <si>
    <t>FL250362</t>
  </si>
  <si>
    <t>Bradley Aguilar</t>
  </si>
  <si>
    <t>FL250363</t>
  </si>
  <si>
    <t>Arthur Vasquez</t>
  </si>
  <si>
    <t>FL250364</t>
  </si>
  <si>
    <t>Angela Castro</t>
  </si>
  <si>
    <t>FL250365</t>
  </si>
  <si>
    <t>Summer Yoder</t>
  </si>
  <si>
    <t>FL250366</t>
  </si>
  <si>
    <t>Jackie Allen</t>
  </si>
  <si>
    <t>FL250367</t>
  </si>
  <si>
    <t>Brandon Williams</t>
  </si>
  <si>
    <t>FL250368</t>
  </si>
  <si>
    <t>Manuel Torres</t>
  </si>
  <si>
    <t>FL250369</t>
  </si>
  <si>
    <t>Scott Keller</t>
  </si>
  <si>
    <t>FL250370</t>
  </si>
  <si>
    <t>Deborah Brown</t>
  </si>
  <si>
    <t>FL250371</t>
  </si>
  <si>
    <t>Jennifer Lara</t>
  </si>
  <si>
    <t>FL250372</t>
  </si>
  <si>
    <t>Jason Scott</t>
  </si>
  <si>
    <t>FL250373</t>
  </si>
  <si>
    <t>Gregory Garrison</t>
  </si>
  <si>
    <t>FL250374</t>
  </si>
  <si>
    <t>Chelsea Anderson</t>
  </si>
  <si>
    <t>FL250375</t>
  </si>
  <si>
    <t>Gerald Johnson</t>
  </si>
  <si>
    <t>FL250376</t>
  </si>
  <si>
    <t>Kevin Ellis</t>
  </si>
  <si>
    <t>FL250377</t>
  </si>
  <si>
    <t>Mitchell Keller</t>
  </si>
  <si>
    <t>FL250378</t>
  </si>
  <si>
    <t>Mary Brown</t>
  </si>
  <si>
    <t>FL250379</t>
  </si>
  <si>
    <t>Ronald Walls</t>
  </si>
  <si>
    <t>FL250380</t>
  </si>
  <si>
    <t>Anthony Avila</t>
  </si>
  <si>
    <t>FL250381</t>
  </si>
  <si>
    <t>Douglas Goodwin</t>
  </si>
  <si>
    <t>FL250382</t>
  </si>
  <si>
    <t>James Mills</t>
  </si>
  <si>
    <t>FL250383</t>
  </si>
  <si>
    <t>Nicole Marks</t>
  </si>
  <si>
    <t>FL250384</t>
  </si>
  <si>
    <t>Phyllis Dawson</t>
  </si>
  <si>
    <t>FL250385</t>
  </si>
  <si>
    <t>Renee Arnold</t>
  </si>
  <si>
    <t>FL250386</t>
  </si>
  <si>
    <t>Eric Robinson</t>
  </si>
  <si>
    <t>FL250387</t>
  </si>
  <si>
    <t>Paul Brown</t>
  </si>
  <si>
    <t>FL250388</t>
  </si>
  <si>
    <t>Sarah Proctor</t>
  </si>
  <si>
    <t>FL250389</t>
  </si>
  <si>
    <t>Matthew Hicks</t>
  </si>
  <si>
    <t>FL250390</t>
  </si>
  <si>
    <t>Christopher Black</t>
  </si>
  <si>
    <t>FL250391</t>
  </si>
  <si>
    <t>Joanne Reyes</t>
  </si>
  <si>
    <t>FL250392</t>
  </si>
  <si>
    <t>Isaac Gray</t>
  </si>
  <si>
    <t>FL250393</t>
  </si>
  <si>
    <t>Joshua Roberts</t>
  </si>
  <si>
    <t>FL250394</t>
  </si>
  <si>
    <t>Elizabeth Estrada</t>
  </si>
  <si>
    <t>FL250395</t>
  </si>
  <si>
    <t>Lori Malone</t>
  </si>
  <si>
    <t>FL250396</t>
  </si>
  <si>
    <t>Anthony Huynh MD</t>
  </si>
  <si>
    <t>FL250397</t>
  </si>
  <si>
    <t>Mindy York</t>
  </si>
  <si>
    <t>FL250398</t>
  </si>
  <si>
    <t>Ms. Christine Cherry</t>
  </si>
  <si>
    <t>FL250399</t>
  </si>
  <si>
    <t>Daniel Foster</t>
  </si>
  <si>
    <t>FL250400</t>
  </si>
  <si>
    <t>Mr. David Valencia</t>
  </si>
  <si>
    <t>FL250401</t>
  </si>
  <si>
    <t>Ethan Adams</t>
  </si>
  <si>
    <t>FL250402</t>
  </si>
  <si>
    <t>Brett Moore</t>
  </si>
  <si>
    <t>FL250403</t>
  </si>
  <si>
    <t>Phillip Griffin</t>
  </si>
  <si>
    <t>FL250404</t>
  </si>
  <si>
    <t>Stacie Wall</t>
  </si>
  <si>
    <t>FL250405</t>
  </si>
  <si>
    <t>Jacob Austin</t>
  </si>
  <si>
    <t>FL250406</t>
  </si>
  <si>
    <t>Sabrina Davidson</t>
  </si>
  <si>
    <t>FL250407</t>
  </si>
  <si>
    <t>Dustin Douglas</t>
  </si>
  <si>
    <t>FL250408</t>
  </si>
  <si>
    <t>Steven Norris</t>
  </si>
  <si>
    <t>FL250409</t>
  </si>
  <si>
    <t>Mindy Sullivan</t>
  </si>
  <si>
    <t>FL250410</t>
  </si>
  <si>
    <t>Elizabeth Stone</t>
  </si>
  <si>
    <t>FL250411</t>
  </si>
  <si>
    <t>Diane Flores</t>
  </si>
  <si>
    <t>FL250412</t>
  </si>
  <si>
    <t>Jessica Erickson</t>
  </si>
  <si>
    <t>FL250413</t>
  </si>
  <si>
    <t>Sara Moses</t>
  </si>
  <si>
    <t>FL250414</t>
  </si>
  <si>
    <t>Allison Henderson</t>
  </si>
  <si>
    <t>FL250415</t>
  </si>
  <si>
    <t>Susan Dixon</t>
  </si>
  <si>
    <t>FL250416</t>
  </si>
  <si>
    <t>David Morrison</t>
  </si>
  <si>
    <t>FL250417</t>
  </si>
  <si>
    <t>FL250418</t>
  </si>
  <si>
    <t>James Jacobs</t>
  </si>
  <si>
    <t>FL250419</t>
  </si>
  <si>
    <t>Kathleen Quinn</t>
  </si>
  <si>
    <t>FL250420</t>
  </si>
  <si>
    <t>Natalie Frank MD</t>
  </si>
  <si>
    <t>FL250421</t>
  </si>
  <si>
    <t>Michael Reed</t>
  </si>
  <si>
    <t>FL250422</t>
  </si>
  <si>
    <t>Sheila Smith</t>
  </si>
  <si>
    <t>FL250423</t>
  </si>
  <si>
    <t>Morgan Ford</t>
  </si>
  <si>
    <t>FL250424</t>
  </si>
  <si>
    <t>Linda Schultz</t>
  </si>
  <si>
    <t>FL250425</t>
  </si>
  <si>
    <t>Regina Daniel</t>
  </si>
  <si>
    <t>FL250426</t>
  </si>
  <si>
    <t>Allison Perkins</t>
  </si>
  <si>
    <t>FL250427</t>
  </si>
  <si>
    <t>Bradley Weaver</t>
  </si>
  <si>
    <t>FL250428</t>
  </si>
  <si>
    <t>Sarah Hall</t>
  </si>
  <si>
    <t>FL250429</t>
  </si>
  <si>
    <t>Diana Walton</t>
  </si>
  <si>
    <t>FL250430</t>
  </si>
  <si>
    <t>Donna Davis</t>
  </si>
  <si>
    <t>FL250431</t>
  </si>
  <si>
    <t>Christopher Mcclain</t>
  </si>
  <si>
    <t>FL250432</t>
  </si>
  <si>
    <t>Dr. Paul Williamson</t>
  </si>
  <si>
    <t>FL250433</t>
  </si>
  <si>
    <t>Barbara Brown</t>
  </si>
  <si>
    <t>FL250434</t>
  </si>
  <si>
    <t>Kimberly Allen</t>
  </si>
  <si>
    <t>FL250435</t>
  </si>
  <si>
    <t>Elizabeth Edwards</t>
  </si>
  <si>
    <t>FL250436</t>
  </si>
  <si>
    <t>Anthony Downs</t>
  </si>
  <si>
    <t>FL250437</t>
  </si>
  <si>
    <t>Jack Ortega</t>
  </si>
  <si>
    <t>FL250438</t>
  </si>
  <si>
    <t>Marvin Moore</t>
  </si>
  <si>
    <t>FL250439</t>
  </si>
  <si>
    <t>Tony French</t>
  </si>
  <si>
    <t>FL250440</t>
  </si>
  <si>
    <t>Stacy Hudson</t>
  </si>
  <si>
    <t>FL250441</t>
  </si>
  <si>
    <t>Scott Washington</t>
  </si>
  <si>
    <t>FL250442</t>
  </si>
  <si>
    <t>Timothy Wright</t>
  </si>
  <si>
    <t>FL250443</t>
  </si>
  <si>
    <t>Joseph Gonzalez</t>
  </si>
  <si>
    <t>FL250444</t>
  </si>
  <si>
    <t>Andrea Perez</t>
  </si>
  <si>
    <t>FL250445</t>
  </si>
  <si>
    <t>Angel Collins</t>
  </si>
  <si>
    <t>FL250446</t>
  </si>
  <si>
    <t>Daniel Terry</t>
  </si>
  <si>
    <t>FL250447</t>
  </si>
  <si>
    <t>Steven Whitaker</t>
  </si>
  <si>
    <t>FL250448</t>
  </si>
  <si>
    <t>Denise Neal</t>
  </si>
  <si>
    <t>FL250449</t>
  </si>
  <si>
    <t>Amanda Jacobs</t>
  </si>
  <si>
    <t>FL250450</t>
  </si>
  <si>
    <t>Karen Mercer</t>
  </si>
  <si>
    <t>FL250451</t>
  </si>
  <si>
    <t>Lindsay Hudson</t>
  </si>
  <si>
    <t>FL250452</t>
  </si>
  <si>
    <t>Stephanie Armstrong</t>
  </si>
  <si>
    <t>FL250453</t>
  </si>
  <si>
    <t>Dr. Jessica Campbell</t>
  </si>
  <si>
    <t>FL250454</t>
  </si>
  <si>
    <t>Curtis Maxwell</t>
  </si>
  <si>
    <t>FL250455</t>
  </si>
  <si>
    <t>Adam Kelly PhD</t>
  </si>
  <si>
    <t>FL250456</t>
  </si>
  <si>
    <t>Julie Becker</t>
  </si>
  <si>
    <t>FL250457</t>
  </si>
  <si>
    <t>James Moore</t>
  </si>
  <si>
    <t>FL250458</t>
  </si>
  <si>
    <t>Danielle Barrera</t>
  </si>
  <si>
    <t>FL250459</t>
  </si>
  <si>
    <t>David Sanchez</t>
  </si>
  <si>
    <t>FL250460</t>
  </si>
  <si>
    <t>Tiffany Bowman</t>
  </si>
  <si>
    <t>FL250461</t>
  </si>
  <si>
    <t>Jesus Quinn</t>
  </si>
  <si>
    <t>FL250462</t>
  </si>
  <si>
    <t>Mr. Danny Morris DDS</t>
  </si>
  <si>
    <t>FL250463</t>
  </si>
  <si>
    <t>Nicole York</t>
  </si>
  <si>
    <t>FL250464</t>
  </si>
  <si>
    <t>John Mathis</t>
  </si>
  <si>
    <t>FL250465</t>
  </si>
  <si>
    <t>Julie Barnett</t>
  </si>
  <si>
    <t>FL250466</t>
  </si>
  <si>
    <t>Jasmine Harris</t>
  </si>
  <si>
    <t>FL250467</t>
  </si>
  <si>
    <t>Mary Henry</t>
  </si>
  <si>
    <t>FL250468</t>
  </si>
  <si>
    <t>Judith Riggs</t>
  </si>
  <si>
    <t>FL250469</t>
  </si>
  <si>
    <t>Justin Ruiz</t>
  </si>
  <si>
    <t>FL250470</t>
  </si>
  <si>
    <t>Jennifer Sullivan</t>
  </si>
  <si>
    <t>FL250471</t>
  </si>
  <si>
    <t>Jesse Moran</t>
  </si>
  <si>
    <t>FL250472</t>
  </si>
  <si>
    <t>Monica Smith</t>
  </si>
  <si>
    <t>FL250473</t>
  </si>
  <si>
    <t>Ian May</t>
  </si>
  <si>
    <t>FL250474</t>
  </si>
  <si>
    <t>Kayla Meyers</t>
  </si>
  <si>
    <t>FL250475</t>
  </si>
  <si>
    <t>John Bray</t>
  </si>
  <si>
    <t>FL250476</t>
  </si>
  <si>
    <t>James Smith</t>
  </si>
  <si>
    <t>FL250477</t>
  </si>
  <si>
    <t>Mark Duncan</t>
  </si>
  <si>
    <t>FL250478</t>
  </si>
  <si>
    <t>Matthew Gay</t>
  </si>
  <si>
    <t>FL250479</t>
  </si>
  <si>
    <t>Cheryl Freeman</t>
  </si>
  <si>
    <t>FL250480</t>
  </si>
  <si>
    <t>Patrick Welch</t>
  </si>
  <si>
    <t>FL250481</t>
  </si>
  <si>
    <t>Craig Levine</t>
  </si>
  <si>
    <t>FL250482</t>
  </si>
  <si>
    <t>Richard Harvey</t>
  </si>
  <si>
    <t>FL250483</t>
  </si>
  <si>
    <t>Bonnie Sherman</t>
  </si>
  <si>
    <t>FL250484</t>
  </si>
  <si>
    <t>Keith Trujillo</t>
  </si>
  <si>
    <t>FL250485</t>
  </si>
  <si>
    <t>Corey Combs</t>
  </si>
  <si>
    <t>FL250486</t>
  </si>
  <si>
    <t>Antonio King</t>
  </si>
  <si>
    <t>FL250487</t>
  </si>
  <si>
    <t>FL250488</t>
  </si>
  <si>
    <t>Jennifer Rogers</t>
  </si>
  <si>
    <t>FL250489</t>
  </si>
  <si>
    <t>Jeffrey Cooper</t>
  </si>
  <si>
    <t>FL250490</t>
  </si>
  <si>
    <t>Allison Williams</t>
  </si>
  <si>
    <t>FL250491</t>
  </si>
  <si>
    <t>Raymond Sherman</t>
  </si>
  <si>
    <t>FL250492</t>
  </si>
  <si>
    <t>Jennifer Nelson</t>
  </si>
  <si>
    <t>FL250493</t>
  </si>
  <si>
    <t>Jennifer Carter</t>
  </si>
  <si>
    <t>FL250494</t>
  </si>
  <si>
    <t>Todd Williams</t>
  </si>
  <si>
    <t>FL250495</t>
  </si>
  <si>
    <t>Emily Horton</t>
  </si>
  <si>
    <t>FL250496</t>
  </si>
  <si>
    <t>Lance Lester</t>
  </si>
  <si>
    <t>FL250497</t>
  </si>
  <si>
    <t>Kevin Flores</t>
  </si>
  <si>
    <t>FL250498</t>
  </si>
  <si>
    <t>Aaron Stewart PhD</t>
  </si>
  <si>
    <t>FL250499</t>
  </si>
  <si>
    <t>Robin Moore</t>
  </si>
  <si>
    <t>FL250500</t>
  </si>
  <si>
    <t>Suzanne Ingram</t>
  </si>
  <si>
    <t>FL250501</t>
  </si>
  <si>
    <t>Jacob Mclaughlin</t>
  </si>
  <si>
    <t>FL250502</t>
  </si>
  <si>
    <t>Michael Nunez</t>
  </si>
  <si>
    <t>FL250503</t>
  </si>
  <si>
    <t>Isabel Brown</t>
  </si>
  <si>
    <t>FL250504</t>
  </si>
  <si>
    <t>Michael Stein</t>
  </si>
  <si>
    <t>FL250505</t>
  </si>
  <si>
    <t>Robert Stone</t>
  </si>
  <si>
    <t>FL250506</t>
  </si>
  <si>
    <t>Dillon Henry</t>
  </si>
  <si>
    <t>FL250507</t>
  </si>
  <si>
    <t>James Todd</t>
  </si>
  <si>
    <t>FL250508</t>
  </si>
  <si>
    <t>Clifford Moore MD</t>
  </si>
  <si>
    <t>FL250509</t>
  </si>
  <si>
    <t>John Rios</t>
  </si>
  <si>
    <t>FL250510</t>
  </si>
  <si>
    <t>Anthony Gaines</t>
  </si>
  <si>
    <t>FL250511</t>
  </si>
  <si>
    <t>Kristi Brown DVM</t>
  </si>
  <si>
    <t>FL250512</t>
  </si>
  <si>
    <t>Ashley Odonnell</t>
  </si>
  <si>
    <t>FL250513</t>
  </si>
  <si>
    <t>Ronald Elliott</t>
  </si>
  <si>
    <t>FL250514</t>
  </si>
  <si>
    <t>Lorraine Lowery</t>
  </si>
  <si>
    <t>FL250515</t>
  </si>
  <si>
    <t>Victoria Chapman</t>
  </si>
  <si>
    <t>FL250516</t>
  </si>
  <si>
    <t>Heather Davis</t>
  </si>
  <si>
    <t>FL250517</t>
  </si>
  <si>
    <t>Diana Chase</t>
  </si>
  <si>
    <t>FL250518</t>
  </si>
  <si>
    <t>Danielle Adkins</t>
  </si>
  <si>
    <t>FL250519</t>
  </si>
  <si>
    <t>Kenneth Arias</t>
  </si>
  <si>
    <t>FL250520</t>
  </si>
  <si>
    <t>Victoria Owen</t>
  </si>
  <si>
    <t>FL250521</t>
  </si>
  <si>
    <t>Christina King</t>
  </si>
  <si>
    <t>FL250522</t>
  </si>
  <si>
    <t>Samantha King</t>
  </si>
  <si>
    <t>FL250523</t>
  </si>
  <si>
    <t>Scott Compton</t>
  </si>
  <si>
    <t>FL250524</t>
  </si>
  <si>
    <t>Monica West</t>
  </si>
  <si>
    <t>FL250525</t>
  </si>
  <si>
    <t>Theresa Stewart</t>
  </si>
  <si>
    <t>FL250526</t>
  </si>
  <si>
    <t>Steven Kim</t>
  </si>
  <si>
    <t>FL250527</t>
  </si>
  <si>
    <t>Kristi Knight</t>
  </si>
  <si>
    <t>FL250528</t>
  </si>
  <si>
    <t>Jason Bryant</t>
  </si>
  <si>
    <t>FL250529</t>
  </si>
  <si>
    <t>Maureen Keith</t>
  </si>
  <si>
    <t>FL250530</t>
  </si>
  <si>
    <t>Shawn Hogan</t>
  </si>
  <si>
    <t>FL250531</t>
  </si>
  <si>
    <t>William Davis</t>
  </si>
  <si>
    <t>FL250532</t>
  </si>
  <si>
    <t>Stacy Bailey</t>
  </si>
  <si>
    <t>FL250533</t>
  </si>
  <si>
    <t>Thomas Dixon</t>
  </si>
  <si>
    <t>FL250534</t>
  </si>
  <si>
    <t>Maria Hall</t>
  </si>
  <si>
    <t>FL250535</t>
  </si>
  <si>
    <t>Tony Lee</t>
  </si>
  <si>
    <t>FL250536</t>
  </si>
  <si>
    <t>Catherine Mccoy MD</t>
  </si>
  <si>
    <t>FL250537</t>
  </si>
  <si>
    <t>Maria Benitez</t>
  </si>
  <si>
    <t>FL250538</t>
  </si>
  <si>
    <t>Joshua Chambers</t>
  </si>
  <si>
    <t>FL250539</t>
  </si>
  <si>
    <t>Janice Daniels</t>
  </si>
  <si>
    <t>FL250540</t>
  </si>
  <si>
    <t>Carla Wood</t>
  </si>
  <si>
    <t>FL250541</t>
  </si>
  <si>
    <t>Kenneth Vasquez</t>
  </si>
  <si>
    <t>FL250542</t>
  </si>
  <si>
    <t>Kevin Smith</t>
  </si>
  <si>
    <t>FL250543</t>
  </si>
  <si>
    <t>Thomas Kim</t>
  </si>
  <si>
    <t>FL250544</t>
  </si>
  <si>
    <t>Sean Park</t>
  </si>
  <si>
    <t>FL250545</t>
  </si>
  <si>
    <t>Judith Poole</t>
  </si>
  <si>
    <t>FL250546</t>
  </si>
  <si>
    <t>Melanie Baird</t>
  </si>
  <si>
    <t>FL250547</t>
  </si>
  <si>
    <t>Erika Mitchell</t>
  </si>
  <si>
    <t>FL250548</t>
  </si>
  <si>
    <t>Ricky Martinez</t>
  </si>
  <si>
    <t>FL250549</t>
  </si>
  <si>
    <t>John Christian</t>
  </si>
  <si>
    <t>FL250550</t>
  </si>
  <si>
    <t>Nancy Smith</t>
  </si>
  <si>
    <t>FL250551</t>
  </si>
  <si>
    <t>Cassandra Stephens</t>
  </si>
  <si>
    <t>FL250552</t>
  </si>
  <si>
    <t>Miss Janet Donovan MD</t>
  </si>
  <si>
    <t>FL250553</t>
  </si>
  <si>
    <t>Kristina Williams</t>
  </si>
  <si>
    <t>FL250554</t>
  </si>
  <si>
    <t>Wayne Barnes</t>
  </si>
  <si>
    <t>FL250555</t>
  </si>
  <si>
    <t>James Hinton</t>
  </si>
  <si>
    <t>FL250556</t>
  </si>
  <si>
    <t>David Spence</t>
  </si>
  <si>
    <t>FL250557</t>
  </si>
  <si>
    <t>Tyler Cooper</t>
  </si>
  <si>
    <t>FL250558</t>
  </si>
  <si>
    <t>Sean Martinez</t>
  </si>
  <si>
    <t>FL250559</t>
  </si>
  <si>
    <t>Janet Barron</t>
  </si>
  <si>
    <t>FL250560</t>
  </si>
  <si>
    <t>Rodney Wilson</t>
  </si>
  <si>
    <t>FL250561</t>
  </si>
  <si>
    <t>Kimberly Fitzgerald</t>
  </si>
  <si>
    <t>FL250562</t>
  </si>
  <si>
    <t>Nicole Davis</t>
  </si>
  <si>
    <t>FL250563</t>
  </si>
  <si>
    <t>Elizabeth Hayes</t>
  </si>
  <si>
    <t>FL250564</t>
  </si>
  <si>
    <t>Kathy Faulkner</t>
  </si>
  <si>
    <t>FL250565</t>
  </si>
  <si>
    <t>John Gonzales</t>
  </si>
  <si>
    <t>FL250566</t>
  </si>
  <si>
    <t>Shannon Luna</t>
  </si>
  <si>
    <t>FL250567</t>
  </si>
  <si>
    <t>Stephanie Burton</t>
  </si>
  <si>
    <t>FL250568</t>
  </si>
  <si>
    <t>Kevin Gonzales</t>
  </si>
  <si>
    <t>FL250569</t>
  </si>
  <si>
    <t>Dawn Hardy</t>
  </si>
  <si>
    <t>FL250570</t>
  </si>
  <si>
    <t>Margaret Perkins</t>
  </si>
  <si>
    <t>FL250571</t>
  </si>
  <si>
    <t>Amanda Vargas</t>
  </si>
  <si>
    <t>FL250572</t>
  </si>
  <si>
    <t>Tonya Gonzalez</t>
  </si>
  <si>
    <t>FL250573</t>
  </si>
  <si>
    <t>Elizabeth Bowman</t>
  </si>
  <si>
    <t>FL250574</t>
  </si>
  <si>
    <t>Ariana Pittman</t>
  </si>
  <si>
    <t>FL250575</t>
  </si>
  <si>
    <t>Antonio Johnson</t>
  </si>
  <si>
    <t>FL250576</t>
  </si>
  <si>
    <t>Justin Lang</t>
  </si>
  <si>
    <t>FL250577</t>
  </si>
  <si>
    <t>Kelli Ramirez</t>
  </si>
  <si>
    <t>FL250578</t>
  </si>
  <si>
    <t>Deborah Torres</t>
  </si>
  <si>
    <t>FL250579</t>
  </si>
  <si>
    <t>Joseph Horn</t>
  </si>
  <si>
    <t>FL250580</t>
  </si>
  <si>
    <t>Christopher Robinson</t>
  </si>
  <si>
    <t>FL250581</t>
  </si>
  <si>
    <t>Sandra Mccormick</t>
  </si>
  <si>
    <t>FL250582</t>
  </si>
  <si>
    <t>Michael Holland</t>
  </si>
  <si>
    <t>FL250583</t>
  </si>
  <si>
    <t>Kenneth Stevenson</t>
  </si>
  <si>
    <t>FL250584</t>
  </si>
  <si>
    <t>Timothy Bennett</t>
  </si>
  <si>
    <t>FL250585</t>
  </si>
  <si>
    <t>Gregory Randall</t>
  </si>
  <si>
    <t>FL250586</t>
  </si>
  <si>
    <t>Charles Martinez</t>
  </si>
  <si>
    <t>FL250587</t>
  </si>
  <si>
    <t>James Hall</t>
  </si>
  <si>
    <t>FL250588</t>
  </si>
  <si>
    <t>Michael Garcia</t>
  </si>
  <si>
    <t>FL250589</t>
  </si>
  <si>
    <t>Michele Duran</t>
  </si>
  <si>
    <t>FL250590</t>
  </si>
  <si>
    <t>Jessica Gray</t>
  </si>
  <si>
    <t>FL250591</t>
  </si>
  <si>
    <t>Keith Shaffer</t>
  </si>
  <si>
    <t>FL250592</t>
  </si>
  <si>
    <t>Jessica Decker</t>
  </si>
  <si>
    <t>FL250593</t>
  </si>
  <si>
    <t>Brianna Pittman</t>
  </si>
  <si>
    <t>FL250594</t>
  </si>
  <si>
    <t>Kimberly Hunter</t>
  </si>
  <si>
    <t>FL250595</t>
  </si>
  <si>
    <t>Daniel Martin</t>
  </si>
  <si>
    <t>FL250596</t>
  </si>
  <si>
    <t>Rachel Smith</t>
  </si>
  <si>
    <t>FL250597</t>
  </si>
  <si>
    <t>Michael Miller</t>
  </si>
  <si>
    <t>FL250598</t>
  </si>
  <si>
    <t>Willie Clark</t>
  </si>
  <si>
    <t>FL250599</t>
  </si>
  <si>
    <t>Jeremy Hernandez</t>
  </si>
  <si>
    <t>FL250600</t>
  </si>
  <si>
    <t>Tina Shelton</t>
  </si>
  <si>
    <t>FL250601</t>
  </si>
  <si>
    <t>Dr. Pamela Larson</t>
  </si>
  <si>
    <t>FL250602</t>
  </si>
  <si>
    <t>Ryan Ewing</t>
  </si>
  <si>
    <t>FL250603</t>
  </si>
  <si>
    <t>Mark Cochran</t>
  </si>
  <si>
    <t>FL250604</t>
  </si>
  <si>
    <t>Martha Carson</t>
  </si>
  <si>
    <t>FL250605</t>
  </si>
  <si>
    <t>Heather Jackson</t>
  </si>
  <si>
    <t>FL250606</t>
  </si>
  <si>
    <t>Megan Young</t>
  </si>
  <si>
    <t>FL250607</t>
  </si>
  <si>
    <t>Thomas Davis</t>
  </si>
  <si>
    <t>FL250608</t>
  </si>
  <si>
    <t>Thomas Mooney</t>
  </si>
  <si>
    <t>FL250609</t>
  </si>
  <si>
    <t>Susan Smith</t>
  </si>
  <si>
    <t>FL250610</t>
  </si>
  <si>
    <t>Brianna Orr</t>
  </si>
  <si>
    <t>FL250611</t>
  </si>
  <si>
    <t>Dustin Smith</t>
  </si>
  <si>
    <t>FL250612</t>
  </si>
  <si>
    <t>Sarah White</t>
  </si>
  <si>
    <t>FL250613</t>
  </si>
  <si>
    <t>Michael Davis</t>
  </si>
  <si>
    <t>FL250614</t>
  </si>
  <si>
    <t>Jennifer Phillips</t>
  </si>
  <si>
    <t>FL250615</t>
  </si>
  <si>
    <t>Dana Sanders</t>
  </si>
  <si>
    <t>FL250616</t>
  </si>
  <si>
    <t>Daniel Quinn</t>
  </si>
  <si>
    <t>FL250617</t>
  </si>
  <si>
    <t>Matthew Steele</t>
  </si>
  <si>
    <t>FL250618</t>
  </si>
  <si>
    <t>Michele Taylor</t>
  </si>
  <si>
    <t>FL250619</t>
  </si>
  <si>
    <t>Ashley Hammond</t>
  </si>
  <si>
    <t>FL250620</t>
  </si>
  <si>
    <t>Nicole Taylor</t>
  </si>
  <si>
    <t>FL250621</t>
  </si>
  <si>
    <t>Casey Bush</t>
  </si>
  <si>
    <t>FL250622</t>
  </si>
  <si>
    <t>Samuel Patterson</t>
  </si>
  <si>
    <t>FL250623</t>
  </si>
  <si>
    <t>Craig Dennis</t>
  </si>
  <si>
    <t>FL250624</t>
  </si>
  <si>
    <t>Heidi Dixon</t>
  </si>
  <si>
    <t>FL250625</t>
  </si>
  <si>
    <t>David Bishop</t>
  </si>
  <si>
    <t>FL250626</t>
  </si>
  <si>
    <t>Laura Butler</t>
  </si>
  <si>
    <t>FL250627</t>
  </si>
  <si>
    <t>Denise Erickson</t>
  </si>
  <si>
    <t>FL250628</t>
  </si>
  <si>
    <t>Nicole Austin</t>
  </si>
  <si>
    <t>FL250629</t>
  </si>
  <si>
    <t>Summer Williams</t>
  </si>
  <si>
    <t>FL250630</t>
  </si>
  <si>
    <t>Angela Blackwell</t>
  </si>
  <si>
    <t>FL250631</t>
  </si>
  <si>
    <t>Thomas Wall</t>
  </si>
  <si>
    <t>FL250632</t>
  </si>
  <si>
    <t>Sarah Anderson</t>
  </si>
  <si>
    <t>FL250633</t>
  </si>
  <si>
    <t>Christian Lane</t>
  </si>
  <si>
    <t>FL250634</t>
  </si>
  <si>
    <t>Todd Casey</t>
  </si>
  <si>
    <t>FL250635</t>
  </si>
  <si>
    <t>David Martinez</t>
  </si>
  <si>
    <t>FL250636</t>
  </si>
  <si>
    <t>Donald Salas</t>
  </si>
  <si>
    <t>FL250637</t>
  </si>
  <si>
    <t>Emma Hicks</t>
  </si>
  <si>
    <t>FL250638</t>
  </si>
  <si>
    <t>Alison Clark</t>
  </si>
  <si>
    <t>FL250639</t>
  </si>
  <si>
    <t>Andrew Barnes</t>
  </si>
  <si>
    <t>FL250640</t>
  </si>
  <si>
    <t>Gina Snyder</t>
  </si>
  <si>
    <t>FL250641</t>
  </si>
  <si>
    <t>David Watson</t>
  </si>
  <si>
    <t>FL250642</t>
  </si>
  <si>
    <t>John Davis</t>
  </si>
  <si>
    <t>FL250643</t>
  </si>
  <si>
    <t>Joseph Thomas</t>
  </si>
  <si>
    <t>FL250644</t>
  </si>
  <si>
    <t>Dean Finley</t>
  </si>
  <si>
    <t>FL250645</t>
  </si>
  <si>
    <t>Ashley Kemp</t>
  </si>
  <si>
    <t>FL250646</t>
  </si>
  <si>
    <t>Kenneth Evans</t>
  </si>
  <si>
    <t>FL250647</t>
  </si>
  <si>
    <t>Brandon Newman</t>
  </si>
  <si>
    <t>FL250648</t>
  </si>
  <si>
    <t>Katie Hensley</t>
  </si>
  <si>
    <t>FL250649</t>
  </si>
  <si>
    <t>Joel Randolph</t>
  </si>
  <si>
    <t>FL250650</t>
  </si>
  <si>
    <t>Andrew Scott</t>
  </si>
  <si>
    <t>FL250651</t>
  </si>
  <si>
    <t>Zachary Ochoa</t>
  </si>
  <si>
    <t>FL250652</t>
  </si>
  <si>
    <t>John Arroyo</t>
  </si>
  <si>
    <t>FL250653</t>
  </si>
  <si>
    <t>Matthew Fernandez</t>
  </si>
  <si>
    <t>FL250654</t>
  </si>
  <si>
    <t>Benjamin Stark</t>
  </si>
  <si>
    <t>FL250655</t>
  </si>
  <si>
    <t>Tammy Greer</t>
  </si>
  <si>
    <t>FL250656</t>
  </si>
  <si>
    <t>Cynthia Mckinney</t>
  </si>
  <si>
    <t>FL250657</t>
  </si>
  <si>
    <t>Wendy Rice</t>
  </si>
  <si>
    <t>FL250658</t>
  </si>
  <si>
    <t>Randy Bender</t>
  </si>
  <si>
    <t>FL250659</t>
  </si>
  <si>
    <t>Richard Dominguez</t>
  </si>
  <si>
    <t>FL250660</t>
  </si>
  <si>
    <t>Melissa Maldonado</t>
  </si>
  <si>
    <t>FL250661</t>
  </si>
  <si>
    <t>Leah Harris</t>
  </si>
  <si>
    <t>FL250662</t>
  </si>
  <si>
    <t>Lynn French</t>
  </si>
  <si>
    <t>FL250663</t>
  </si>
  <si>
    <t>Angela Johnson</t>
  </si>
  <si>
    <t>FL250664</t>
  </si>
  <si>
    <t>Sarah Edwards</t>
  </si>
  <si>
    <t>FL250665</t>
  </si>
  <si>
    <t>Roy Collins</t>
  </si>
  <si>
    <t>FL250666</t>
  </si>
  <si>
    <t>Samantha Porter</t>
  </si>
  <si>
    <t>FL250667</t>
  </si>
  <si>
    <t>Juan Elliott</t>
  </si>
  <si>
    <t>FL250668</t>
  </si>
  <si>
    <t>Elizabeth Phillips</t>
  </si>
  <si>
    <t>FL250669</t>
  </si>
  <si>
    <t>Laura Evans</t>
  </si>
  <si>
    <t>FL250670</t>
  </si>
  <si>
    <t>Amanda Mitchell</t>
  </si>
  <si>
    <t>FL250671</t>
  </si>
  <si>
    <t>Sandra Williams</t>
  </si>
  <si>
    <t>FL250672</t>
  </si>
  <si>
    <t>Eric Johnson</t>
  </si>
  <si>
    <t>FL250673</t>
  </si>
  <si>
    <t>Javier Hobbs</t>
  </si>
  <si>
    <t>FL250674</t>
  </si>
  <si>
    <t>Jacob Jones</t>
  </si>
  <si>
    <t>FL250675</t>
  </si>
  <si>
    <t>Zachary Murphy</t>
  </si>
  <si>
    <t>FL250676</t>
  </si>
  <si>
    <t>Joshua Owens</t>
  </si>
  <si>
    <t>FL250677</t>
  </si>
  <si>
    <t>Dawn Mitchell</t>
  </si>
  <si>
    <t>FL250678</t>
  </si>
  <si>
    <t>Regina Dunn</t>
  </si>
  <si>
    <t>FL250679</t>
  </si>
  <si>
    <t>Ernest Cole</t>
  </si>
  <si>
    <t>FL250680</t>
  </si>
  <si>
    <t>Hannah Sanders</t>
  </si>
  <si>
    <t>FL250681</t>
  </si>
  <si>
    <t>Ellen Bowman</t>
  </si>
  <si>
    <t>FL250682</t>
  </si>
  <si>
    <t>Nancy Moore</t>
  </si>
  <si>
    <t>FL250683</t>
  </si>
  <si>
    <t>Joseph Wood</t>
  </si>
  <si>
    <t>FL250684</t>
  </si>
  <si>
    <t>Michael Harrell</t>
  </si>
  <si>
    <t>FL250685</t>
  </si>
  <si>
    <t>Connie Mcclain</t>
  </si>
  <si>
    <t>FL250686</t>
  </si>
  <si>
    <t>Matthew Baldwin</t>
  </si>
  <si>
    <t>FL250687</t>
  </si>
  <si>
    <t>Danielle Nelson</t>
  </si>
  <si>
    <t>FL250688</t>
  </si>
  <si>
    <t>Steven Moore</t>
  </si>
  <si>
    <t>FL250689</t>
  </si>
  <si>
    <t>Megan Hudson</t>
  </si>
  <si>
    <t>FL250690</t>
  </si>
  <si>
    <t>FL250691</t>
  </si>
  <si>
    <t>Tracy White</t>
  </si>
  <si>
    <t>FL250692</t>
  </si>
  <si>
    <t>Natalie Diaz</t>
  </si>
  <si>
    <t>FL250693</t>
  </si>
  <si>
    <t>FL250694</t>
  </si>
  <si>
    <t>Karen Scott</t>
  </si>
  <si>
    <t>FL250695</t>
  </si>
  <si>
    <t>FL250696</t>
  </si>
  <si>
    <t>Jon Jones</t>
  </si>
  <si>
    <t>FL250697</t>
  </si>
  <si>
    <t>Jason Phillips</t>
  </si>
  <si>
    <t>FL250698</t>
  </si>
  <si>
    <t>Eric Walsh</t>
  </si>
  <si>
    <t>FL250699</t>
  </si>
  <si>
    <t>Carol Schneider</t>
  </si>
  <si>
    <t>FL250700</t>
  </si>
  <si>
    <t>Juan Hines</t>
  </si>
  <si>
    <t>FL250701</t>
  </si>
  <si>
    <t>Martha Sweeney</t>
  </si>
  <si>
    <t>FL250702</t>
  </si>
  <si>
    <t>Jason Weaver</t>
  </si>
  <si>
    <t>FL250703</t>
  </si>
  <si>
    <t>Benjamin Stevens</t>
  </si>
  <si>
    <t>FL250704</t>
  </si>
  <si>
    <t>Daniel Lopez</t>
  </si>
  <si>
    <t>FL250705</t>
  </si>
  <si>
    <t>John Simpson</t>
  </si>
  <si>
    <t>FL250706</t>
  </si>
  <si>
    <t>Katrina Schultz</t>
  </si>
  <si>
    <t>FL250707</t>
  </si>
  <si>
    <t>Danielle Bell</t>
  </si>
  <si>
    <t>FL250708</t>
  </si>
  <si>
    <t>Jason Brady</t>
  </si>
  <si>
    <t>FL250709</t>
  </si>
  <si>
    <t>Megan Bright</t>
  </si>
  <si>
    <t>FL250710</t>
  </si>
  <si>
    <t>David Griffin</t>
  </si>
  <si>
    <t>FL250711</t>
  </si>
  <si>
    <t>Michael Clark</t>
  </si>
  <si>
    <t>FL250712</t>
  </si>
  <si>
    <t>Rebecca Barker</t>
  </si>
  <si>
    <t>FL250713</t>
  </si>
  <si>
    <t>Angela Smith</t>
  </si>
  <si>
    <t>FL250714</t>
  </si>
  <si>
    <t>Christina Wright</t>
  </si>
  <si>
    <t>FL250715</t>
  </si>
  <si>
    <t>Todd Turner</t>
  </si>
  <si>
    <t>FL250716</t>
  </si>
  <si>
    <t>Elizabeth Green</t>
  </si>
  <si>
    <t>FL250717</t>
  </si>
  <si>
    <t>Alex Smith</t>
  </si>
  <si>
    <t>FL250718</t>
  </si>
  <si>
    <t>Shane Hale</t>
  </si>
  <si>
    <t>FL250719</t>
  </si>
  <si>
    <t>Kathy Grimes</t>
  </si>
  <si>
    <t>FL250720</t>
  </si>
  <si>
    <t>David Cherry</t>
  </si>
  <si>
    <t>FL250721</t>
  </si>
  <si>
    <t>Rachel Rogers</t>
  </si>
  <si>
    <t>FL250722</t>
  </si>
  <si>
    <t>Travis Braun</t>
  </si>
  <si>
    <t>FL250723</t>
  </si>
  <si>
    <t>Shawna Palmer</t>
  </si>
  <si>
    <t>FL250724</t>
  </si>
  <si>
    <t>Bradley Gaines</t>
  </si>
  <si>
    <t>FL250725</t>
  </si>
  <si>
    <t>April Ford</t>
  </si>
  <si>
    <t>FL250726</t>
  </si>
  <si>
    <t>James Gonzalez</t>
  </si>
  <si>
    <t>FL250727</t>
  </si>
  <si>
    <t>John Castillo</t>
  </si>
  <si>
    <t>FL250728</t>
  </si>
  <si>
    <t>Ian Hayes</t>
  </si>
  <si>
    <t>FL250729</t>
  </si>
  <si>
    <t>Christine Castro</t>
  </si>
  <si>
    <t>FL250730</t>
  </si>
  <si>
    <t>Jessica Chaney</t>
  </si>
  <si>
    <t>FL250731</t>
  </si>
  <si>
    <t>John Gray</t>
  </si>
  <si>
    <t>FL250732</t>
  </si>
  <si>
    <t>Shane Booker</t>
  </si>
  <si>
    <t>FL250733</t>
  </si>
  <si>
    <t>Kyle Hall</t>
  </si>
  <si>
    <t>FL250734</t>
  </si>
  <si>
    <t>Ronald Munoz</t>
  </si>
  <si>
    <t>FL250735</t>
  </si>
  <si>
    <t>Christopher Long</t>
  </si>
  <si>
    <t>FL250736</t>
  </si>
  <si>
    <t>Sandra Ali</t>
  </si>
  <si>
    <t>FL250737</t>
  </si>
  <si>
    <t>Jessica Garza</t>
  </si>
  <si>
    <t>FL250738</t>
  </si>
  <si>
    <t>Gregory Waters</t>
  </si>
  <si>
    <t>FL250739</t>
  </si>
  <si>
    <t>Misty Adams</t>
  </si>
  <si>
    <t>FL250740</t>
  </si>
  <si>
    <t>Megan Brown</t>
  </si>
  <si>
    <t>FL250741</t>
  </si>
  <si>
    <t>Gregory Brown</t>
  </si>
  <si>
    <t>FL250742</t>
  </si>
  <si>
    <t>Scott Alexander MD</t>
  </si>
  <si>
    <t>FL250743</t>
  </si>
  <si>
    <t>Eric Nguyen</t>
  </si>
  <si>
    <t>FL250744</t>
  </si>
  <si>
    <t>Wendy Boyer</t>
  </si>
  <si>
    <t>FL250745</t>
  </si>
  <si>
    <t>Mark Clark</t>
  </si>
  <si>
    <t>FL250746</t>
  </si>
  <si>
    <t>Carl Kline</t>
  </si>
  <si>
    <t>FL250747</t>
  </si>
  <si>
    <t>Linda Williams</t>
  </si>
  <si>
    <t>FL250748</t>
  </si>
  <si>
    <t>Jason Edwards</t>
  </si>
  <si>
    <t>FL250749</t>
  </si>
  <si>
    <t>Madison Mcintosh</t>
  </si>
  <si>
    <t>FL250750</t>
  </si>
  <si>
    <t>Desiree Winters</t>
  </si>
  <si>
    <t>FL250751</t>
  </si>
  <si>
    <t>Ryan Taylor</t>
  </si>
  <si>
    <t>FL250752</t>
  </si>
  <si>
    <t>Patricia Scott</t>
  </si>
  <si>
    <t>FL250753</t>
  </si>
  <si>
    <t>Erin Jimenez</t>
  </si>
  <si>
    <t>FL250754</t>
  </si>
  <si>
    <t>Anthony Krause</t>
  </si>
  <si>
    <t>FL250755</t>
  </si>
  <si>
    <t>Diane Dean</t>
  </si>
  <si>
    <t>FL250756</t>
  </si>
  <si>
    <t>Stuart Mckinney</t>
  </si>
  <si>
    <t>FL250757</t>
  </si>
  <si>
    <t>Kellie Le</t>
  </si>
  <si>
    <t>FL250758</t>
  </si>
  <si>
    <t>Lauren Henry</t>
  </si>
  <si>
    <t>FL250759</t>
  </si>
  <si>
    <t>Brandon Fox</t>
  </si>
  <si>
    <t>FL250760</t>
  </si>
  <si>
    <t>Richard Smith</t>
  </si>
  <si>
    <t>FL250761</t>
  </si>
  <si>
    <t>John White</t>
  </si>
  <si>
    <t>FL250762</t>
  </si>
  <si>
    <t>Gilbert Mcintyre</t>
  </si>
  <si>
    <t>FL250763</t>
  </si>
  <si>
    <t>Christopher Sparks</t>
  </si>
  <si>
    <t>FL250764</t>
  </si>
  <si>
    <t>Aaron Hicks</t>
  </si>
  <si>
    <t>FL250765</t>
  </si>
  <si>
    <t>Jose Patterson</t>
  </si>
  <si>
    <t>FL250766</t>
  </si>
  <si>
    <t>Bryan Long</t>
  </si>
  <si>
    <t>FL250767</t>
  </si>
  <si>
    <t>Tammy Gomez</t>
  </si>
  <si>
    <t>FL250768</t>
  </si>
  <si>
    <t>Diana Raymond</t>
  </si>
  <si>
    <t>FL250769</t>
  </si>
  <si>
    <t>Jessica Armstrong</t>
  </si>
  <si>
    <t>FL250770</t>
  </si>
  <si>
    <t>Amanda Martin</t>
  </si>
  <si>
    <t>FL250771</t>
  </si>
  <si>
    <t>Anne Hamilton</t>
  </si>
  <si>
    <t>FL250772</t>
  </si>
  <si>
    <t>Heather Curtis</t>
  </si>
  <si>
    <t>FL250773</t>
  </si>
  <si>
    <t>Tiffany Moses</t>
  </si>
  <si>
    <t>FL250774</t>
  </si>
  <si>
    <t>Jacqueline Moon</t>
  </si>
  <si>
    <t>FL250775</t>
  </si>
  <si>
    <t>James Campbell</t>
  </si>
  <si>
    <t>FL250776</t>
  </si>
  <si>
    <t>Melissa Vasquez</t>
  </si>
  <si>
    <t>FL250777</t>
  </si>
  <si>
    <t>Katherine Carlson</t>
  </si>
  <si>
    <t>FL250778</t>
  </si>
  <si>
    <t>Adam Clay</t>
  </si>
  <si>
    <t>FL250779</t>
  </si>
  <si>
    <t>Amy Combs</t>
  </si>
  <si>
    <t>FL250780</t>
  </si>
  <si>
    <t>Anthony Case</t>
  </si>
  <si>
    <t>FL250781</t>
  </si>
  <si>
    <t>Kimberly Brown</t>
  </si>
  <si>
    <t>FL250782</t>
  </si>
  <si>
    <t>Joshua Holloway</t>
  </si>
  <si>
    <t>FL250783</t>
  </si>
  <si>
    <t>Cynthia Walton</t>
  </si>
  <si>
    <t>FL250784</t>
  </si>
  <si>
    <t>Shawn Delgado</t>
  </si>
  <si>
    <t>FL250785</t>
  </si>
  <si>
    <t>Jeremy Smith</t>
  </si>
  <si>
    <t>FL250786</t>
  </si>
  <si>
    <t>Marc Ortiz</t>
  </si>
  <si>
    <t>FL250787</t>
  </si>
  <si>
    <t>Michelle Gregory</t>
  </si>
  <si>
    <t>FL250788</t>
  </si>
  <si>
    <t>Melanie Gay</t>
  </si>
  <si>
    <t>FL250789</t>
  </si>
  <si>
    <t>Brittany Lambert</t>
  </si>
  <si>
    <t>FL250790</t>
  </si>
  <si>
    <t>Mary Hernandez</t>
  </si>
  <si>
    <t>FL250791</t>
  </si>
  <si>
    <t>Jonathan Jones</t>
  </si>
  <si>
    <t>FL250792</t>
  </si>
  <si>
    <t>Gina Williams</t>
  </si>
  <si>
    <t>FL250793</t>
  </si>
  <si>
    <t>Kelly Lawson</t>
  </si>
  <si>
    <t>FL250794</t>
  </si>
  <si>
    <t>Keith Smith</t>
  </si>
  <si>
    <t>FL250795</t>
  </si>
  <si>
    <t>Christopher Hunter</t>
  </si>
  <si>
    <t>FL250796</t>
  </si>
  <si>
    <t>Dwayne Parks</t>
  </si>
  <si>
    <t>FL250797</t>
  </si>
  <si>
    <t>Mary Hall</t>
  </si>
  <si>
    <t>FL250798</t>
  </si>
  <si>
    <t>Jake Gilmore</t>
  </si>
  <si>
    <t>FL250799</t>
  </si>
  <si>
    <t>Mark Lopez</t>
  </si>
  <si>
    <t>FL250800</t>
  </si>
  <si>
    <t>Dana Rice</t>
  </si>
  <si>
    <t>FL250801</t>
  </si>
  <si>
    <t>Beth Young</t>
  </si>
  <si>
    <t>FL250802</t>
  </si>
  <si>
    <t>Ryan Powell</t>
  </si>
  <si>
    <t>FL250803</t>
  </si>
  <si>
    <t>Amanda Fowler</t>
  </si>
  <si>
    <t>FL250804</t>
  </si>
  <si>
    <t>Lindsay Rivera</t>
  </si>
  <si>
    <t>FL250805</t>
  </si>
  <si>
    <t>Mark Ward</t>
  </si>
  <si>
    <t>FL250806</t>
  </si>
  <si>
    <t>Amanda Smith</t>
  </si>
  <si>
    <t>FL250807</t>
  </si>
  <si>
    <t>Emily Brown</t>
  </si>
  <si>
    <t>FL250808</t>
  </si>
  <si>
    <t>Dwayne Cardenas</t>
  </si>
  <si>
    <t>FL250809</t>
  </si>
  <si>
    <t>Dr. Rhonda Hernandez</t>
  </si>
  <si>
    <t>FL250810</t>
  </si>
  <si>
    <t>Melody Barker</t>
  </si>
  <si>
    <t>FL250811</t>
  </si>
  <si>
    <t>Russell Carpenter</t>
  </si>
  <si>
    <t>FL250812</t>
  </si>
  <si>
    <t>Richard Hill</t>
  </si>
  <si>
    <t>FL250813</t>
  </si>
  <si>
    <t>Lindsay Potts</t>
  </si>
  <si>
    <t>FL250814</t>
  </si>
  <si>
    <t>Michelle Campbell</t>
  </si>
  <si>
    <t>FL250815</t>
  </si>
  <si>
    <t>Alan Williams</t>
  </si>
  <si>
    <t>FL250816</t>
  </si>
  <si>
    <t>Robin Hinton</t>
  </si>
  <si>
    <t>FL250817</t>
  </si>
  <si>
    <t>Brian Holland</t>
  </si>
  <si>
    <t>FL250818</t>
  </si>
  <si>
    <t>Adam Stone</t>
  </si>
  <si>
    <t>FL250819</t>
  </si>
  <si>
    <t>Curtis Lambert</t>
  </si>
  <si>
    <t>FL250820</t>
  </si>
  <si>
    <t>Alexandra Sims</t>
  </si>
  <si>
    <t>FL250821</t>
  </si>
  <si>
    <t>Brenda Spencer</t>
  </si>
  <si>
    <t>FL250822</t>
  </si>
  <si>
    <t>Joshua Bush</t>
  </si>
  <si>
    <t>FL250823</t>
  </si>
  <si>
    <t>Erin Martin</t>
  </si>
  <si>
    <t>FL250824</t>
  </si>
  <si>
    <t>Alexander Hogan</t>
  </si>
  <si>
    <t>FL250825</t>
  </si>
  <si>
    <t>William Harris</t>
  </si>
  <si>
    <t>FL250826</t>
  </si>
  <si>
    <t>Michael Mcmahon</t>
  </si>
  <si>
    <t>FL250827</t>
  </si>
  <si>
    <t>Michael Watson</t>
  </si>
  <si>
    <t>FL250828</t>
  </si>
  <si>
    <t>Lori Perez</t>
  </si>
  <si>
    <t>FL250829</t>
  </si>
  <si>
    <t>Lindsay Le</t>
  </si>
  <si>
    <t>FL250830</t>
  </si>
  <si>
    <t>Scott Long</t>
  </si>
  <si>
    <t>FL250831</t>
  </si>
  <si>
    <t>Diana Ferguson</t>
  </si>
  <si>
    <t>FL250832</t>
  </si>
  <si>
    <t>Joseph Miller</t>
  </si>
  <si>
    <t>FL250833</t>
  </si>
  <si>
    <t>Julia Reid</t>
  </si>
  <si>
    <t>FL250834</t>
  </si>
  <si>
    <t>Samantha Matthews</t>
  </si>
  <si>
    <t>FL250835</t>
  </si>
  <si>
    <t>Brian Bailey</t>
  </si>
  <si>
    <t>FL250836</t>
  </si>
  <si>
    <t>Toni Hinton</t>
  </si>
  <si>
    <t>FL250837</t>
  </si>
  <si>
    <t>Robin Ortiz</t>
  </si>
  <si>
    <t>FL250838</t>
  </si>
  <si>
    <t>Adam Griffith</t>
  </si>
  <si>
    <t>FL250839</t>
  </si>
  <si>
    <t>Daniel Roberson</t>
  </si>
  <si>
    <t>FL250840</t>
  </si>
  <si>
    <t>Dale Haynes</t>
  </si>
  <si>
    <t>FL250841</t>
  </si>
  <si>
    <t>Emily Scott</t>
  </si>
  <si>
    <t>FL250842</t>
  </si>
  <si>
    <t>David Brown</t>
  </si>
  <si>
    <t>FL250843</t>
  </si>
  <si>
    <t>Stephanie Guzman</t>
  </si>
  <si>
    <t>FL250844</t>
  </si>
  <si>
    <t>Maxwell Johnson</t>
  </si>
  <si>
    <t>FL250845</t>
  </si>
  <si>
    <t>Reginald Stephens</t>
  </si>
  <si>
    <t>FL250846</t>
  </si>
  <si>
    <t>Justin Jones</t>
  </si>
  <si>
    <t>FL250847</t>
  </si>
  <si>
    <t>Kristine Garcia</t>
  </si>
  <si>
    <t>FL250848</t>
  </si>
  <si>
    <t>John Nguyen</t>
  </si>
  <si>
    <t>FL250849</t>
  </si>
  <si>
    <t>Anna Fleming</t>
  </si>
  <si>
    <t>FL250850</t>
  </si>
  <si>
    <t>Linda Williamson</t>
  </si>
  <si>
    <t>FL250851</t>
  </si>
  <si>
    <t>Roy Wilson</t>
  </si>
  <si>
    <t>FL250852</t>
  </si>
  <si>
    <t>Jennifer Pierce</t>
  </si>
  <si>
    <t>FL250853</t>
  </si>
  <si>
    <t>Jason Johnson</t>
  </si>
  <si>
    <t>FL250854</t>
  </si>
  <si>
    <t>Jasmine Lane</t>
  </si>
  <si>
    <t>FL250855</t>
  </si>
  <si>
    <t>Evan Soto</t>
  </si>
  <si>
    <t>FL250856</t>
  </si>
  <si>
    <t>Kevin Serrano</t>
  </si>
  <si>
    <t>FL250857</t>
  </si>
  <si>
    <t>Nathaniel Benson</t>
  </si>
  <si>
    <t>FL250858</t>
  </si>
  <si>
    <t>Deanna Miles</t>
  </si>
  <si>
    <t>FL250859</t>
  </si>
  <si>
    <t>Beverly Roy</t>
  </si>
  <si>
    <t>FL250860</t>
  </si>
  <si>
    <t>Heather Saunders</t>
  </si>
  <si>
    <t>FL250861</t>
  </si>
  <si>
    <t>Nicholas Guerrero</t>
  </si>
  <si>
    <t>FL250862</t>
  </si>
  <si>
    <t>Christopher Johnson</t>
  </si>
  <si>
    <t>FL250863</t>
  </si>
  <si>
    <t>Steven Flowers</t>
  </si>
  <si>
    <t>FL250864</t>
  </si>
  <si>
    <t>Marvin Woods III</t>
  </si>
  <si>
    <t>FL250865</t>
  </si>
  <si>
    <t>Michelle Cook</t>
  </si>
  <si>
    <t>FL250866</t>
  </si>
  <si>
    <t>Logan Zamora</t>
  </si>
  <si>
    <t>FL250867</t>
  </si>
  <si>
    <t>Casey Roberts</t>
  </si>
  <si>
    <t>FL250868</t>
  </si>
  <si>
    <t>Jerry Price</t>
  </si>
  <si>
    <t>FL250869</t>
  </si>
  <si>
    <t>Kelly Ellis</t>
  </si>
  <si>
    <t>FL250870</t>
  </si>
  <si>
    <t>Caleb Guerra</t>
  </si>
  <si>
    <t>FL250871</t>
  </si>
  <si>
    <t>Samantha Norman</t>
  </si>
  <si>
    <t>FL250872</t>
  </si>
  <si>
    <t>Sarah Clarke</t>
  </si>
  <si>
    <t>FL250873</t>
  </si>
  <si>
    <t>Aaron Blair</t>
  </si>
  <si>
    <t>FL250874</t>
  </si>
  <si>
    <t>Courtney Burton</t>
  </si>
  <si>
    <t>FL250875</t>
  </si>
  <si>
    <t>Gerald Taylor</t>
  </si>
  <si>
    <t>FL250876</t>
  </si>
  <si>
    <t>Mary Ward</t>
  </si>
  <si>
    <t>FL250877</t>
  </si>
  <si>
    <t>Mrs. Lisa Beard DVM</t>
  </si>
  <si>
    <t>FL250878</t>
  </si>
  <si>
    <t>Larry Wallace</t>
  </si>
  <si>
    <t>FL250879</t>
  </si>
  <si>
    <t>Jeremiah Thompson</t>
  </si>
  <si>
    <t>FL250880</t>
  </si>
  <si>
    <t>Mrs. Jessica Williams DVM</t>
  </si>
  <si>
    <t>FL250881</t>
  </si>
  <si>
    <t>Martin Moreno</t>
  </si>
  <si>
    <t>FL250882</t>
  </si>
  <si>
    <t>Yolanda Proctor</t>
  </si>
  <si>
    <t>FL250883</t>
  </si>
  <si>
    <t>Allen Turner</t>
  </si>
  <si>
    <t>FL250884</t>
  </si>
  <si>
    <t>Beth Huff</t>
  </si>
  <si>
    <t>FL250885</t>
  </si>
  <si>
    <t>John Mckinney</t>
  </si>
  <si>
    <t>FL250886</t>
  </si>
  <si>
    <t>FL250887</t>
  </si>
  <si>
    <t>Lindsey Wang</t>
  </si>
  <si>
    <t>FL250888</t>
  </si>
  <si>
    <t>Margaret Schwartz</t>
  </si>
  <si>
    <t>FL250889</t>
  </si>
  <si>
    <t>Kyle Ray</t>
  </si>
  <si>
    <t>FL250890</t>
  </si>
  <si>
    <t>Isaac Hebert</t>
  </si>
  <si>
    <t>FL250891</t>
  </si>
  <si>
    <t>Michele Jones</t>
  </si>
  <si>
    <t>FL250892</t>
  </si>
  <si>
    <t>Austin Allen</t>
  </si>
  <si>
    <t>FL250893</t>
  </si>
  <si>
    <t>Haley Castro</t>
  </si>
  <si>
    <t>FL250894</t>
  </si>
  <si>
    <t>David Armstrong</t>
  </si>
  <si>
    <t>FL250895</t>
  </si>
  <si>
    <t>Wendy Mitchell</t>
  </si>
  <si>
    <t>FL250896</t>
  </si>
  <si>
    <t>Anthony Hernandez</t>
  </si>
  <si>
    <t>FL250897</t>
  </si>
  <si>
    <t>Erica Johnson</t>
  </si>
  <si>
    <t>FL250898</t>
  </si>
  <si>
    <t>Randall Barrett</t>
  </si>
  <si>
    <t>FL250899</t>
  </si>
  <si>
    <t>Nathan Huff</t>
  </si>
  <si>
    <t>FL250900</t>
  </si>
  <si>
    <t>Robin Walsh</t>
  </si>
  <si>
    <t>FL250901</t>
  </si>
  <si>
    <t>Yvonne Robinson</t>
  </si>
  <si>
    <t>FL250902</t>
  </si>
  <si>
    <t>Kathleen Hendrix</t>
  </si>
  <si>
    <t>FL250903</t>
  </si>
  <si>
    <t>Jennifer Baker</t>
  </si>
  <si>
    <t>FL250904</t>
  </si>
  <si>
    <t>Kim Martinez</t>
  </si>
  <si>
    <t>FL250905</t>
  </si>
  <si>
    <t>Andrew Little</t>
  </si>
  <si>
    <t>FL250906</t>
  </si>
  <si>
    <t>Kelly Shelton</t>
  </si>
  <si>
    <t>FL250907</t>
  </si>
  <si>
    <t>Steven Duncan</t>
  </si>
  <si>
    <t>FL250908</t>
  </si>
  <si>
    <t>Kristen Haney</t>
  </si>
  <si>
    <t>FL250909</t>
  </si>
  <si>
    <t>Kathy Reese</t>
  </si>
  <si>
    <t>FL250910</t>
  </si>
  <si>
    <t>Steven Murphy</t>
  </si>
  <si>
    <t>FL250911</t>
  </si>
  <si>
    <t>William Hartman</t>
  </si>
  <si>
    <t>FL250912</t>
  </si>
  <si>
    <t>Sonya Haley</t>
  </si>
  <si>
    <t>FL250913</t>
  </si>
  <si>
    <t>FL250914</t>
  </si>
  <si>
    <t>Patricia Richardson</t>
  </si>
  <si>
    <t>FL250915</t>
  </si>
  <si>
    <t>Carolyn Lopez</t>
  </si>
  <si>
    <t>FL250916</t>
  </si>
  <si>
    <t>Kyle Burns</t>
  </si>
  <si>
    <t>FL250917</t>
  </si>
  <si>
    <t>Margaret Garcia</t>
  </si>
  <si>
    <t>FL250918</t>
  </si>
  <si>
    <t>Brittany Barker</t>
  </si>
  <si>
    <t>FL250919</t>
  </si>
  <si>
    <t>Paul Campbell</t>
  </si>
  <si>
    <t>FL250920</t>
  </si>
  <si>
    <t>Amy Morrow</t>
  </si>
  <si>
    <t>FL250921</t>
  </si>
  <si>
    <t>Amy Fitzgerald</t>
  </si>
  <si>
    <t>FL250922</t>
  </si>
  <si>
    <t>Anita Becker</t>
  </si>
  <si>
    <t>FL250923</t>
  </si>
  <si>
    <t>Mrs. Amy Brooks</t>
  </si>
  <si>
    <t>FL250924</t>
  </si>
  <si>
    <t>Lori Marshall</t>
  </si>
  <si>
    <t>FL250925</t>
  </si>
  <si>
    <t>Jennifer Miller</t>
  </si>
  <si>
    <t>FL250926</t>
  </si>
  <si>
    <t>Thomas Young</t>
  </si>
  <si>
    <t>FL250927</t>
  </si>
  <si>
    <t>Zachary Larsen</t>
  </si>
  <si>
    <t>FL250928</t>
  </si>
  <si>
    <t>Valerie Gutierrez</t>
  </si>
  <si>
    <t>FL250929</t>
  </si>
  <si>
    <t>Daniel Parker</t>
  </si>
  <si>
    <t>FL250930</t>
  </si>
  <si>
    <t>Nicole Bennett</t>
  </si>
  <si>
    <t>FL250931</t>
  </si>
  <si>
    <t>Lauren Lowery</t>
  </si>
  <si>
    <t>FL250932</t>
  </si>
  <si>
    <t>Alexander Woodward</t>
  </si>
  <si>
    <t>FL250933</t>
  </si>
  <si>
    <t>Anthony Walter</t>
  </si>
  <si>
    <t>FL250934</t>
  </si>
  <si>
    <t>Valerie Finley</t>
  </si>
  <si>
    <t>FL250935</t>
  </si>
  <si>
    <t>Deborah Kelley</t>
  </si>
  <si>
    <t>FL250936</t>
  </si>
  <si>
    <t>Kristina Miller</t>
  </si>
  <si>
    <t>FL250937</t>
  </si>
  <si>
    <t>Anne Hampton</t>
  </si>
  <si>
    <t>FL250938</t>
  </si>
  <si>
    <t>Sandra Henry</t>
  </si>
  <si>
    <t>FL250939</t>
  </si>
  <si>
    <t>Tony Hester</t>
  </si>
  <si>
    <t>FL250940</t>
  </si>
  <si>
    <t>Nathan Davis</t>
  </si>
  <si>
    <t>FL250941</t>
  </si>
  <si>
    <t>Erica Jackson</t>
  </si>
  <si>
    <t>FL250942</t>
  </si>
  <si>
    <t>Nancy Glover</t>
  </si>
  <si>
    <t>FL250943</t>
  </si>
  <si>
    <t>Richard Sanchez</t>
  </si>
  <si>
    <t>FL250944</t>
  </si>
  <si>
    <t>Savannah Reid</t>
  </si>
  <si>
    <t>FL250945</t>
  </si>
  <si>
    <t>Robert Salazar</t>
  </si>
  <si>
    <t>FL250946</t>
  </si>
  <si>
    <t>Hector Greer</t>
  </si>
  <si>
    <t>FL250947</t>
  </si>
  <si>
    <t>Thomas Jackson</t>
  </si>
  <si>
    <t>FL250948</t>
  </si>
  <si>
    <t>Tina Clark</t>
  </si>
  <si>
    <t>FL250949</t>
  </si>
  <si>
    <t>Heather Brown</t>
  </si>
  <si>
    <t>FL250950</t>
  </si>
  <si>
    <t>John Weaver</t>
  </si>
  <si>
    <t>FL250951</t>
  </si>
  <si>
    <t>Bradley Harris</t>
  </si>
  <si>
    <t>FL250952</t>
  </si>
  <si>
    <t>Cassandra Macdonald</t>
  </si>
  <si>
    <t>FL250953</t>
  </si>
  <si>
    <t>Matthew White</t>
  </si>
  <si>
    <t>FL250954</t>
  </si>
  <si>
    <t>Miss Kimberly Marshall</t>
  </si>
  <si>
    <t>FL250955</t>
  </si>
  <si>
    <t>Laura Thompson</t>
  </si>
  <si>
    <t>FL250956</t>
  </si>
  <si>
    <t>Nathan Soto</t>
  </si>
  <si>
    <t>FL250957</t>
  </si>
  <si>
    <t>Rhonda Hines</t>
  </si>
  <si>
    <t>FL250958</t>
  </si>
  <si>
    <t>Gabrielle Bowman</t>
  </si>
  <si>
    <t>FL250959</t>
  </si>
  <si>
    <t>Julian Edwards</t>
  </si>
  <si>
    <t>FL250960</t>
  </si>
  <si>
    <t>Nicholas Scott</t>
  </si>
  <si>
    <t>FL250961</t>
  </si>
  <si>
    <t>Daniel Green</t>
  </si>
  <si>
    <t>FL250962</t>
  </si>
  <si>
    <t>Catherine Johnston</t>
  </si>
  <si>
    <t>FL250963</t>
  </si>
  <si>
    <t>Brenda Koch</t>
  </si>
  <si>
    <t>FL250964</t>
  </si>
  <si>
    <t>Mr. Robert Meza</t>
  </si>
  <si>
    <t>FL250965</t>
  </si>
  <si>
    <t>Latoya Brown</t>
  </si>
  <si>
    <t>FL250966</t>
  </si>
  <si>
    <t>David Osborne III</t>
  </si>
  <si>
    <t>FL250967</t>
  </si>
  <si>
    <t>David Hooper</t>
  </si>
  <si>
    <t>FL250968</t>
  </si>
  <si>
    <t>Sarah Miller</t>
  </si>
  <si>
    <t>FL250969</t>
  </si>
  <si>
    <t>Lisa Werner MD</t>
  </si>
  <si>
    <t>FL250970</t>
  </si>
  <si>
    <t>Eric Jimenez</t>
  </si>
  <si>
    <t>FL250971</t>
  </si>
  <si>
    <t>Jay Bush</t>
  </si>
  <si>
    <t>FL250972</t>
  </si>
  <si>
    <t>Johnny Rice</t>
  </si>
  <si>
    <t>FL250973</t>
  </si>
  <si>
    <t>Matthew Strong</t>
  </si>
  <si>
    <t>FL250974</t>
  </si>
  <si>
    <t>Mark Chandler</t>
  </si>
  <si>
    <t>FL250975</t>
  </si>
  <si>
    <t>Crystal Brown</t>
  </si>
  <si>
    <t>FL250976</t>
  </si>
  <si>
    <t>Timothy Barton</t>
  </si>
  <si>
    <t>FL250977</t>
  </si>
  <si>
    <t>Lisa Hickman</t>
  </si>
  <si>
    <t>FL250978</t>
  </si>
  <si>
    <t>Alan Mendoza</t>
  </si>
  <si>
    <t>FL250979</t>
  </si>
  <si>
    <t>Jason Sanders</t>
  </si>
  <si>
    <t>FL250980</t>
  </si>
  <si>
    <t>Charles Dean</t>
  </si>
  <si>
    <t>FL250981</t>
  </si>
  <si>
    <t>Blake Newton</t>
  </si>
  <si>
    <t>FL250982</t>
  </si>
  <si>
    <t>David Gonzalez</t>
  </si>
  <si>
    <t>FL250983</t>
  </si>
  <si>
    <t>Cindy Williams</t>
  </si>
  <si>
    <t>FL250984</t>
  </si>
  <si>
    <t>Laura Wong DDS</t>
  </si>
  <si>
    <t>FL250985</t>
  </si>
  <si>
    <t>Robert Moran</t>
  </si>
  <si>
    <t>FL250986</t>
  </si>
  <si>
    <t>Bradley Wu</t>
  </si>
  <si>
    <t>FL250987</t>
  </si>
  <si>
    <t>Daniel Thomas</t>
  </si>
  <si>
    <t>FL250988</t>
  </si>
  <si>
    <t>Michelle Peterson</t>
  </si>
  <si>
    <t>FL250989</t>
  </si>
  <si>
    <t>Seth Thomas</t>
  </si>
  <si>
    <t>FL250990</t>
  </si>
  <si>
    <t>Evan Ramos</t>
  </si>
  <si>
    <t>FL250991</t>
  </si>
  <si>
    <t>Michelle Solis</t>
  </si>
  <si>
    <t>FL250992</t>
  </si>
  <si>
    <t>Charlotte Taylor</t>
  </si>
  <si>
    <t>FL250993</t>
  </si>
  <si>
    <t>Sandra Preston</t>
  </si>
  <si>
    <t>FL250994</t>
  </si>
  <si>
    <t>Jim Weiss</t>
  </si>
  <si>
    <t>FL250995</t>
  </si>
  <si>
    <t>Jennifer Hinton</t>
  </si>
  <si>
    <t>FL250996</t>
  </si>
  <si>
    <t>Albert Wilcox</t>
  </si>
  <si>
    <t>FL250997</t>
  </si>
  <si>
    <t>Cheryl Norris</t>
  </si>
  <si>
    <t>FL250998</t>
  </si>
  <si>
    <t>Kathy Watkins</t>
  </si>
  <si>
    <t>FL250999</t>
  </si>
  <si>
    <t>John Obrien</t>
  </si>
  <si>
    <t>FL251000</t>
  </si>
  <si>
    <t>Dawn Green</t>
  </si>
  <si>
    <t>Freelancer id</t>
  </si>
  <si>
    <t>Name</t>
  </si>
  <si>
    <t>Gender</t>
  </si>
  <si>
    <t>Age</t>
  </si>
  <si>
    <t>Country</t>
  </si>
  <si>
    <t>Language</t>
  </si>
  <si>
    <t>Primary skill</t>
  </si>
  <si>
    <t>Years of experience</t>
  </si>
  <si>
    <t>Hourly rate (USD)</t>
  </si>
  <si>
    <t>Rating</t>
  </si>
  <si>
    <t>Client satisfaction</t>
  </si>
  <si>
    <t>Active</t>
  </si>
  <si>
    <t>Grand Total</t>
  </si>
  <si>
    <t>Average of Years of experience</t>
  </si>
  <si>
    <t>Count of Freelancer id</t>
  </si>
  <si>
    <t>Sum of Rating</t>
  </si>
  <si>
    <t>Allison Tucker Md</t>
  </si>
  <si>
    <t>Anthony Huynh Md</t>
  </si>
  <si>
    <t>David Osborne Iii</t>
  </si>
  <si>
    <t>Kristi Brown Dvm</t>
  </si>
  <si>
    <t>Lisa Werner Md</t>
  </si>
  <si>
    <t>Mr. Danny Morris Dds</t>
  </si>
  <si>
    <t>Mrs. Jessica Williams Dvm</t>
  </si>
  <si>
    <t>Scott Alexander Md</t>
  </si>
  <si>
    <t>Sum of Active</t>
  </si>
  <si>
    <t>Sum of Client satisfaction</t>
  </si>
  <si>
    <t>Is Active</t>
  </si>
  <si>
    <t>Coutry</t>
  </si>
  <si>
    <t>Primary Skill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</si>
</sst>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$&quot;#,##0_);[Red]\(&quot;$&quot;#,##0\)"/>
    <numFmt numFmtId="165" formatCode="&quot;$&quot;#,##0.00"/>
    <numFmt numFmtId="166" formatCode="&quot;$&quot;#,##0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Abadi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399975585192419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6">
    <xf numFmtId="0" fontId="0" fillId="0" borderId="0" xfId="0"/>
    <xf numFmtId="9" fontId="0" fillId="0" borderId="0" xfId="0" applyNumberFormat="1"/>
    <xf numFmtId="164" fontId="0" fillId="0" borderId="0" xfId="0" applyNumberFormat="1"/>
    <xf numFmtId="165" fontId="0" fillId="0" borderId="0" xfId="0" applyNumberFormat="1"/>
    <xf numFmtId="0" fontId="0" fillId="0" borderId="0" xfId="0" applyAlignment="1">
      <alignment horizontal="left"/>
    </xf>
    <xf numFmtId="0" fontId="18" fillId="0" borderId="0" xfId="0" applyFont="1" applyAlignment="1">
      <alignment horizontal="center"/>
    </xf>
    <xf numFmtId="166" fontId="18" fillId="0" borderId="0" xfId="0" applyNumberFormat="1" applyFont="1" applyAlignment="1">
      <alignment horizontal="center"/>
    </xf>
    <xf numFmtId="9" fontId="18" fillId="0" borderId="0" xfId="0" applyNumberFormat="1" applyFont="1" applyAlignment="1">
      <alignment horizontal="center"/>
    </xf>
    <xf numFmtId="0" fontId="18" fillId="33" borderId="0" xfId="0" applyFont="1" applyFill="1" applyAlignment="1">
      <alignment horizontal="center"/>
    </xf>
    <xf numFmtId="166" fontId="18" fillId="33" borderId="0" xfId="0" applyNumberFormat="1" applyFont="1" applyFill="1" applyAlignment="1">
      <alignment horizontal="center"/>
    </xf>
    <xf numFmtId="9" fontId="18" fillId="33" borderId="0" xfId="0" applyNumberFormat="1" applyFont="1" applyFill="1" applyAlignment="1">
      <alignment horizontal="center"/>
    </xf>
    <xf numFmtId="0" fontId="0" fillId="0" borderId="0" xfId="0" pivotButton="1"/>
    <xf numFmtId="0" fontId="0" fillId="0" borderId="0" xfId="0" applyAlignment="1">
      <alignment horizontal="center"/>
    </xf>
    <xf numFmtId="165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1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[Global Freelancer Mini Project.xlsx]Pivottable!PivotTable1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Pivottable!$B$3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Pivottable!$A$4:$A$14</c:f>
              <c:strCache>
                <c:ptCount val="10"/>
                <c:pt idx="0">
                  <c:v>Angela Blackwell</c:v>
                </c:pt>
                <c:pt idx="1">
                  <c:v>Bradley Wu</c:v>
                </c:pt>
                <c:pt idx="2">
                  <c:v>Gina Thompson</c:v>
                </c:pt>
                <c:pt idx="3">
                  <c:v>Jennifer Allen</c:v>
                </c:pt>
                <c:pt idx="4">
                  <c:v>John White</c:v>
                </c:pt>
                <c:pt idx="5">
                  <c:v>Latoya Brown</c:v>
                </c:pt>
                <c:pt idx="6">
                  <c:v>Miss Kimberly Marshall</c:v>
                </c:pt>
                <c:pt idx="7">
                  <c:v>Rodney Wilson</c:v>
                </c:pt>
                <c:pt idx="8">
                  <c:v>Ryan Ewing</c:v>
                </c:pt>
                <c:pt idx="9">
                  <c:v>Thomas Ingram</c:v>
                </c:pt>
              </c:strCache>
            </c:strRef>
          </c:cat>
          <c:val>
            <c:numRef>
              <c:f>Pivottable!$B$4:$B$14</c:f>
              <c:numCache>
                <c:formatCode>General</c:formatCode>
                <c:ptCount val="10"/>
                <c:pt idx="0">
                  <c:v>41</c:v>
                </c:pt>
                <c:pt idx="1">
                  <c:v>39</c:v>
                </c:pt>
                <c:pt idx="2">
                  <c:v>38</c:v>
                </c:pt>
                <c:pt idx="3">
                  <c:v>40</c:v>
                </c:pt>
                <c:pt idx="4">
                  <c:v>40</c:v>
                </c:pt>
                <c:pt idx="5">
                  <c:v>40</c:v>
                </c:pt>
                <c:pt idx="6">
                  <c:v>40</c:v>
                </c:pt>
                <c:pt idx="7">
                  <c:v>39</c:v>
                </c:pt>
                <c:pt idx="8">
                  <c:v>39</c:v>
                </c:pt>
                <c:pt idx="9">
                  <c:v>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E26-489A-B511-6518D5F889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43660272"/>
        <c:axId val="1988324784"/>
      </c:barChart>
      <c:catAx>
        <c:axId val="20436602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8324784"/>
        <c:crosses val="autoZero"/>
        <c:auto val="1"/>
        <c:lblAlgn val="ctr"/>
        <c:lblOffset val="100"/>
        <c:noMultiLvlLbl val="0"/>
      </c:catAx>
      <c:valAx>
        <c:axId val="1988324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36602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[Global Freelancer Mini Project.xlsx]Pivottable!PivotTable2</c:name>
    <c:fmtId val="4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Pivottable!$B$18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Pivottable!$A$19:$A$40</c:f>
              <c:strCache>
                <c:ptCount val="21"/>
                <c:pt idx="0">
                  <c:v>Argentina</c:v>
                </c:pt>
                <c:pt idx="1">
                  <c:v>Australia</c:v>
                </c:pt>
                <c:pt idx="2">
                  <c:v>Brazil</c:v>
                </c:pt>
                <c:pt idx="3">
                  <c:v>Canada</c:v>
                </c:pt>
                <c:pt idx="4">
                  <c:v>China</c:v>
                </c:pt>
                <c:pt idx="5">
                  <c:v>Egypt</c:v>
                </c:pt>
                <c:pt idx="6">
                  <c:v>France</c:v>
                </c:pt>
                <c:pt idx="7">
                  <c:v>Germany</c:v>
                </c:pt>
                <c:pt idx="8">
                  <c:v>India</c:v>
                </c:pt>
                <c:pt idx="9">
                  <c:v>Indonesia</c:v>
                </c:pt>
                <c:pt idx="10">
                  <c:v>Italy</c:v>
                </c:pt>
                <c:pt idx="11">
                  <c:v>Japan</c:v>
                </c:pt>
                <c:pt idx="12">
                  <c:v>Mexico</c:v>
                </c:pt>
                <c:pt idx="13">
                  <c:v>Netherlands</c:v>
                </c:pt>
                <c:pt idx="14">
                  <c:v>Russia</c:v>
                </c:pt>
                <c:pt idx="15">
                  <c:v>South Africa</c:v>
                </c:pt>
                <c:pt idx="16">
                  <c:v>South Korea</c:v>
                </c:pt>
                <c:pt idx="17">
                  <c:v>Spain</c:v>
                </c:pt>
                <c:pt idx="18">
                  <c:v>Turkey</c:v>
                </c:pt>
                <c:pt idx="19">
                  <c:v>United Kingdom</c:v>
                </c:pt>
                <c:pt idx="20">
                  <c:v>United States</c:v>
                </c:pt>
              </c:strCache>
            </c:strRef>
          </c:cat>
          <c:val>
            <c:numRef>
              <c:f>Pivottable!$B$19:$B$40</c:f>
              <c:numCache>
                <c:formatCode>General</c:formatCode>
                <c:ptCount val="21"/>
                <c:pt idx="0">
                  <c:v>47</c:v>
                </c:pt>
                <c:pt idx="1">
                  <c:v>51</c:v>
                </c:pt>
                <c:pt idx="2">
                  <c:v>31</c:v>
                </c:pt>
                <c:pt idx="3">
                  <c:v>65</c:v>
                </c:pt>
                <c:pt idx="4">
                  <c:v>49</c:v>
                </c:pt>
                <c:pt idx="5">
                  <c:v>42</c:v>
                </c:pt>
                <c:pt idx="6">
                  <c:v>44</c:v>
                </c:pt>
                <c:pt idx="7">
                  <c:v>52</c:v>
                </c:pt>
                <c:pt idx="8">
                  <c:v>45</c:v>
                </c:pt>
                <c:pt idx="9">
                  <c:v>46</c:v>
                </c:pt>
                <c:pt idx="10">
                  <c:v>42</c:v>
                </c:pt>
                <c:pt idx="11">
                  <c:v>37</c:v>
                </c:pt>
                <c:pt idx="12">
                  <c:v>50</c:v>
                </c:pt>
                <c:pt idx="13">
                  <c:v>51</c:v>
                </c:pt>
                <c:pt idx="14">
                  <c:v>47</c:v>
                </c:pt>
                <c:pt idx="15">
                  <c:v>44</c:v>
                </c:pt>
                <c:pt idx="16">
                  <c:v>68</c:v>
                </c:pt>
                <c:pt idx="17">
                  <c:v>45</c:v>
                </c:pt>
                <c:pt idx="18">
                  <c:v>45</c:v>
                </c:pt>
                <c:pt idx="19">
                  <c:v>50</c:v>
                </c:pt>
                <c:pt idx="20">
                  <c:v>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629-42E3-929D-95F4E01908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7956608"/>
        <c:axId val="1988352144"/>
      </c:barChart>
      <c:catAx>
        <c:axId val="679566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8352144"/>
        <c:crosses val="autoZero"/>
        <c:auto val="1"/>
        <c:lblAlgn val="ctr"/>
        <c:lblOffset val="100"/>
        <c:noMultiLvlLbl val="0"/>
      </c:catAx>
      <c:valAx>
        <c:axId val="1988352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9566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[Global Freelancer Mini Project.xlsx]Pivottable!PivotTable3</c:name>
    <c:fmtId val="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doughnutChart>
        <c:varyColors val="1"/>
        <c:ser>
          <c:idx val="0"/>
          <c:order val="0"/>
          <c:tx>
            <c:strRef>
              <c:f>Pivottable!$C$44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Pivottable!$B$45:$B$55</c:f>
              <c:strCache>
                <c:ptCount val="10"/>
                <c:pt idx="0">
                  <c:v>AI</c:v>
                </c:pt>
                <c:pt idx="1">
                  <c:v>Blockchain Development</c:v>
                </c:pt>
                <c:pt idx="2">
                  <c:v>Cybersecurity</c:v>
                </c:pt>
                <c:pt idx="3">
                  <c:v>Data Analysis</c:v>
                </c:pt>
                <c:pt idx="4">
                  <c:v>DevOps</c:v>
                </c:pt>
                <c:pt idx="5">
                  <c:v>Graphic Design</c:v>
                </c:pt>
                <c:pt idx="6">
                  <c:v>Machine Learning</c:v>
                </c:pt>
                <c:pt idx="7">
                  <c:v>Mobile Apps</c:v>
                </c:pt>
                <c:pt idx="8">
                  <c:v>UI/UX Design</c:v>
                </c:pt>
                <c:pt idx="9">
                  <c:v>Web Development</c:v>
                </c:pt>
              </c:strCache>
            </c:strRef>
          </c:cat>
          <c:val>
            <c:numRef>
              <c:f>Pivottable!$C$45:$C$55</c:f>
              <c:numCache>
                <c:formatCode>General</c:formatCode>
                <c:ptCount val="10"/>
                <c:pt idx="0">
                  <c:v>100</c:v>
                </c:pt>
                <c:pt idx="1">
                  <c:v>105</c:v>
                </c:pt>
                <c:pt idx="2">
                  <c:v>86</c:v>
                </c:pt>
                <c:pt idx="3">
                  <c:v>96</c:v>
                </c:pt>
                <c:pt idx="4">
                  <c:v>112</c:v>
                </c:pt>
                <c:pt idx="5">
                  <c:v>93</c:v>
                </c:pt>
                <c:pt idx="6">
                  <c:v>93</c:v>
                </c:pt>
                <c:pt idx="7">
                  <c:v>102</c:v>
                </c:pt>
                <c:pt idx="8">
                  <c:v>109</c:v>
                </c:pt>
                <c:pt idx="9">
                  <c:v>104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9D3-4A6B-AF28-47408E954F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[Global Freelancer Mini Project.xlsx]Pivottable!PivotTable4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Pivottable!$B$60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Pivottable!$A$61:$A$73</c:f>
              <c:strCache>
                <c:ptCount val="12"/>
                <c:pt idx="0">
                  <c:v>Allen Lee</c:v>
                </c:pt>
                <c:pt idx="1">
                  <c:v>Anthony Downs</c:v>
                </c:pt>
                <c:pt idx="2">
                  <c:v>Bethany Wright</c:v>
                </c:pt>
                <c:pt idx="3">
                  <c:v>Daniel Harrington</c:v>
                </c:pt>
                <c:pt idx="4">
                  <c:v>Elizabeth Hayes</c:v>
                </c:pt>
                <c:pt idx="5">
                  <c:v>Emily Brown</c:v>
                </c:pt>
                <c:pt idx="6">
                  <c:v>Jason Carter</c:v>
                </c:pt>
                <c:pt idx="7">
                  <c:v>Jesus Quinn</c:v>
                </c:pt>
                <c:pt idx="8">
                  <c:v>Lisa Johnson</c:v>
                </c:pt>
                <c:pt idx="9">
                  <c:v>Melanie Gay</c:v>
                </c:pt>
                <c:pt idx="10">
                  <c:v>Sarah Ho</c:v>
                </c:pt>
                <c:pt idx="11">
                  <c:v>William Knapp</c:v>
                </c:pt>
              </c:strCache>
            </c:strRef>
          </c:cat>
          <c:val>
            <c:numRef>
              <c:f>Pivottable!$B$61:$B$73</c:f>
              <c:numCache>
                <c:formatCode>General</c:formatCode>
                <c:ptCount val="12"/>
                <c:pt idx="0">
                  <c:v>5</c:v>
                </c:pt>
                <c:pt idx="1">
                  <c:v>5</c:v>
                </c:pt>
                <c:pt idx="2">
                  <c:v>5</c:v>
                </c:pt>
                <c:pt idx="3">
                  <c:v>5</c:v>
                </c:pt>
                <c:pt idx="4">
                  <c:v>5</c:v>
                </c:pt>
                <c:pt idx="5">
                  <c:v>5</c:v>
                </c:pt>
                <c:pt idx="6">
                  <c:v>5</c:v>
                </c:pt>
                <c:pt idx="7">
                  <c:v>5</c:v>
                </c:pt>
                <c:pt idx="8">
                  <c:v>7.1999999999999993</c:v>
                </c:pt>
                <c:pt idx="9">
                  <c:v>5</c:v>
                </c:pt>
                <c:pt idx="10">
                  <c:v>7.8000000000000007</c:v>
                </c:pt>
                <c:pt idx="11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7D-4010-AFA8-AE5D9031F9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[Global Freelancer Mini Project.xlsx]Pivottable!PivotTable5</c:name>
    <c:fmtId val="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Pivottable!$B$77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Pivottable!$A$78:$A$695</c:f>
              <c:strCache>
                <c:ptCount val="617"/>
                <c:pt idx="0">
                  <c:v>Aaron Blair</c:v>
                </c:pt>
                <c:pt idx="1">
                  <c:v>Aaron Hicks</c:v>
                </c:pt>
                <c:pt idx="2">
                  <c:v>Alan Williams</c:v>
                </c:pt>
                <c:pt idx="3">
                  <c:v>Albert Wilcox</c:v>
                </c:pt>
                <c:pt idx="4">
                  <c:v>Alex Smith</c:v>
                </c:pt>
                <c:pt idx="5">
                  <c:v>Alex Wilson</c:v>
                </c:pt>
                <c:pt idx="6">
                  <c:v>Alexa Gallegos</c:v>
                </c:pt>
                <c:pt idx="7">
                  <c:v>Alexander Griffin</c:v>
                </c:pt>
                <c:pt idx="8">
                  <c:v>Alexandra Sims</c:v>
                </c:pt>
                <c:pt idx="9">
                  <c:v>Alexis Day</c:v>
                </c:pt>
                <c:pt idx="10">
                  <c:v>Alison Clark</c:v>
                </c:pt>
                <c:pt idx="11">
                  <c:v>Allen Turner</c:v>
                </c:pt>
                <c:pt idx="12">
                  <c:v>Allison Henderson</c:v>
                </c:pt>
                <c:pt idx="13">
                  <c:v>Allison Perkins</c:v>
                </c:pt>
                <c:pt idx="14">
                  <c:v>Allison Tucker Md</c:v>
                </c:pt>
                <c:pt idx="15">
                  <c:v>Allison Williams</c:v>
                </c:pt>
                <c:pt idx="16">
                  <c:v>Amanda Jacobs</c:v>
                </c:pt>
                <c:pt idx="17">
                  <c:v>Amanda Mitchell</c:v>
                </c:pt>
                <c:pt idx="18">
                  <c:v>Amanda Smith</c:v>
                </c:pt>
                <c:pt idx="19">
                  <c:v>Amanda Vargas</c:v>
                </c:pt>
                <c:pt idx="20">
                  <c:v>Amy Combs</c:v>
                </c:pt>
                <c:pt idx="21">
                  <c:v>Amy Fitzgerald</c:v>
                </c:pt>
                <c:pt idx="22">
                  <c:v>Andrew Lynch</c:v>
                </c:pt>
                <c:pt idx="23">
                  <c:v>Angel Collins</c:v>
                </c:pt>
                <c:pt idx="24">
                  <c:v>Angela Blackwell</c:v>
                </c:pt>
                <c:pt idx="25">
                  <c:v>Angela Castillo</c:v>
                </c:pt>
                <c:pt idx="26">
                  <c:v>Angela Castro</c:v>
                </c:pt>
                <c:pt idx="27">
                  <c:v>Angela Johnson</c:v>
                </c:pt>
                <c:pt idx="28">
                  <c:v>Angelica Rogers</c:v>
                </c:pt>
                <c:pt idx="29">
                  <c:v>Anita Becker</c:v>
                </c:pt>
                <c:pt idx="30">
                  <c:v>Anna Evans</c:v>
                </c:pt>
                <c:pt idx="31">
                  <c:v>Anna Mccann</c:v>
                </c:pt>
                <c:pt idx="32">
                  <c:v>Anne Edwards</c:v>
                </c:pt>
                <c:pt idx="33">
                  <c:v>Anne Hamilton</c:v>
                </c:pt>
                <c:pt idx="34">
                  <c:v>Anne Hampton</c:v>
                </c:pt>
                <c:pt idx="35">
                  <c:v>Anthony Case</c:v>
                </c:pt>
                <c:pt idx="36">
                  <c:v>Anthony Downs</c:v>
                </c:pt>
                <c:pt idx="37">
                  <c:v>Anthony Huynh Md</c:v>
                </c:pt>
                <c:pt idx="38">
                  <c:v>Anthony Krause</c:v>
                </c:pt>
                <c:pt idx="39">
                  <c:v>Anthony Larsen</c:v>
                </c:pt>
                <c:pt idx="40">
                  <c:v>Antonio Johnson</c:v>
                </c:pt>
                <c:pt idx="41">
                  <c:v>April Ford</c:v>
                </c:pt>
                <c:pt idx="42">
                  <c:v>Ariana Pittman</c:v>
                </c:pt>
                <c:pt idx="43">
                  <c:v>Ashley Hammond</c:v>
                </c:pt>
                <c:pt idx="44">
                  <c:v>Ashley Kemp</c:v>
                </c:pt>
                <c:pt idx="45">
                  <c:v>Austin Allen</c:v>
                </c:pt>
                <c:pt idx="46">
                  <c:v>Austin Jenkins</c:v>
                </c:pt>
                <c:pt idx="47">
                  <c:v>Austin Romero</c:v>
                </c:pt>
                <c:pt idx="48">
                  <c:v>Barbara Brown</c:v>
                </c:pt>
                <c:pt idx="49">
                  <c:v>Barbara Keith</c:v>
                </c:pt>
                <c:pt idx="50">
                  <c:v>Benjamin Stark</c:v>
                </c:pt>
                <c:pt idx="51">
                  <c:v>Benjamin Stevens</c:v>
                </c:pt>
                <c:pt idx="52">
                  <c:v>Beth Huff</c:v>
                </c:pt>
                <c:pt idx="53">
                  <c:v>Blake Newton</c:v>
                </c:pt>
                <c:pt idx="54">
                  <c:v>Bonnie Sherman</c:v>
                </c:pt>
                <c:pt idx="55">
                  <c:v>Bradley Aguilar</c:v>
                </c:pt>
                <c:pt idx="56">
                  <c:v>Bradley Gaines</c:v>
                </c:pt>
                <c:pt idx="57">
                  <c:v>Bradley Weaver</c:v>
                </c:pt>
                <c:pt idx="58">
                  <c:v>Bradley Wu</c:v>
                </c:pt>
                <c:pt idx="59">
                  <c:v>Brandi Tucker</c:v>
                </c:pt>
                <c:pt idx="60">
                  <c:v>Brandon Ford</c:v>
                </c:pt>
                <c:pt idx="61">
                  <c:v>Brandon Newman</c:v>
                </c:pt>
                <c:pt idx="62">
                  <c:v>Brandon Williams</c:v>
                </c:pt>
                <c:pt idx="63">
                  <c:v>Brenda Briggs</c:v>
                </c:pt>
                <c:pt idx="64">
                  <c:v>Brenda Fleming</c:v>
                </c:pt>
                <c:pt idx="65">
                  <c:v>Brenda Green</c:v>
                </c:pt>
                <c:pt idx="66">
                  <c:v>Brenda Reeves</c:v>
                </c:pt>
                <c:pt idx="67">
                  <c:v>Brian Bautista</c:v>
                </c:pt>
                <c:pt idx="68">
                  <c:v>Brian Dunn</c:v>
                </c:pt>
                <c:pt idx="69">
                  <c:v>Brian Holland</c:v>
                </c:pt>
                <c:pt idx="70">
                  <c:v>Brianna Pittman</c:v>
                </c:pt>
                <c:pt idx="71">
                  <c:v>Brittany Lambert</c:v>
                </c:pt>
                <c:pt idx="72">
                  <c:v>Cameron Spencer</c:v>
                </c:pt>
                <c:pt idx="73">
                  <c:v>Candice Wise</c:v>
                </c:pt>
                <c:pt idx="74">
                  <c:v>Carl Kline</c:v>
                </c:pt>
                <c:pt idx="75">
                  <c:v>Carla Wood</c:v>
                </c:pt>
                <c:pt idx="76">
                  <c:v>Caroline Gross</c:v>
                </c:pt>
                <c:pt idx="77">
                  <c:v>Carolyn Lopez</c:v>
                </c:pt>
                <c:pt idx="78">
                  <c:v>Casey Bush</c:v>
                </c:pt>
                <c:pt idx="79">
                  <c:v>Casey Roberts</c:v>
                </c:pt>
                <c:pt idx="80">
                  <c:v>Cassandra Macdonald</c:v>
                </c:pt>
                <c:pt idx="81">
                  <c:v>Catherine Johnston</c:v>
                </c:pt>
                <c:pt idx="82">
                  <c:v>Cathy Baldwin</c:v>
                </c:pt>
                <c:pt idx="83">
                  <c:v>Charles Dean</c:v>
                </c:pt>
                <c:pt idx="84">
                  <c:v>Charles Jones</c:v>
                </c:pt>
                <c:pt idx="85">
                  <c:v>Charles Martinez</c:v>
                </c:pt>
                <c:pt idx="86">
                  <c:v>Charles Pratt</c:v>
                </c:pt>
                <c:pt idx="87">
                  <c:v>Chelsea Anderson</c:v>
                </c:pt>
                <c:pt idx="88">
                  <c:v>Cheryl Freeman</c:v>
                </c:pt>
                <c:pt idx="89">
                  <c:v>Chloe Gray</c:v>
                </c:pt>
                <c:pt idx="90">
                  <c:v>Christian Campbell</c:v>
                </c:pt>
                <c:pt idx="91">
                  <c:v>Christian Lane</c:v>
                </c:pt>
                <c:pt idx="92">
                  <c:v>Christina Wright</c:v>
                </c:pt>
                <c:pt idx="93">
                  <c:v>Christine Castro</c:v>
                </c:pt>
                <c:pt idx="94">
                  <c:v>Christine Hart</c:v>
                </c:pt>
                <c:pt idx="95">
                  <c:v>Christine Johnson</c:v>
                </c:pt>
                <c:pt idx="96">
                  <c:v>Christopher Guerra</c:v>
                </c:pt>
                <c:pt idx="97">
                  <c:v>Christopher Hunter</c:v>
                </c:pt>
                <c:pt idx="98">
                  <c:v>Christopher Nichols</c:v>
                </c:pt>
                <c:pt idx="99">
                  <c:v>Christopher Riggs</c:v>
                </c:pt>
                <c:pt idx="100">
                  <c:v>Christopher Sparks</c:v>
                </c:pt>
                <c:pt idx="101">
                  <c:v>Cindy Jacobs</c:v>
                </c:pt>
                <c:pt idx="102">
                  <c:v>Cindy Martin</c:v>
                </c:pt>
                <c:pt idx="103">
                  <c:v>Cindy Williams</c:v>
                </c:pt>
                <c:pt idx="104">
                  <c:v>Clarence Vega</c:v>
                </c:pt>
                <c:pt idx="105">
                  <c:v>Connie Mcclain</c:v>
                </c:pt>
                <c:pt idx="106">
                  <c:v>Courtney Burton</c:v>
                </c:pt>
                <c:pt idx="107">
                  <c:v>Courtney Tran</c:v>
                </c:pt>
                <c:pt idx="108">
                  <c:v>Craig Levine</c:v>
                </c:pt>
                <c:pt idx="109">
                  <c:v>Crystal Brown</c:v>
                </c:pt>
                <c:pt idx="110">
                  <c:v>Crystal Wilson</c:v>
                </c:pt>
                <c:pt idx="111">
                  <c:v>Curtis Lambert</c:v>
                </c:pt>
                <c:pt idx="112">
                  <c:v>Curtis Maxwell</c:v>
                </c:pt>
                <c:pt idx="113">
                  <c:v>Cynthia Mckinney</c:v>
                </c:pt>
                <c:pt idx="114">
                  <c:v>Cynthia Walton</c:v>
                </c:pt>
                <c:pt idx="115">
                  <c:v>Dakota Giles</c:v>
                </c:pt>
                <c:pt idx="116">
                  <c:v>Dakota Wells</c:v>
                </c:pt>
                <c:pt idx="117">
                  <c:v>Dale Haynes</c:v>
                </c:pt>
                <c:pt idx="118">
                  <c:v>Dana Rice</c:v>
                </c:pt>
                <c:pt idx="119">
                  <c:v>Dana Sanders</c:v>
                </c:pt>
                <c:pt idx="120">
                  <c:v>Daniel Foster</c:v>
                </c:pt>
                <c:pt idx="121">
                  <c:v>Daniel Green</c:v>
                </c:pt>
                <c:pt idx="122">
                  <c:v>Daniel Lopez</c:v>
                </c:pt>
                <c:pt idx="123">
                  <c:v>Daniel Martin</c:v>
                </c:pt>
                <c:pt idx="124">
                  <c:v>Daniel Parker</c:v>
                </c:pt>
                <c:pt idx="125">
                  <c:v>Daniel Quinn</c:v>
                </c:pt>
                <c:pt idx="126">
                  <c:v>Daniel Terry</c:v>
                </c:pt>
                <c:pt idx="127">
                  <c:v>Daniel Thomas</c:v>
                </c:pt>
                <c:pt idx="128">
                  <c:v>Danielle Adkins</c:v>
                </c:pt>
                <c:pt idx="129">
                  <c:v>Danielle Bell</c:v>
                </c:pt>
                <c:pt idx="130">
                  <c:v>Danielle Costa</c:v>
                </c:pt>
                <c:pt idx="131">
                  <c:v>Danny Brown</c:v>
                </c:pt>
                <c:pt idx="132">
                  <c:v>David Armstrong</c:v>
                </c:pt>
                <c:pt idx="133">
                  <c:v>David Bishop</c:v>
                </c:pt>
                <c:pt idx="134">
                  <c:v>David Brown</c:v>
                </c:pt>
                <c:pt idx="135">
                  <c:v>David Cherry</c:v>
                </c:pt>
                <c:pt idx="136">
                  <c:v>David Cox</c:v>
                </c:pt>
                <c:pt idx="137">
                  <c:v>David Griffin</c:v>
                </c:pt>
                <c:pt idx="138">
                  <c:v>David Martinez</c:v>
                </c:pt>
                <c:pt idx="139">
                  <c:v>David Morrison</c:v>
                </c:pt>
                <c:pt idx="140">
                  <c:v>David Osborne Iii</c:v>
                </c:pt>
                <c:pt idx="141">
                  <c:v>David Sanchez</c:v>
                </c:pt>
                <c:pt idx="142">
                  <c:v>David Spence</c:v>
                </c:pt>
                <c:pt idx="143">
                  <c:v>Dawn Green</c:v>
                </c:pt>
                <c:pt idx="144">
                  <c:v>Dawn Hardy</c:v>
                </c:pt>
                <c:pt idx="145">
                  <c:v>Deborah Kelley</c:v>
                </c:pt>
                <c:pt idx="146">
                  <c:v>Debra Garcia</c:v>
                </c:pt>
                <c:pt idx="147">
                  <c:v>Denise Erickson</c:v>
                </c:pt>
                <c:pt idx="148">
                  <c:v>Diana Chase</c:v>
                </c:pt>
                <c:pt idx="149">
                  <c:v>Diana Ferguson</c:v>
                </c:pt>
                <c:pt idx="150">
                  <c:v>Diana Walton</c:v>
                </c:pt>
                <c:pt idx="151">
                  <c:v>Diane Dean</c:v>
                </c:pt>
                <c:pt idx="152">
                  <c:v>Diane Flores</c:v>
                </c:pt>
                <c:pt idx="153">
                  <c:v>Donald Mitchell</c:v>
                </c:pt>
                <c:pt idx="154">
                  <c:v>Donna Davis</c:v>
                </c:pt>
                <c:pt idx="155">
                  <c:v>Donna Hansen</c:v>
                </c:pt>
                <c:pt idx="156">
                  <c:v>Douglas Goodwin</c:v>
                </c:pt>
                <c:pt idx="157">
                  <c:v>Dr. Jessica Campbell</c:v>
                </c:pt>
                <c:pt idx="158">
                  <c:v>Dr. Michael Aguilar</c:v>
                </c:pt>
                <c:pt idx="159">
                  <c:v>Dr. Pamela Larson</c:v>
                </c:pt>
                <c:pt idx="160">
                  <c:v>Dr. Paul Williamson</c:v>
                </c:pt>
                <c:pt idx="161">
                  <c:v>Dr. Rhonda Hernandez</c:v>
                </c:pt>
                <c:pt idx="162">
                  <c:v>Dustin Douglas</c:v>
                </c:pt>
                <c:pt idx="163">
                  <c:v>Dustin Smith</c:v>
                </c:pt>
                <c:pt idx="164">
                  <c:v>Dwayne Cardenas</c:v>
                </c:pt>
                <c:pt idx="165">
                  <c:v>Dwayne Parks</c:v>
                </c:pt>
                <c:pt idx="166">
                  <c:v>Eduardo Burns</c:v>
                </c:pt>
                <c:pt idx="167">
                  <c:v>Eduardo Reed</c:v>
                </c:pt>
                <c:pt idx="168">
                  <c:v>Edward Ferguson</c:v>
                </c:pt>
                <c:pt idx="169">
                  <c:v>Elaine Martinez</c:v>
                </c:pt>
                <c:pt idx="170">
                  <c:v>Elizabeth Edwards</c:v>
                </c:pt>
                <c:pt idx="171">
                  <c:v>Elizabeth Estrada</c:v>
                </c:pt>
                <c:pt idx="172">
                  <c:v>Elizabeth Green</c:v>
                </c:pt>
                <c:pt idx="173">
                  <c:v>Elizabeth Hayes</c:v>
                </c:pt>
                <c:pt idx="174">
                  <c:v>Elizabeth Jenkins</c:v>
                </c:pt>
                <c:pt idx="175">
                  <c:v>Elizabeth Lester</c:v>
                </c:pt>
                <c:pt idx="176">
                  <c:v>Elizabeth Phillips</c:v>
                </c:pt>
                <c:pt idx="177">
                  <c:v>Elizabeth Walker</c:v>
                </c:pt>
                <c:pt idx="178">
                  <c:v>Ellen Bowman</c:v>
                </c:pt>
                <c:pt idx="179">
                  <c:v>Emily Brown</c:v>
                </c:pt>
                <c:pt idx="180">
                  <c:v>Emily Horton</c:v>
                </c:pt>
                <c:pt idx="181">
                  <c:v>Emily Scott</c:v>
                </c:pt>
                <c:pt idx="182">
                  <c:v>Eric Carpenter</c:v>
                </c:pt>
                <c:pt idx="183">
                  <c:v>Eric Johnson</c:v>
                </c:pt>
                <c:pt idx="184">
                  <c:v>Eric Nguyen</c:v>
                </c:pt>
                <c:pt idx="185">
                  <c:v>Erica Davis</c:v>
                </c:pt>
                <c:pt idx="186">
                  <c:v>Erica Jackson</c:v>
                </c:pt>
                <c:pt idx="187">
                  <c:v>Erika Mitchell</c:v>
                </c:pt>
                <c:pt idx="188">
                  <c:v>Erin Jimenez</c:v>
                </c:pt>
                <c:pt idx="189">
                  <c:v>Erin Martin</c:v>
                </c:pt>
                <c:pt idx="190">
                  <c:v>Evan Soto</c:v>
                </c:pt>
                <c:pt idx="191">
                  <c:v>Frederick Ware</c:v>
                </c:pt>
                <c:pt idx="192">
                  <c:v>Gabrielle Bowman</c:v>
                </c:pt>
                <c:pt idx="193">
                  <c:v>Gavin Randall</c:v>
                </c:pt>
                <c:pt idx="194">
                  <c:v>Gerald Johnson</c:v>
                </c:pt>
                <c:pt idx="195">
                  <c:v>Gerald Taylor</c:v>
                </c:pt>
                <c:pt idx="196">
                  <c:v>Gilbert Mcintyre</c:v>
                </c:pt>
                <c:pt idx="197">
                  <c:v>Gina Thompson</c:v>
                </c:pt>
                <c:pt idx="198">
                  <c:v>Gregory Brown</c:v>
                </c:pt>
                <c:pt idx="199">
                  <c:v>Gregory Garrison</c:v>
                </c:pt>
                <c:pt idx="200">
                  <c:v>Gregory Randall</c:v>
                </c:pt>
                <c:pt idx="201">
                  <c:v>Gregory Waters</c:v>
                </c:pt>
                <c:pt idx="202">
                  <c:v>Haley Castro</c:v>
                </c:pt>
                <c:pt idx="203">
                  <c:v>Haley Yates</c:v>
                </c:pt>
                <c:pt idx="204">
                  <c:v>Hannah Sanders</c:v>
                </c:pt>
                <c:pt idx="205">
                  <c:v>Heather Brown</c:v>
                </c:pt>
                <c:pt idx="206">
                  <c:v>Heather Camacho</c:v>
                </c:pt>
                <c:pt idx="207">
                  <c:v>Heather Curtis</c:v>
                </c:pt>
                <c:pt idx="208">
                  <c:v>Heather Davis</c:v>
                </c:pt>
                <c:pt idx="209">
                  <c:v>Heather Saunders</c:v>
                </c:pt>
                <c:pt idx="210">
                  <c:v>Hector Greer</c:v>
                </c:pt>
                <c:pt idx="211">
                  <c:v>Heidi Dixon</c:v>
                </c:pt>
                <c:pt idx="212">
                  <c:v>Heidi Miranda</c:v>
                </c:pt>
                <c:pt idx="213">
                  <c:v>Henry Mullen</c:v>
                </c:pt>
                <c:pt idx="214">
                  <c:v>Ian Hayes</c:v>
                </c:pt>
                <c:pt idx="215">
                  <c:v>Ian May</c:v>
                </c:pt>
                <c:pt idx="216">
                  <c:v>Isaac Gray</c:v>
                </c:pt>
                <c:pt idx="217">
                  <c:v>Isabel Brown</c:v>
                </c:pt>
                <c:pt idx="218">
                  <c:v>Jack Ortega</c:v>
                </c:pt>
                <c:pt idx="219">
                  <c:v>Jacob Austin</c:v>
                </c:pt>
                <c:pt idx="220">
                  <c:v>Jacob Gill</c:v>
                </c:pt>
                <c:pt idx="221">
                  <c:v>Jacob Jones</c:v>
                </c:pt>
                <c:pt idx="222">
                  <c:v>Jacob Kerr</c:v>
                </c:pt>
                <c:pt idx="223">
                  <c:v>Jacqueline Drake</c:v>
                </c:pt>
                <c:pt idx="224">
                  <c:v>Jacqueline Peterson</c:v>
                </c:pt>
                <c:pt idx="225">
                  <c:v>Jacqueline Williams</c:v>
                </c:pt>
                <c:pt idx="226">
                  <c:v>Jake Gilmore</c:v>
                </c:pt>
                <c:pt idx="227">
                  <c:v>James Brown</c:v>
                </c:pt>
                <c:pt idx="228">
                  <c:v>James Campbell</c:v>
                </c:pt>
                <c:pt idx="229">
                  <c:v>James Carr</c:v>
                </c:pt>
                <c:pt idx="230">
                  <c:v>James Gonzalez</c:v>
                </c:pt>
                <c:pt idx="231">
                  <c:v>James Hall</c:v>
                </c:pt>
                <c:pt idx="232">
                  <c:v>James Hinton</c:v>
                </c:pt>
                <c:pt idx="233">
                  <c:v>James Mills</c:v>
                </c:pt>
                <c:pt idx="234">
                  <c:v>James Skinner</c:v>
                </c:pt>
                <c:pt idx="235">
                  <c:v>Jane Cox</c:v>
                </c:pt>
                <c:pt idx="236">
                  <c:v>Janet Barron</c:v>
                </c:pt>
                <c:pt idx="237">
                  <c:v>Jasmine Harris</c:v>
                </c:pt>
                <c:pt idx="238">
                  <c:v>Jason Brady</c:v>
                </c:pt>
                <c:pt idx="239">
                  <c:v>Jason Bryant</c:v>
                </c:pt>
                <c:pt idx="240">
                  <c:v>Jason Carter</c:v>
                </c:pt>
                <c:pt idx="241">
                  <c:v>Jason Johnson</c:v>
                </c:pt>
                <c:pt idx="242">
                  <c:v>Jason Sanders</c:v>
                </c:pt>
                <c:pt idx="243">
                  <c:v>Jason Scott</c:v>
                </c:pt>
                <c:pt idx="244">
                  <c:v>Jason Singh</c:v>
                </c:pt>
                <c:pt idx="245">
                  <c:v>Jason Weaver</c:v>
                </c:pt>
                <c:pt idx="246">
                  <c:v>Javier Hobbs</c:v>
                </c:pt>
                <c:pt idx="247">
                  <c:v>Jay Bush</c:v>
                </c:pt>
                <c:pt idx="248">
                  <c:v>Jeffery Tucker</c:v>
                </c:pt>
                <c:pt idx="249">
                  <c:v>Jeffrey Cooper</c:v>
                </c:pt>
                <c:pt idx="250">
                  <c:v>Jeffrey Edwards</c:v>
                </c:pt>
                <c:pt idx="251">
                  <c:v>Jennifer Allen</c:v>
                </c:pt>
                <c:pt idx="252">
                  <c:v>Jennifer Carter</c:v>
                </c:pt>
                <c:pt idx="253">
                  <c:v>Jennifer Cherry</c:v>
                </c:pt>
                <c:pt idx="254">
                  <c:v>Jennifer Gonzalez</c:v>
                </c:pt>
                <c:pt idx="255">
                  <c:v>Jennifer Hinton</c:v>
                </c:pt>
                <c:pt idx="256">
                  <c:v>Jennifer Holmes</c:v>
                </c:pt>
                <c:pt idx="257">
                  <c:v>Jennifer Lewis</c:v>
                </c:pt>
                <c:pt idx="258">
                  <c:v>Jennifer Martin</c:v>
                </c:pt>
                <c:pt idx="259">
                  <c:v>Jennifer Mcintyre</c:v>
                </c:pt>
                <c:pt idx="260">
                  <c:v>Jennifer Miller</c:v>
                </c:pt>
                <c:pt idx="261">
                  <c:v>Jennifer Nelson</c:v>
                </c:pt>
                <c:pt idx="262">
                  <c:v>Jennifer Rogers</c:v>
                </c:pt>
                <c:pt idx="263">
                  <c:v>Jennifer Rowe</c:v>
                </c:pt>
                <c:pt idx="264">
                  <c:v>Jeremiah Rodriguez</c:v>
                </c:pt>
                <c:pt idx="265">
                  <c:v>Jeremiah Thompson</c:v>
                </c:pt>
                <c:pt idx="266">
                  <c:v>Jeremy Hernandez</c:v>
                </c:pt>
                <c:pt idx="267">
                  <c:v>Jeremy Meyer</c:v>
                </c:pt>
                <c:pt idx="268">
                  <c:v>Jeremy Sawyer</c:v>
                </c:pt>
                <c:pt idx="269">
                  <c:v>Jerry Price</c:v>
                </c:pt>
                <c:pt idx="270">
                  <c:v>Jesse Campbell</c:v>
                </c:pt>
                <c:pt idx="271">
                  <c:v>Jesse Cochran</c:v>
                </c:pt>
                <c:pt idx="272">
                  <c:v>Jesse Moran</c:v>
                </c:pt>
                <c:pt idx="273">
                  <c:v>Jessica Armstrong</c:v>
                </c:pt>
                <c:pt idx="274">
                  <c:v>Jessica Chaney</c:v>
                </c:pt>
                <c:pt idx="275">
                  <c:v>Jessica Erickson</c:v>
                </c:pt>
                <c:pt idx="276">
                  <c:v>Jessica Garza</c:v>
                </c:pt>
                <c:pt idx="277">
                  <c:v>Jessica Gray</c:v>
                </c:pt>
                <c:pt idx="278">
                  <c:v>Jessica Snyder</c:v>
                </c:pt>
                <c:pt idx="279">
                  <c:v>Jessica Vance</c:v>
                </c:pt>
                <c:pt idx="280">
                  <c:v>Jesus Martinez</c:v>
                </c:pt>
                <c:pt idx="281">
                  <c:v>Jesus Quinn</c:v>
                </c:pt>
                <c:pt idx="282">
                  <c:v>Jill Stephens</c:v>
                </c:pt>
                <c:pt idx="283">
                  <c:v>Jim Weiss</c:v>
                </c:pt>
                <c:pt idx="284">
                  <c:v>Joel Randolph</c:v>
                </c:pt>
                <c:pt idx="285">
                  <c:v>John Davis</c:v>
                </c:pt>
                <c:pt idx="286">
                  <c:v>John Gonzales</c:v>
                </c:pt>
                <c:pt idx="287">
                  <c:v>John Mckinney</c:v>
                </c:pt>
                <c:pt idx="288">
                  <c:v>John Nguyen</c:v>
                </c:pt>
                <c:pt idx="289">
                  <c:v>John Obrien</c:v>
                </c:pt>
                <c:pt idx="290">
                  <c:v>John Rios</c:v>
                </c:pt>
                <c:pt idx="291">
                  <c:v>John Simpson</c:v>
                </c:pt>
                <c:pt idx="292">
                  <c:v>John Smith</c:v>
                </c:pt>
                <c:pt idx="293">
                  <c:v>John Weaver</c:v>
                </c:pt>
                <c:pt idx="294">
                  <c:v>John Webb</c:v>
                </c:pt>
                <c:pt idx="295">
                  <c:v>John White</c:v>
                </c:pt>
                <c:pt idx="296">
                  <c:v>Johnny Rice</c:v>
                </c:pt>
                <c:pt idx="297">
                  <c:v>Jon Morgan</c:v>
                </c:pt>
                <c:pt idx="298">
                  <c:v>Jose Jones</c:v>
                </c:pt>
                <c:pt idx="299">
                  <c:v>Jose Wilson</c:v>
                </c:pt>
                <c:pt idx="300">
                  <c:v>Joseph Gonzalez</c:v>
                </c:pt>
                <c:pt idx="301">
                  <c:v>Joseph Horn</c:v>
                </c:pt>
                <c:pt idx="302">
                  <c:v>Joseph Miller</c:v>
                </c:pt>
                <c:pt idx="303">
                  <c:v>Joseph Robinson</c:v>
                </c:pt>
                <c:pt idx="304">
                  <c:v>Joseph Thomas</c:v>
                </c:pt>
                <c:pt idx="305">
                  <c:v>Joseph Wood</c:v>
                </c:pt>
                <c:pt idx="306">
                  <c:v>Joshua Chambers</c:v>
                </c:pt>
                <c:pt idx="307">
                  <c:v>Joshua Holloway</c:v>
                </c:pt>
                <c:pt idx="308">
                  <c:v>Joyce Humphrey</c:v>
                </c:pt>
                <c:pt idx="309">
                  <c:v>Juan Hines</c:v>
                </c:pt>
                <c:pt idx="310">
                  <c:v>Judith Poole</c:v>
                </c:pt>
                <c:pt idx="311">
                  <c:v>Judith Riggs</c:v>
                </c:pt>
                <c:pt idx="312">
                  <c:v>Julia Murphy</c:v>
                </c:pt>
                <c:pt idx="313">
                  <c:v>Julia Reid</c:v>
                </c:pt>
                <c:pt idx="314">
                  <c:v>Julie Burgess</c:v>
                </c:pt>
                <c:pt idx="315">
                  <c:v>Julie White</c:v>
                </c:pt>
                <c:pt idx="316">
                  <c:v>Justin House</c:v>
                </c:pt>
                <c:pt idx="317">
                  <c:v>Justin Johnson</c:v>
                </c:pt>
                <c:pt idx="318">
                  <c:v>Justin Jones</c:v>
                </c:pt>
                <c:pt idx="319">
                  <c:v>Justin Lang</c:v>
                </c:pt>
                <c:pt idx="320">
                  <c:v>Justin Ruiz</c:v>
                </c:pt>
                <c:pt idx="321">
                  <c:v>Kaitlyn Schmidt</c:v>
                </c:pt>
                <c:pt idx="322">
                  <c:v>Karen Mercer</c:v>
                </c:pt>
                <c:pt idx="323">
                  <c:v>Katherine Carlson</c:v>
                </c:pt>
                <c:pt idx="324">
                  <c:v>Kathleen Hendrix</c:v>
                </c:pt>
                <c:pt idx="325">
                  <c:v>Kathleen Quinn</c:v>
                </c:pt>
                <c:pt idx="326">
                  <c:v>Kathryn Myers</c:v>
                </c:pt>
                <c:pt idx="327">
                  <c:v>Kathy Faulkner</c:v>
                </c:pt>
                <c:pt idx="328">
                  <c:v>Kathy Grimes</c:v>
                </c:pt>
                <c:pt idx="329">
                  <c:v>Kathy Reese</c:v>
                </c:pt>
                <c:pt idx="330">
                  <c:v>Katrina Schultz</c:v>
                </c:pt>
                <c:pt idx="331">
                  <c:v>Kayla Meyers</c:v>
                </c:pt>
                <c:pt idx="332">
                  <c:v>Keith Smith</c:v>
                </c:pt>
                <c:pt idx="333">
                  <c:v>Keith Trujillo</c:v>
                </c:pt>
                <c:pt idx="334">
                  <c:v>Kelli Ramirez</c:v>
                </c:pt>
                <c:pt idx="335">
                  <c:v>Kellie Le</c:v>
                </c:pt>
                <c:pt idx="336">
                  <c:v>Kelly Ellis</c:v>
                </c:pt>
                <c:pt idx="337">
                  <c:v>Kelly Shelton</c:v>
                </c:pt>
                <c:pt idx="338">
                  <c:v>Kenneth Arias</c:v>
                </c:pt>
                <c:pt idx="339">
                  <c:v>Kenneth Evans</c:v>
                </c:pt>
                <c:pt idx="340">
                  <c:v>Kenneth Stevenson</c:v>
                </c:pt>
                <c:pt idx="341">
                  <c:v>Kevin Flores</c:v>
                </c:pt>
                <c:pt idx="342">
                  <c:v>Kevin Gonzales</c:v>
                </c:pt>
                <c:pt idx="343">
                  <c:v>Kevin Wong</c:v>
                </c:pt>
                <c:pt idx="344">
                  <c:v>Kimberly Allen</c:v>
                </c:pt>
                <c:pt idx="345">
                  <c:v>Kimberly Brown</c:v>
                </c:pt>
                <c:pt idx="346">
                  <c:v>Kimberly Fitzgerald</c:v>
                </c:pt>
                <c:pt idx="347">
                  <c:v>Kimberly Griffin</c:v>
                </c:pt>
                <c:pt idx="348">
                  <c:v>Kimberly Holland</c:v>
                </c:pt>
                <c:pt idx="349">
                  <c:v>Kimberly Hunter</c:v>
                </c:pt>
                <c:pt idx="350">
                  <c:v>Kimberly Williams</c:v>
                </c:pt>
                <c:pt idx="351">
                  <c:v>Kristen Haney</c:v>
                </c:pt>
                <c:pt idx="352">
                  <c:v>Kristi Brown Dvm</c:v>
                </c:pt>
                <c:pt idx="353">
                  <c:v>Kristina Miller</c:v>
                </c:pt>
                <c:pt idx="354">
                  <c:v>Kristina Williams</c:v>
                </c:pt>
                <c:pt idx="355">
                  <c:v>Kristine Garcia</c:v>
                </c:pt>
                <c:pt idx="356">
                  <c:v>Kurt Wilson</c:v>
                </c:pt>
                <c:pt idx="357">
                  <c:v>Kyle Atkinson</c:v>
                </c:pt>
                <c:pt idx="358">
                  <c:v>Kyle Burns</c:v>
                </c:pt>
                <c:pt idx="359">
                  <c:v>Lance Griffin</c:v>
                </c:pt>
                <c:pt idx="360">
                  <c:v>Larry Simpson</c:v>
                </c:pt>
                <c:pt idx="361">
                  <c:v>Larry Wallace</c:v>
                </c:pt>
                <c:pt idx="362">
                  <c:v>Latoya Brown</c:v>
                </c:pt>
                <c:pt idx="363">
                  <c:v>Laura Evans</c:v>
                </c:pt>
                <c:pt idx="364">
                  <c:v>Laura Kelly</c:v>
                </c:pt>
                <c:pt idx="365">
                  <c:v>Laura Thompson</c:v>
                </c:pt>
                <c:pt idx="366">
                  <c:v>Leah Harris</c:v>
                </c:pt>
                <c:pt idx="367">
                  <c:v>Leah Phelps</c:v>
                </c:pt>
                <c:pt idx="368">
                  <c:v>Leah Williams</c:v>
                </c:pt>
                <c:pt idx="369">
                  <c:v>Leslie Rodriguez</c:v>
                </c:pt>
                <c:pt idx="370">
                  <c:v>Lindsay Hudson</c:v>
                </c:pt>
                <c:pt idx="371">
                  <c:v>Lindsay Potts</c:v>
                </c:pt>
                <c:pt idx="372">
                  <c:v>Lindsay Rivera</c:v>
                </c:pt>
                <c:pt idx="373">
                  <c:v>Lindsey Miles</c:v>
                </c:pt>
                <c:pt idx="374">
                  <c:v>Lindsey Wang</c:v>
                </c:pt>
                <c:pt idx="375">
                  <c:v>Lisa Werner Md</c:v>
                </c:pt>
                <c:pt idx="376">
                  <c:v>Logan Huang</c:v>
                </c:pt>
                <c:pt idx="377">
                  <c:v>Logan Zamora</c:v>
                </c:pt>
                <c:pt idx="378">
                  <c:v>Lori Malone</c:v>
                </c:pt>
                <c:pt idx="379">
                  <c:v>Lori Marshall</c:v>
                </c:pt>
                <c:pt idx="380">
                  <c:v>Lori Perez</c:v>
                </c:pt>
                <c:pt idx="381">
                  <c:v>Lorraine Lowery</c:v>
                </c:pt>
                <c:pt idx="382">
                  <c:v>Lynn French</c:v>
                </c:pt>
                <c:pt idx="383">
                  <c:v>Madison Mcintosh</c:v>
                </c:pt>
                <c:pt idx="384">
                  <c:v>Marc Joseph</c:v>
                </c:pt>
                <c:pt idx="385">
                  <c:v>Margaret Garcia</c:v>
                </c:pt>
                <c:pt idx="386">
                  <c:v>Maria Benitez</c:v>
                </c:pt>
                <c:pt idx="387">
                  <c:v>Maria Hall</c:v>
                </c:pt>
                <c:pt idx="388">
                  <c:v>Marissa Bass</c:v>
                </c:pt>
                <c:pt idx="389">
                  <c:v>Mark Chandler</c:v>
                </c:pt>
                <c:pt idx="390">
                  <c:v>Mark Clark</c:v>
                </c:pt>
                <c:pt idx="391">
                  <c:v>Mark Duncan</c:v>
                </c:pt>
                <c:pt idx="392">
                  <c:v>Mark Hudson</c:v>
                </c:pt>
                <c:pt idx="393">
                  <c:v>Mark Paul</c:v>
                </c:pt>
                <c:pt idx="394">
                  <c:v>Mark Wright</c:v>
                </c:pt>
                <c:pt idx="395">
                  <c:v>Martha Carson</c:v>
                </c:pt>
                <c:pt idx="396">
                  <c:v>Martha Sweeney</c:v>
                </c:pt>
                <c:pt idx="397">
                  <c:v>Martin Moreno</c:v>
                </c:pt>
                <c:pt idx="398">
                  <c:v>Marvin Moore</c:v>
                </c:pt>
                <c:pt idx="399">
                  <c:v>Mary Henry</c:v>
                </c:pt>
                <c:pt idx="400">
                  <c:v>Mary Hernandez</c:v>
                </c:pt>
                <c:pt idx="401">
                  <c:v>Mary Ward</c:v>
                </c:pt>
                <c:pt idx="402">
                  <c:v>Matthew Baldwin</c:v>
                </c:pt>
                <c:pt idx="403">
                  <c:v>Matthew Gay</c:v>
                </c:pt>
                <c:pt idx="404">
                  <c:v>Matthew Lawson</c:v>
                </c:pt>
                <c:pt idx="405">
                  <c:v>Matthew Lloyd</c:v>
                </c:pt>
                <c:pt idx="406">
                  <c:v>Matthew Martin</c:v>
                </c:pt>
                <c:pt idx="407">
                  <c:v>Matthew Richards</c:v>
                </c:pt>
                <c:pt idx="408">
                  <c:v>Matthew Steele</c:v>
                </c:pt>
                <c:pt idx="409">
                  <c:v>Maureen Keith</c:v>
                </c:pt>
                <c:pt idx="410">
                  <c:v>Megan Bright</c:v>
                </c:pt>
                <c:pt idx="411">
                  <c:v>Megan Hudson</c:v>
                </c:pt>
                <c:pt idx="412">
                  <c:v>Megan Young</c:v>
                </c:pt>
                <c:pt idx="413">
                  <c:v>Melanie Carter</c:v>
                </c:pt>
                <c:pt idx="414">
                  <c:v>Melinda White</c:v>
                </c:pt>
                <c:pt idx="415">
                  <c:v>Melissa Vasquez</c:v>
                </c:pt>
                <c:pt idx="416">
                  <c:v>Melody Barker</c:v>
                </c:pt>
                <c:pt idx="417">
                  <c:v>Michael Andersen</c:v>
                </c:pt>
                <c:pt idx="418">
                  <c:v>Michael Anderson</c:v>
                </c:pt>
                <c:pt idx="419">
                  <c:v>Michael Black</c:v>
                </c:pt>
                <c:pt idx="420">
                  <c:v>Michael Clark</c:v>
                </c:pt>
                <c:pt idx="421">
                  <c:v>Michael Davis</c:v>
                </c:pt>
                <c:pt idx="422">
                  <c:v>Michael Garcia</c:v>
                </c:pt>
                <c:pt idx="423">
                  <c:v>Michael Harrell</c:v>
                </c:pt>
                <c:pt idx="424">
                  <c:v>Michael Holland</c:v>
                </c:pt>
                <c:pt idx="425">
                  <c:v>Michael Miller</c:v>
                </c:pt>
                <c:pt idx="426">
                  <c:v>Michael Nunez</c:v>
                </c:pt>
                <c:pt idx="427">
                  <c:v>Michael Reed</c:v>
                </c:pt>
                <c:pt idx="428">
                  <c:v>Michael Rogers</c:v>
                </c:pt>
                <c:pt idx="429">
                  <c:v>Michael Williams Jr.</c:v>
                </c:pt>
                <c:pt idx="430">
                  <c:v>Michael Zavala</c:v>
                </c:pt>
                <c:pt idx="431">
                  <c:v>Michele Duran</c:v>
                </c:pt>
                <c:pt idx="432">
                  <c:v>Michelle Campbell</c:v>
                </c:pt>
                <c:pt idx="433">
                  <c:v>Michelle Cook</c:v>
                </c:pt>
                <c:pt idx="434">
                  <c:v>Michelle Curtis</c:v>
                </c:pt>
                <c:pt idx="435">
                  <c:v>Michelle Gregory</c:v>
                </c:pt>
                <c:pt idx="436">
                  <c:v>Michelle Peterson</c:v>
                </c:pt>
                <c:pt idx="437">
                  <c:v>Michelle Solis</c:v>
                </c:pt>
                <c:pt idx="438">
                  <c:v>Michelle Wu</c:v>
                </c:pt>
                <c:pt idx="439">
                  <c:v>Miguel Rogers</c:v>
                </c:pt>
                <c:pt idx="440">
                  <c:v>Mikayla Henry</c:v>
                </c:pt>
                <c:pt idx="441">
                  <c:v>Mike Dean</c:v>
                </c:pt>
                <c:pt idx="442">
                  <c:v>Miranda Hutchinson</c:v>
                </c:pt>
                <c:pt idx="443">
                  <c:v>Miss Kimberly Marshall</c:v>
                </c:pt>
                <c:pt idx="444">
                  <c:v>Misty Adams</c:v>
                </c:pt>
                <c:pt idx="445">
                  <c:v>Mitchell Keller</c:v>
                </c:pt>
                <c:pt idx="446">
                  <c:v>Mitchell Martin</c:v>
                </c:pt>
                <c:pt idx="447">
                  <c:v>Monica Murphy</c:v>
                </c:pt>
                <c:pt idx="448">
                  <c:v>Monica Roberts</c:v>
                </c:pt>
                <c:pt idx="449">
                  <c:v>Monica Smith</c:v>
                </c:pt>
                <c:pt idx="450">
                  <c:v>Morgan Ford</c:v>
                </c:pt>
                <c:pt idx="451">
                  <c:v>Mr. Danny Morris Dds</c:v>
                </c:pt>
                <c:pt idx="452">
                  <c:v>Mr. Juan Mitchell</c:v>
                </c:pt>
                <c:pt idx="453">
                  <c:v>Mr. Robert Meza</c:v>
                </c:pt>
                <c:pt idx="454">
                  <c:v>Mrs. Jessica Williams Dvm</c:v>
                </c:pt>
                <c:pt idx="455">
                  <c:v>Mrs. Samantha Simmons</c:v>
                </c:pt>
                <c:pt idx="456">
                  <c:v>Ms. Christine Cherry</c:v>
                </c:pt>
                <c:pt idx="457">
                  <c:v>Nancy Glover</c:v>
                </c:pt>
                <c:pt idx="458">
                  <c:v>Nancy Mendez</c:v>
                </c:pt>
                <c:pt idx="459">
                  <c:v>Nancy Moore</c:v>
                </c:pt>
                <c:pt idx="460">
                  <c:v>Nancy Smith</c:v>
                </c:pt>
                <c:pt idx="461">
                  <c:v>Natalie Diaz</c:v>
                </c:pt>
                <c:pt idx="462">
                  <c:v>Nathan Davis</c:v>
                </c:pt>
                <c:pt idx="463">
                  <c:v>Nathan Huff</c:v>
                </c:pt>
                <c:pt idx="464">
                  <c:v>Nathan Soto</c:v>
                </c:pt>
                <c:pt idx="465">
                  <c:v>Nathaniel Benson</c:v>
                </c:pt>
                <c:pt idx="466">
                  <c:v>Nathaniel Flores</c:v>
                </c:pt>
                <c:pt idx="467">
                  <c:v>Nicholas Burton</c:v>
                </c:pt>
                <c:pt idx="468">
                  <c:v>Nicholas Guerrero</c:v>
                </c:pt>
                <c:pt idx="469">
                  <c:v>Nicholas Scott</c:v>
                </c:pt>
                <c:pt idx="470">
                  <c:v>Nicole Bennett</c:v>
                </c:pt>
                <c:pt idx="471">
                  <c:v>Nicole Davis</c:v>
                </c:pt>
                <c:pt idx="472">
                  <c:v>Nicole Marks</c:v>
                </c:pt>
                <c:pt idx="473">
                  <c:v>Nicole Meyers</c:v>
                </c:pt>
                <c:pt idx="474">
                  <c:v>Nicole Rocha</c:v>
                </c:pt>
                <c:pt idx="475">
                  <c:v>Nicole Taylor</c:v>
                </c:pt>
                <c:pt idx="476">
                  <c:v>Nicole Wright</c:v>
                </c:pt>
                <c:pt idx="477">
                  <c:v>Nicole York</c:v>
                </c:pt>
                <c:pt idx="478">
                  <c:v>Patricia Miller</c:v>
                </c:pt>
                <c:pt idx="479">
                  <c:v>Patricia Richardson</c:v>
                </c:pt>
                <c:pt idx="480">
                  <c:v>Patricia Sanders</c:v>
                </c:pt>
                <c:pt idx="481">
                  <c:v>Patricia Scott</c:v>
                </c:pt>
                <c:pt idx="482">
                  <c:v>Patrick Malone</c:v>
                </c:pt>
                <c:pt idx="483">
                  <c:v>Patrick Welch</c:v>
                </c:pt>
                <c:pt idx="484">
                  <c:v>Paul Brown</c:v>
                </c:pt>
                <c:pt idx="485">
                  <c:v>Paul Richardson</c:v>
                </c:pt>
                <c:pt idx="486">
                  <c:v>Paula Stevens</c:v>
                </c:pt>
                <c:pt idx="487">
                  <c:v>Penny Day</c:v>
                </c:pt>
                <c:pt idx="488">
                  <c:v>Phillip Shelton</c:v>
                </c:pt>
                <c:pt idx="489">
                  <c:v>Rachel Rogers</c:v>
                </c:pt>
                <c:pt idx="490">
                  <c:v>Randy Bender</c:v>
                </c:pt>
                <c:pt idx="491">
                  <c:v>Raymond Sherman</c:v>
                </c:pt>
                <c:pt idx="492">
                  <c:v>Rebecca Barker</c:v>
                </c:pt>
                <c:pt idx="493">
                  <c:v>Rebekah Williams</c:v>
                </c:pt>
                <c:pt idx="494">
                  <c:v>Regina Daniel</c:v>
                </c:pt>
                <c:pt idx="495">
                  <c:v>Rhonda Hines</c:v>
                </c:pt>
                <c:pt idx="496">
                  <c:v>Richard Harvey</c:v>
                </c:pt>
                <c:pt idx="497">
                  <c:v>Richard Hill</c:v>
                </c:pt>
                <c:pt idx="498">
                  <c:v>Richard Mcguire</c:v>
                </c:pt>
                <c:pt idx="499">
                  <c:v>Richard Quinn</c:v>
                </c:pt>
                <c:pt idx="500">
                  <c:v>Richard Smith</c:v>
                </c:pt>
                <c:pt idx="501">
                  <c:v>Robert Andrews</c:v>
                </c:pt>
                <c:pt idx="502">
                  <c:v>Robert Moran</c:v>
                </c:pt>
                <c:pt idx="503">
                  <c:v>Robert Nelson</c:v>
                </c:pt>
                <c:pt idx="504">
                  <c:v>Robert Salazar</c:v>
                </c:pt>
                <c:pt idx="505">
                  <c:v>Robert Walls</c:v>
                </c:pt>
                <c:pt idx="506">
                  <c:v>Robin Acosta</c:v>
                </c:pt>
                <c:pt idx="507">
                  <c:v>Robin Moore</c:v>
                </c:pt>
                <c:pt idx="508">
                  <c:v>Rodney Wilson</c:v>
                </c:pt>
                <c:pt idx="509">
                  <c:v>Ronald Smith</c:v>
                </c:pt>
                <c:pt idx="510">
                  <c:v>Roy Collins</c:v>
                </c:pt>
                <c:pt idx="511">
                  <c:v>Roy Wilson</c:v>
                </c:pt>
                <c:pt idx="512">
                  <c:v>Ruben Nelson</c:v>
                </c:pt>
                <c:pt idx="513">
                  <c:v>Russell Carpenter</c:v>
                </c:pt>
                <c:pt idx="514">
                  <c:v>Ryan Ewing</c:v>
                </c:pt>
                <c:pt idx="515">
                  <c:v>Ryan Johnson</c:v>
                </c:pt>
                <c:pt idx="516">
                  <c:v>Ryan Powell</c:v>
                </c:pt>
                <c:pt idx="517">
                  <c:v>Ryan Taylor</c:v>
                </c:pt>
                <c:pt idx="518">
                  <c:v>Sabrina Davidson</c:v>
                </c:pt>
                <c:pt idx="519">
                  <c:v>Samantha Matthews</c:v>
                </c:pt>
                <c:pt idx="520">
                  <c:v>Samantha Mcdaniel</c:v>
                </c:pt>
                <c:pt idx="521">
                  <c:v>Samantha Porter</c:v>
                </c:pt>
                <c:pt idx="522">
                  <c:v>Sandra Henry</c:v>
                </c:pt>
                <c:pt idx="523">
                  <c:v>Sandra Williams</c:v>
                </c:pt>
                <c:pt idx="524">
                  <c:v>Sarah Clarke</c:v>
                </c:pt>
                <c:pt idx="525">
                  <c:v>Sarah Edwards</c:v>
                </c:pt>
                <c:pt idx="526">
                  <c:v>Sarah Ho</c:v>
                </c:pt>
                <c:pt idx="527">
                  <c:v>Sarah Proctor</c:v>
                </c:pt>
                <c:pt idx="528">
                  <c:v>Sarah White</c:v>
                </c:pt>
                <c:pt idx="529">
                  <c:v>Savannah Reid</c:v>
                </c:pt>
                <c:pt idx="530">
                  <c:v>Savannah Williams</c:v>
                </c:pt>
                <c:pt idx="531">
                  <c:v>Scott Alexander Md</c:v>
                </c:pt>
                <c:pt idx="532">
                  <c:v>Scott Burns</c:v>
                </c:pt>
                <c:pt idx="533">
                  <c:v>Scott Compton</c:v>
                </c:pt>
                <c:pt idx="534">
                  <c:v>Scott Keller</c:v>
                </c:pt>
                <c:pt idx="535">
                  <c:v>Scott Long</c:v>
                </c:pt>
                <c:pt idx="536">
                  <c:v>Sean Gordon</c:v>
                </c:pt>
                <c:pt idx="537">
                  <c:v>Sean Martin</c:v>
                </c:pt>
                <c:pt idx="538">
                  <c:v>Sean Martinez</c:v>
                </c:pt>
                <c:pt idx="539">
                  <c:v>Sean Park</c:v>
                </c:pt>
                <c:pt idx="540">
                  <c:v>Seth Thomas</c:v>
                </c:pt>
                <c:pt idx="541">
                  <c:v>Shane Hale</c:v>
                </c:pt>
                <c:pt idx="542">
                  <c:v>Shawn Hogan</c:v>
                </c:pt>
                <c:pt idx="543">
                  <c:v>Shawna Palmer</c:v>
                </c:pt>
                <c:pt idx="544">
                  <c:v>Sheila Smith</c:v>
                </c:pt>
                <c:pt idx="545">
                  <c:v>Shelby Mcmahon</c:v>
                </c:pt>
                <c:pt idx="546">
                  <c:v>Shelly Whitehead</c:v>
                </c:pt>
                <c:pt idx="547">
                  <c:v>Shirley Strickland</c:v>
                </c:pt>
                <c:pt idx="548">
                  <c:v>Sonya Haley</c:v>
                </c:pt>
                <c:pt idx="549">
                  <c:v>Stacie Wall</c:v>
                </c:pt>
                <c:pt idx="550">
                  <c:v>Stacy Hudson</c:v>
                </c:pt>
                <c:pt idx="551">
                  <c:v>Stacy Sutton</c:v>
                </c:pt>
                <c:pt idx="552">
                  <c:v>Stephanie Armstrong</c:v>
                </c:pt>
                <c:pt idx="553">
                  <c:v>Stephanie Burton</c:v>
                </c:pt>
                <c:pt idx="554">
                  <c:v>Stephanie Carter</c:v>
                </c:pt>
                <c:pt idx="555">
                  <c:v>Stephanie Fisher</c:v>
                </c:pt>
                <c:pt idx="556">
                  <c:v>Steven Flowers</c:v>
                </c:pt>
                <c:pt idx="557">
                  <c:v>Steven Jackson</c:v>
                </c:pt>
                <c:pt idx="558">
                  <c:v>Steven Jones Jr.</c:v>
                </c:pt>
                <c:pt idx="559">
                  <c:v>Steven Kim</c:v>
                </c:pt>
                <c:pt idx="560">
                  <c:v>Steven Moore</c:v>
                </c:pt>
                <c:pt idx="561">
                  <c:v>Steven Murphy</c:v>
                </c:pt>
                <c:pt idx="562">
                  <c:v>Steven Norris</c:v>
                </c:pt>
                <c:pt idx="563">
                  <c:v>Steven Whitaker</c:v>
                </c:pt>
                <c:pt idx="564">
                  <c:v>Steven Whitney</c:v>
                </c:pt>
                <c:pt idx="565">
                  <c:v>Summer Williams</c:v>
                </c:pt>
                <c:pt idx="566">
                  <c:v>Summer Yoder</c:v>
                </c:pt>
                <c:pt idx="567">
                  <c:v>Susan Baker</c:v>
                </c:pt>
                <c:pt idx="568">
                  <c:v>Susan Dixon</c:v>
                </c:pt>
                <c:pt idx="569">
                  <c:v>Suzanne Ingram</c:v>
                </c:pt>
                <c:pt idx="570">
                  <c:v>Tammy Gomez</c:v>
                </c:pt>
                <c:pt idx="571">
                  <c:v>Tammy Hill</c:v>
                </c:pt>
                <c:pt idx="572">
                  <c:v>Teresa Kim</c:v>
                </c:pt>
                <c:pt idx="573">
                  <c:v>Theresa Stewart</c:v>
                </c:pt>
                <c:pt idx="574">
                  <c:v>Thomas Davis</c:v>
                </c:pt>
                <c:pt idx="575">
                  <c:v>Thomas Ingram</c:v>
                </c:pt>
                <c:pt idx="576">
                  <c:v>Thomas Jackson</c:v>
                </c:pt>
                <c:pt idx="577">
                  <c:v>Thomas Jones</c:v>
                </c:pt>
                <c:pt idx="578">
                  <c:v>Thomas Mooney</c:v>
                </c:pt>
                <c:pt idx="579">
                  <c:v>Thomas Roth</c:v>
                </c:pt>
                <c:pt idx="580">
                  <c:v>Thomas Young</c:v>
                </c:pt>
                <c:pt idx="581">
                  <c:v>Timothy Barton</c:v>
                </c:pt>
                <c:pt idx="582">
                  <c:v>Timothy Lee</c:v>
                </c:pt>
                <c:pt idx="583">
                  <c:v>Timothy Wright</c:v>
                </c:pt>
                <c:pt idx="584">
                  <c:v>Tina Clark</c:v>
                </c:pt>
                <c:pt idx="585">
                  <c:v>Tina Shelton</c:v>
                </c:pt>
                <c:pt idx="586">
                  <c:v>Todd Casey</c:v>
                </c:pt>
                <c:pt idx="587">
                  <c:v>Todd Turner</c:v>
                </c:pt>
                <c:pt idx="588">
                  <c:v>Todd Williams</c:v>
                </c:pt>
                <c:pt idx="589">
                  <c:v>Tony Hester</c:v>
                </c:pt>
                <c:pt idx="590">
                  <c:v>Tonya Gonzalez</c:v>
                </c:pt>
                <c:pt idx="591">
                  <c:v>Tracy White</c:v>
                </c:pt>
                <c:pt idx="592">
                  <c:v>Travis Braun</c:v>
                </c:pt>
                <c:pt idx="593">
                  <c:v>Travis Richardson</c:v>
                </c:pt>
                <c:pt idx="594">
                  <c:v>Troy Carson</c:v>
                </c:pt>
                <c:pt idx="595">
                  <c:v>Valerie Finley</c:v>
                </c:pt>
                <c:pt idx="596">
                  <c:v>Valerie Gutierrez</c:v>
                </c:pt>
                <c:pt idx="597">
                  <c:v>Vanessa Garcia</c:v>
                </c:pt>
                <c:pt idx="598">
                  <c:v>Veronica Baker</c:v>
                </c:pt>
                <c:pt idx="599">
                  <c:v>Veronica Thomas</c:v>
                </c:pt>
                <c:pt idx="600">
                  <c:v>Vicki Kelly</c:v>
                </c:pt>
                <c:pt idx="601">
                  <c:v>Victoria Owen</c:v>
                </c:pt>
                <c:pt idx="602">
                  <c:v>Wayne Barnes</c:v>
                </c:pt>
                <c:pt idx="603">
                  <c:v>Wendy Mitchell</c:v>
                </c:pt>
                <c:pt idx="604">
                  <c:v>William Davis</c:v>
                </c:pt>
                <c:pt idx="605">
                  <c:v>William Gaines</c:v>
                </c:pt>
                <c:pt idx="606">
                  <c:v>William Harris</c:v>
                </c:pt>
                <c:pt idx="607">
                  <c:v>William Hartman</c:v>
                </c:pt>
                <c:pt idx="608">
                  <c:v>William Knapp</c:v>
                </c:pt>
                <c:pt idx="609">
                  <c:v>William Nunez</c:v>
                </c:pt>
                <c:pt idx="610">
                  <c:v>Yolanda Proctor</c:v>
                </c:pt>
                <c:pt idx="611">
                  <c:v>Yvonne Berg</c:v>
                </c:pt>
                <c:pt idx="612">
                  <c:v>Yvonne Robinson</c:v>
                </c:pt>
                <c:pt idx="613">
                  <c:v>Zachary Burke</c:v>
                </c:pt>
                <c:pt idx="614">
                  <c:v>Zachary Jackson</c:v>
                </c:pt>
                <c:pt idx="615">
                  <c:v>Zachary Larsen</c:v>
                </c:pt>
                <c:pt idx="616">
                  <c:v>Zachary Murphy</c:v>
                </c:pt>
              </c:strCache>
            </c:strRef>
          </c:cat>
          <c:val>
            <c:numRef>
              <c:f>Pivottable!$B$78:$B$695</c:f>
              <c:numCache>
                <c:formatCode>General</c:formatCode>
                <c:ptCount val="617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1</c:v>
                </c:pt>
                <c:pt idx="101">
                  <c:v>1</c:v>
                </c:pt>
                <c:pt idx="102">
                  <c:v>1</c:v>
                </c:pt>
                <c:pt idx="103">
                  <c:v>1</c:v>
                </c:pt>
                <c:pt idx="104">
                  <c:v>1</c:v>
                </c:pt>
                <c:pt idx="105">
                  <c:v>1</c:v>
                </c:pt>
                <c:pt idx="106">
                  <c:v>1</c:v>
                </c:pt>
                <c:pt idx="107">
                  <c:v>1</c:v>
                </c:pt>
                <c:pt idx="108">
                  <c:v>1</c:v>
                </c:pt>
                <c:pt idx="109">
                  <c:v>1</c:v>
                </c:pt>
                <c:pt idx="110">
                  <c:v>1</c:v>
                </c:pt>
                <c:pt idx="111">
                  <c:v>1</c:v>
                </c:pt>
                <c:pt idx="112">
                  <c:v>1</c:v>
                </c:pt>
                <c:pt idx="113">
                  <c:v>1</c:v>
                </c:pt>
                <c:pt idx="114">
                  <c:v>1</c:v>
                </c:pt>
                <c:pt idx="115">
                  <c:v>1</c:v>
                </c:pt>
                <c:pt idx="116">
                  <c:v>1</c:v>
                </c:pt>
                <c:pt idx="117">
                  <c:v>1</c:v>
                </c:pt>
                <c:pt idx="118">
                  <c:v>1</c:v>
                </c:pt>
                <c:pt idx="119">
                  <c:v>1</c:v>
                </c:pt>
                <c:pt idx="120">
                  <c:v>1</c:v>
                </c:pt>
                <c:pt idx="121">
                  <c:v>1</c:v>
                </c:pt>
                <c:pt idx="122">
                  <c:v>1</c:v>
                </c:pt>
                <c:pt idx="123">
                  <c:v>1</c:v>
                </c:pt>
                <c:pt idx="124">
                  <c:v>1</c:v>
                </c:pt>
                <c:pt idx="125">
                  <c:v>1</c:v>
                </c:pt>
                <c:pt idx="126">
                  <c:v>1</c:v>
                </c:pt>
                <c:pt idx="127">
                  <c:v>1</c:v>
                </c:pt>
                <c:pt idx="128">
                  <c:v>1</c:v>
                </c:pt>
                <c:pt idx="129">
                  <c:v>1</c:v>
                </c:pt>
                <c:pt idx="130">
                  <c:v>1</c:v>
                </c:pt>
                <c:pt idx="131">
                  <c:v>1</c:v>
                </c:pt>
                <c:pt idx="132">
                  <c:v>1</c:v>
                </c:pt>
                <c:pt idx="133">
                  <c:v>1</c:v>
                </c:pt>
                <c:pt idx="134">
                  <c:v>1</c:v>
                </c:pt>
                <c:pt idx="135">
                  <c:v>1</c:v>
                </c:pt>
                <c:pt idx="136">
                  <c:v>1</c:v>
                </c:pt>
                <c:pt idx="137">
                  <c:v>1</c:v>
                </c:pt>
                <c:pt idx="138">
                  <c:v>1</c:v>
                </c:pt>
                <c:pt idx="139">
                  <c:v>1</c:v>
                </c:pt>
                <c:pt idx="140">
                  <c:v>1</c:v>
                </c:pt>
                <c:pt idx="141">
                  <c:v>1</c:v>
                </c:pt>
                <c:pt idx="142">
                  <c:v>1</c:v>
                </c:pt>
                <c:pt idx="143">
                  <c:v>1</c:v>
                </c:pt>
                <c:pt idx="144">
                  <c:v>1</c:v>
                </c:pt>
                <c:pt idx="145">
                  <c:v>1</c:v>
                </c:pt>
                <c:pt idx="146">
                  <c:v>1</c:v>
                </c:pt>
                <c:pt idx="147">
                  <c:v>1</c:v>
                </c:pt>
                <c:pt idx="148">
                  <c:v>1</c:v>
                </c:pt>
                <c:pt idx="149">
                  <c:v>1</c:v>
                </c:pt>
                <c:pt idx="150">
                  <c:v>1</c:v>
                </c:pt>
                <c:pt idx="151">
                  <c:v>1</c:v>
                </c:pt>
                <c:pt idx="152">
                  <c:v>1</c:v>
                </c:pt>
                <c:pt idx="153">
                  <c:v>1</c:v>
                </c:pt>
                <c:pt idx="154">
                  <c:v>1</c:v>
                </c:pt>
                <c:pt idx="155">
                  <c:v>1</c:v>
                </c:pt>
                <c:pt idx="156">
                  <c:v>1</c:v>
                </c:pt>
                <c:pt idx="157">
                  <c:v>1</c:v>
                </c:pt>
                <c:pt idx="158">
                  <c:v>1</c:v>
                </c:pt>
                <c:pt idx="159">
                  <c:v>1</c:v>
                </c:pt>
                <c:pt idx="160">
                  <c:v>1</c:v>
                </c:pt>
                <c:pt idx="161">
                  <c:v>1</c:v>
                </c:pt>
                <c:pt idx="162">
                  <c:v>1</c:v>
                </c:pt>
                <c:pt idx="163">
                  <c:v>1</c:v>
                </c:pt>
                <c:pt idx="164">
                  <c:v>1</c:v>
                </c:pt>
                <c:pt idx="165">
                  <c:v>1</c:v>
                </c:pt>
                <c:pt idx="166">
                  <c:v>1</c:v>
                </c:pt>
                <c:pt idx="167">
                  <c:v>1</c:v>
                </c:pt>
                <c:pt idx="168">
                  <c:v>1</c:v>
                </c:pt>
                <c:pt idx="169">
                  <c:v>1</c:v>
                </c:pt>
                <c:pt idx="170">
                  <c:v>1</c:v>
                </c:pt>
                <c:pt idx="171">
                  <c:v>1</c:v>
                </c:pt>
                <c:pt idx="172">
                  <c:v>1</c:v>
                </c:pt>
                <c:pt idx="173">
                  <c:v>1</c:v>
                </c:pt>
                <c:pt idx="174">
                  <c:v>1</c:v>
                </c:pt>
                <c:pt idx="175">
                  <c:v>1</c:v>
                </c:pt>
                <c:pt idx="176">
                  <c:v>1</c:v>
                </c:pt>
                <c:pt idx="177">
                  <c:v>1</c:v>
                </c:pt>
                <c:pt idx="178">
                  <c:v>1</c:v>
                </c:pt>
                <c:pt idx="179">
                  <c:v>1</c:v>
                </c:pt>
                <c:pt idx="180">
                  <c:v>1</c:v>
                </c:pt>
                <c:pt idx="181">
                  <c:v>1</c:v>
                </c:pt>
                <c:pt idx="182">
                  <c:v>1</c:v>
                </c:pt>
                <c:pt idx="183">
                  <c:v>1</c:v>
                </c:pt>
                <c:pt idx="184">
                  <c:v>1</c:v>
                </c:pt>
                <c:pt idx="185">
                  <c:v>1</c:v>
                </c:pt>
                <c:pt idx="186">
                  <c:v>1</c:v>
                </c:pt>
                <c:pt idx="187">
                  <c:v>1</c:v>
                </c:pt>
                <c:pt idx="188">
                  <c:v>1</c:v>
                </c:pt>
                <c:pt idx="189">
                  <c:v>1</c:v>
                </c:pt>
                <c:pt idx="190">
                  <c:v>1</c:v>
                </c:pt>
                <c:pt idx="191">
                  <c:v>1</c:v>
                </c:pt>
                <c:pt idx="192">
                  <c:v>1</c:v>
                </c:pt>
                <c:pt idx="193">
                  <c:v>1</c:v>
                </c:pt>
                <c:pt idx="194">
                  <c:v>1</c:v>
                </c:pt>
                <c:pt idx="195">
                  <c:v>1</c:v>
                </c:pt>
                <c:pt idx="196">
                  <c:v>1</c:v>
                </c:pt>
                <c:pt idx="197">
                  <c:v>1</c:v>
                </c:pt>
                <c:pt idx="198">
                  <c:v>1</c:v>
                </c:pt>
                <c:pt idx="199">
                  <c:v>1</c:v>
                </c:pt>
                <c:pt idx="200">
                  <c:v>1</c:v>
                </c:pt>
                <c:pt idx="201">
                  <c:v>1</c:v>
                </c:pt>
                <c:pt idx="202">
                  <c:v>1</c:v>
                </c:pt>
                <c:pt idx="203">
                  <c:v>1</c:v>
                </c:pt>
                <c:pt idx="204">
                  <c:v>1</c:v>
                </c:pt>
                <c:pt idx="205">
                  <c:v>1</c:v>
                </c:pt>
                <c:pt idx="206">
                  <c:v>1</c:v>
                </c:pt>
                <c:pt idx="207">
                  <c:v>1</c:v>
                </c:pt>
                <c:pt idx="208">
                  <c:v>1</c:v>
                </c:pt>
                <c:pt idx="209">
                  <c:v>1</c:v>
                </c:pt>
                <c:pt idx="210">
                  <c:v>1</c:v>
                </c:pt>
                <c:pt idx="211">
                  <c:v>1</c:v>
                </c:pt>
                <c:pt idx="212">
                  <c:v>1</c:v>
                </c:pt>
                <c:pt idx="213">
                  <c:v>1</c:v>
                </c:pt>
                <c:pt idx="214">
                  <c:v>1</c:v>
                </c:pt>
                <c:pt idx="215">
                  <c:v>1</c:v>
                </c:pt>
                <c:pt idx="216">
                  <c:v>1</c:v>
                </c:pt>
                <c:pt idx="217">
                  <c:v>1</c:v>
                </c:pt>
                <c:pt idx="218">
                  <c:v>1</c:v>
                </c:pt>
                <c:pt idx="219">
                  <c:v>1</c:v>
                </c:pt>
                <c:pt idx="220">
                  <c:v>1</c:v>
                </c:pt>
                <c:pt idx="221">
                  <c:v>1</c:v>
                </c:pt>
                <c:pt idx="222">
                  <c:v>1</c:v>
                </c:pt>
                <c:pt idx="223">
                  <c:v>1</c:v>
                </c:pt>
                <c:pt idx="224">
                  <c:v>1</c:v>
                </c:pt>
                <c:pt idx="225">
                  <c:v>1</c:v>
                </c:pt>
                <c:pt idx="226">
                  <c:v>1</c:v>
                </c:pt>
                <c:pt idx="227">
                  <c:v>1</c:v>
                </c:pt>
                <c:pt idx="228">
                  <c:v>1</c:v>
                </c:pt>
                <c:pt idx="229">
                  <c:v>1</c:v>
                </c:pt>
                <c:pt idx="230">
                  <c:v>1</c:v>
                </c:pt>
                <c:pt idx="231">
                  <c:v>1</c:v>
                </c:pt>
                <c:pt idx="232">
                  <c:v>1</c:v>
                </c:pt>
                <c:pt idx="233">
                  <c:v>1</c:v>
                </c:pt>
                <c:pt idx="234">
                  <c:v>1</c:v>
                </c:pt>
                <c:pt idx="235">
                  <c:v>1</c:v>
                </c:pt>
                <c:pt idx="236">
                  <c:v>1</c:v>
                </c:pt>
                <c:pt idx="237">
                  <c:v>1</c:v>
                </c:pt>
                <c:pt idx="238">
                  <c:v>1</c:v>
                </c:pt>
                <c:pt idx="239">
                  <c:v>1</c:v>
                </c:pt>
                <c:pt idx="240">
                  <c:v>1</c:v>
                </c:pt>
                <c:pt idx="241">
                  <c:v>1</c:v>
                </c:pt>
                <c:pt idx="242">
                  <c:v>1</c:v>
                </c:pt>
                <c:pt idx="243">
                  <c:v>1</c:v>
                </c:pt>
                <c:pt idx="244">
                  <c:v>1</c:v>
                </c:pt>
                <c:pt idx="245">
                  <c:v>1</c:v>
                </c:pt>
                <c:pt idx="246">
                  <c:v>1</c:v>
                </c:pt>
                <c:pt idx="247">
                  <c:v>1</c:v>
                </c:pt>
                <c:pt idx="248">
                  <c:v>1</c:v>
                </c:pt>
                <c:pt idx="249">
                  <c:v>1</c:v>
                </c:pt>
                <c:pt idx="250">
                  <c:v>1</c:v>
                </c:pt>
                <c:pt idx="251">
                  <c:v>1</c:v>
                </c:pt>
                <c:pt idx="252">
                  <c:v>1</c:v>
                </c:pt>
                <c:pt idx="253">
                  <c:v>1</c:v>
                </c:pt>
                <c:pt idx="254">
                  <c:v>1</c:v>
                </c:pt>
                <c:pt idx="255">
                  <c:v>1</c:v>
                </c:pt>
                <c:pt idx="256">
                  <c:v>1</c:v>
                </c:pt>
                <c:pt idx="257">
                  <c:v>1</c:v>
                </c:pt>
                <c:pt idx="258">
                  <c:v>1</c:v>
                </c:pt>
                <c:pt idx="259">
                  <c:v>1</c:v>
                </c:pt>
                <c:pt idx="260">
                  <c:v>1</c:v>
                </c:pt>
                <c:pt idx="261">
                  <c:v>1</c:v>
                </c:pt>
                <c:pt idx="262">
                  <c:v>1</c:v>
                </c:pt>
                <c:pt idx="263">
                  <c:v>1</c:v>
                </c:pt>
                <c:pt idx="264">
                  <c:v>1</c:v>
                </c:pt>
                <c:pt idx="265">
                  <c:v>1</c:v>
                </c:pt>
                <c:pt idx="266">
                  <c:v>1</c:v>
                </c:pt>
                <c:pt idx="267">
                  <c:v>1</c:v>
                </c:pt>
                <c:pt idx="268">
                  <c:v>1</c:v>
                </c:pt>
                <c:pt idx="269">
                  <c:v>1</c:v>
                </c:pt>
                <c:pt idx="270">
                  <c:v>1</c:v>
                </c:pt>
                <c:pt idx="271">
                  <c:v>1</c:v>
                </c:pt>
                <c:pt idx="272">
                  <c:v>1</c:v>
                </c:pt>
                <c:pt idx="273">
                  <c:v>1</c:v>
                </c:pt>
                <c:pt idx="274">
                  <c:v>1</c:v>
                </c:pt>
                <c:pt idx="275">
                  <c:v>1</c:v>
                </c:pt>
                <c:pt idx="276">
                  <c:v>1</c:v>
                </c:pt>
                <c:pt idx="277">
                  <c:v>1</c:v>
                </c:pt>
                <c:pt idx="278">
                  <c:v>1</c:v>
                </c:pt>
                <c:pt idx="279">
                  <c:v>1</c:v>
                </c:pt>
                <c:pt idx="280">
                  <c:v>1</c:v>
                </c:pt>
                <c:pt idx="281">
                  <c:v>1</c:v>
                </c:pt>
                <c:pt idx="282">
                  <c:v>1</c:v>
                </c:pt>
                <c:pt idx="283">
                  <c:v>1</c:v>
                </c:pt>
                <c:pt idx="284">
                  <c:v>1</c:v>
                </c:pt>
                <c:pt idx="285">
                  <c:v>1</c:v>
                </c:pt>
                <c:pt idx="286">
                  <c:v>1</c:v>
                </c:pt>
                <c:pt idx="287">
                  <c:v>1</c:v>
                </c:pt>
                <c:pt idx="288">
                  <c:v>1</c:v>
                </c:pt>
                <c:pt idx="289">
                  <c:v>1</c:v>
                </c:pt>
                <c:pt idx="290">
                  <c:v>1</c:v>
                </c:pt>
                <c:pt idx="291">
                  <c:v>1</c:v>
                </c:pt>
                <c:pt idx="292">
                  <c:v>1</c:v>
                </c:pt>
                <c:pt idx="293">
                  <c:v>1</c:v>
                </c:pt>
                <c:pt idx="294">
                  <c:v>1</c:v>
                </c:pt>
                <c:pt idx="295">
                  <c:v>1</c:v>
                </c:pt>
                <c:pt idx="296">
                  <c:v>1</c:v>
                </c:pt>
                <c:pt idx="297">
                  <c:v>1</c:v>
                </c:pt>
                <c:pt idx="298">
                  <c:v>1</c:v>
                </c:pt>
                <c:pt idx="299">
                  <c:v>1</c:v>
                </c:pt>
                <c:pt idx="300">
                  <c:v>1</c:v>
                </c:pt>
                <c:pt idx="301">
                  <c:v>1</c:v>
                </c:pt>
                <c:pt idx="302">
                  <c:v>1</c:v>
                </c:pt>
                <c:pt idx="303">
                  <c:v>1</c:v>
                </c:pt>
                <c:pt idx="304">
                  <c:v>1</c:v>
                </c:pt>
                <c:pt idx="305">
                  <c:v>1</c:v>
                </c:pt>
                <c:pt idx="306">
                  <c:v>1</c:v>
                </c:pt>
                <c:pt idx="307">
                  <c:v>1</c:v>
                </c:pt>
                <c:pt idx="308">
                  <c:v>1</c:v>
                </c:pt>
                <c:pt idx="309">
                  <c:v>1</c:v>
                </c:pt>
                <c:pt idx="310">
                  <c:v>1</c:v>
                </c:pt>
                <c:pt idx="311">
                  <c:v>1</c:v>
                </c:pt>
                <c:pt idx="312">
                  <c:v>1</c:v>
                </c:pt>
                <c:pt idx="313">
                  <c:v>1</c:v>
                </c:pt>
                <c:pt idx="314">
                  <c:v>1</c:v>
                </c:pt>
                <c:pt idx="315">
                  <c:v>1</c:v>
                </c:pt>
                <c:pt idx="316">
                  <c:v>1</c:v>
                </c:pt>
                <c:pt idx="317">
                  <c:v>1</c:v>
                </c:pt>
                <c:pt idx="318">
                  <c:v>1</c:v>
                </c:pt>
                <c:pt idx="319">
                  <c:v>1</c:v>
                </c:pt>
                <c:pt idx="320">
                  <c:v>1</c:v>
                </c:pt>
                <c:pt idx="321">
                  <c:v>1</c:v>
                </c:pt>
                <c:pt idx="322">
                  <c:v>1</c:v>
                </c:pt>
                <c:pt idx="323">
                  <c:v>1</c:v>
                </c:pt>
                <c:pt idx="324">
                  <c:v>1</c:v>
                </c:pt>
                <c:pt idx="325">
                  <c:v>1</c:v>
                </c:pt>
                <c:pt idx="326">
                  <c:v>1</c:v>
                </c:pt>
                <c:pt idx="327">
                  <c:v>1</c:v>
                </c:pt>
                <c:pt idx="328">
                  <c:v>1</c:v>
                </c:pt>
                <c:pt idx="329">
                  <c:v>1</c:v>
                </c:pt>
                <c:pt idx="330">
                  <c:v>1</c:v>
                </c:pt>
                <c:pt idx="331">
                  <c:v>1</c:v>
                </c:pt>
                <c:pt idx="332">
                  <c:v>1</c:v>
                </c:pt>
                <c:pt idx="333">
                  <c:v>1</c:v>
                </c:pt>
                <c:pt idx="334">
                  <c:v>1</c:v>
                </c:pt>
                <c:pt idx="335">
                  <c:v>1</c:v>
                </c:pt>
                <c:pt idx="336">
                  <c:v>1</c:v>
                </c:pt>
                <c:pt idx="337">
                  <c:v>1</c:v>
                </c:pt>
                <c:pt idx="338">
                  <c:v>1</c:v>
                </c:pt>
                <c:pt idx="339">
                  <c:v>1</c:v>
                </c:pt>
                <c:pt idx="340">
                  <c:v>1</c:v>
                </c:pt>
                <c:pt idx="341">
                  <c:v>1</c:v>
                </c:pt>
                <c:pt idx="342">
                  <c:v>1</c:v>
                </c:pt>
                <c:pt idx="343">
                  <c:v>1</c:v>
                </c:pt>
                <c:pt idx="344">
                  <c:v>1</c:v>
                </c:pt>
                <c:pt idx="345">
                  <c:v>1</c:v>
                </c:pt>
                <c:pt idx="346">
                  <c:v>1</c:v>
                </c:pt>
                <c:pt idx="347">
                  <c:v>1</c:v>
                </c:pt>
                <c:pt idx="348">
                  <c:v>1</c:v>
                </c:pt>
                <c:pt idx="349">
                  <c:v>1</c:v>
                </c:pt>
                <c:pt idx="350">
                  <c:v>1</c:v>
                </c:pt>
                <c:pt idx="351">
                  <c:v>1</c:v>
                </c:pt>
                <c:pt idx="352">
                  <c:v>1</c:v>
                </c:pt>
                <c:pt idx="353">
                  <c:v>1</c:v>
                </c:pt>
                <c:pt idx="354">
                  <c:v>1</c:v>
                </c:pt>
                <c:pt idx="355">
                  <c:v>1</c:v>
                </c:pt>
                <c:pt idx="356">
                  <c:v>1</c:v>
                </c:pt>
                <c:pt idx="357">
                  <c:v>1</c:v>
                </c:pt>
                <c:pt idx="358">
                  <c:v>1</c:v>
                </c:pt>
                <c:pt idx="359">
                  <c:v>1</c:v>
                </c:pt>
                <c:pt idx="360">
                  <c:v>1</c:v>
                </c:pt>
                <c:pt idx="361">
                  <c:v>1</c:v>
                </c:pt>
                <c:pt idx="362">
                  <c:v>1</c:v>
                </c:pt>
                <c:pt idx="363">
                  <c:v>1</c:v>
                </c:pt>
                <c:pt idx="364">
                  <c:v>1</c:v>
                </c:pt>
                <c:pt idx="365">
                  <c:v>1</c:v>
                </c:pt>
                <c:pt idx="366">
                  <c:v>1</c:v>
                </c:pt>
                <c:pt idx="367">
                  <c:v>1</c:v>
                </c:pt>
                <c:pt idx="368">
                  <c:v>1</c:v>
                </c:pt>
                <c:pt idx="369">
                  <c:v>1</c:v>
                </c:pt>
                <c:pt idx="370">
                  <c:v>1</c:v>
                </c:pt>
                <c:pt idx="371">
                  <c:v>1</c:v>
                </c:pt>
                <c:pt idx="372">
                  <c:v>1</c:v>
                </c:pt>
                <c:pt idx="373">
                  <c:v>1</c:v>
                </c:pt>
                <c:pt idx="374">
                  <c:v>1</c:v>
                </c:pt>
                <c:pt idx="375">
                  <c:v>1</c:v>
                </c:pt>
                <c:pt idx="376">
                  <c:v>1</c:v>
                </c:pt>
                <c:pt idx="377">
                  <c:v>1</c:v>
                </c:pt>
                <c:pt idx="378">
                  <c:v>1</c:v>
                </c:pt>
                <c:pt idx="379">
                  <c:v>1</c:v>
                </c:pt>
                <c:pt idx="380">
                  <c:v>1</c:v>
                </c:pt>
                <c:pt idx="381">
                  <c:v>1</c:v>
                </c:pt>
                <c:pt idx="382">
                  <c:v>1</c:v>
                </c:pt>
                <c:pt idx="383">
                  <c:v>1</c:v>
                </c:pt>
                <c:pt idx="384">
                  <c:v>1</c:v>
                </c:pt>
                <c:pt idx="385">
                  <c:v>1</c:v>
                </c:pt>
                <c:pt idx="386">
                  <c:v>1</c:v>
                </c:pt>
                <c:pt idx="387">
                  <c:v>1</c:v>
                </c:pt>
                <c:pt idx="388">
                  <c:v>1</c:v>
                </c:pt>
                <c:pt idx="389">
                  <c:v>1</c:v>
                </c:pt>
                <c:pt idx="390">
                  <c:v>1</c:v>
                </c:pt>
                <c:pt idx="391">
                  <c:v>1</c:v>
                </c:pt>
                <c:pt idx="392">
                  <c:v>1</c:v>
                </c:pt>
                <c:pt idx="393">
                  <c:v>1</c:v>
                </c:pt>
                <c:pt idx="394">
                  <c:v>1</c:v>
                </c:pt>
                <c:pt idx="395">
                  <c:v>1</c:v>
                </c:pt>
                <c:pt idx="396">
                  <c:v>1</c:v>
                </c:pt>
                <c:pt idx="397">
                  <c:v>1</c:v>
                </c:pt>
                <c:pt idx="398">
                  <c:v>1</c:v>
                </c:pt>
                <c:pt idx="399">
                  <c:v>1</c:v>
                </c:pt>
                <c:pt idx="400">
                  <c:v>1</c:v>
                </c:pt>
                <c:pt idx="401">
                  <c:v>1</c:v>
                </c:pt>
                <c:pt idx="402">
                  <c:v>1</c:v>
                </c:pt>
                <c:pt idx="403">
                  <c:v>1</c:v>
                </c:pt>
                <c:pt idx="404">
                  <c:v>1</c:v>
                </c:pt>
                <c:pt idx="405">
                  <c:v>1</c:v>
                </c:pt>
                <c:pt idx="406">
                  <c:v>1</c:v>
                </c:pt>
                <c:pt idx="407">
                  <c:v>1</c:v>
                </c:pt>
                <c:pt idx="408">
                  <c:v>1</c:v>
                </c:pt>
                <c:pt idx="409">
                  <c:v>1</c:v>
                </c:pt>
                <c:pt idx="410">
                  <c:v>1</c:v>
                </c:pt>
                <c:pt idx="411">
                  <c:v>1</c:v>
                </c:pt>
                <c:pt idx="412">
                  <c:v>1</c:v>
                </c:pt>
                <c:pt idx="413">
                  <c:v>1</c:v>
                </c:pt>
                <c:pt idx="414">
                  <c:v>1</c:v>
                </c:pt>
                <c:pt idx="415">
                  <c:v>1</c:v>
                </c:pt>
                <c:pt idx="416">
                  <c:v>1</c:v>
                </c:pt>
                <c:pt idx="417">
                  <c:v>1</c:v>
                </c:pt>
                <c:pt idx="418">
                  <c:v>1</c:v>
                </c:pt>
                <c:pt idx="419">
                  <c:v>1</c:v>
                </c:pt>
                <c:pt idx="420">
                  <c:v>1</c:v>
                </c:pt>
                <c:pt idx="421">
                  <c:v>1</c:v>
                </c:pt>
                <c:pt idx="422">
                  <c:v>1</c:v>
                </c:pt>
                <c:pt idx="423">
                  <c:v>1</c:v>
                </c:pt>
                <c:pt idx="424">
                  <c:v>1</c:v>
                </c:pt>
                <c:pt idx="425">
                  <c:v>1</c:v>
                </c:pt>
                <c:pt idx="426">
                  <c:v>1</c:v>
                </c:pt>
                <c:pt idx="427">
                  <c:v>1</c:v>
                </c:pt>
                <c:pt idx="428">
                  <c:v>1</c:v>
                </c:pt>
                <c:pt idx="429">
                  <c:v>1</c:v>
                </c:pt>
                <c:pt idx="430">
                  <c:v>1</c:v>
                </c:pt>
                <c:pt idx="431">
                  <c:v>1</c:v>
                </c:pt>
                <c:pt idx="432">
                  <c:v>1</c:v>
                </c:pt>
                <c:pt idx="433">
                  <c:v>1</c:v>
                </c:pt>
                <c:pt idx="434">
                  <c:v>1</c:v>
                </c:pt>
                <c:pt idx="435">
                  <c:v>1</c:v>
                </c:pt>
                <c:pt idx="436">
                  <c:v>1</c:v>
                </c:pt>
                <c:pt idx="437">
                  <c:v>1</c:v>
                </c:pt>
                <c:pt idx="438">
                  <c:v>1</c:v>
                </c:pt>
                <c:pt idx="439">
                  <c:v>1</c:v>
                </c:pt>
                <c:pt idx="440">
                  <c:v>1</c:v>
                </c:pt>
                <c:pt idx="441">
                  <c:v>1</c:v>
                </c:pt>
                <c:pt idx="442">
                  <c:v>1</c:v>
                </c:pt>
                <c:pt idx="443">
                  <c:v>1</c:v>
                </c:pt>
                <c:pt idx="444">
                  <c:v>1</c:v>
                </c:pt>
                <c:pt idx="445">
                  <c:v>1</c:v>
                </c:pt>
                <c:pt idx="446">
                  <c:v>1</c:v>
                </c:pt>
                <c:pt idx="447">
                  <c:v>1</c:v>
                </c:pt>
                <c:pt idx="448">
                  <c:v>1</c:v>
                </c:pt>
                <c:pt idx="449">
                  <c:v>1</c:v>
                </c:pt>
                <c:pt idx="450">
                  <c:v>1</c:v>
                </c:pt>
                <c:pt idx="451">
                  <c:v>1</c:v>
                </c:pt>
                <c:pt idx="452">
                  <c:v>1</c:v>
                </c:pt>
                <c:pt idx="453">
                  <c:v>1</c:v>
                </c:pt>
                <c:pt idx="454">
                  <c:v>1</c:v>
                </c:pt>
                <c:pt idx="455">
                  <c:v>1</c:v>
                </c:pt>
                <c:pt idx="456">
                  <c:v>1</c:v>
                </c:pt>
                <c:pt idx="457">
                  <c:v>1</c:v>
                </c:pt>
                <c:pt idx="458">
                  <c:v>1</c:v>
                </c:pt>
                <c:pt idx="459">
                  <c:v>1</c:v>
                </c:pt>
                <c:pt idx="460">
                  <c:v>1</c:v>
                </c:pt>
                <c:pt idx="461">
                  <c:v>1</c:v>
                </c:pt>
                <c:pt idx="462">
                  <c:v>1</c:v>
                </c:pt>
                <c:pt idx="463">
                  <c:v>1</c:v>
                </c:pt>
                <c:pt idx="464">
                  <c:v>1</c:v>
                </c:pt>
                <c:pt idx="465">
                  <c:v>1</c:v>
                </c:pt>
                <c:pt idx="466">
                  <c:v>1</c:v>
                </c:pt>
                <c:pt idx="467">
                  <c:v>1</c:v>
                </c:pt>
                <c:pt idx="468">
                  <c:v>1</c:v>
                </c:pt>
                <c:pt idx="469">
                  <c:v>1</c:v>
                </c:pt>
                <c:pt idx="470">
                  <c:v>1</c:v>
                </c:pt>
                <c:pt idx="471">
                  <c:v>1</c:v>
                </c:pt>
                <c:pt idx="472">
                  <c:v>1</c:v>
                </c:pt>
                <c:pt idx="473">
                  <c:v>1</c:v>
                </c:pt>
                <c:pt idx="474">
                  <c:v>1</c:v>
                </c:pt>
                <c:pt idx="475">
                  <c:v>1</c:v>
                </c:pt>
                <c:pt idx="476">
                  <c:v>1</c:v>
                </c:pt>
                <c:pt idx="477">
                  <c:v>1</c:v>
                </c:pt>
                <c:pt idx="478">
                  <c:v>1</c:v>
                </c:pt>
                <c:pt idx="479">
                  <c:v>1</c:v>
                </c:pt>
                <c:pt idx="480">
                  <c:v>1</c:v>
                </c:pt>
                <c:pt idx="481">
                  <c:v>1</c:v>
                </c:pt>
                <c:pt idx="482">
                  <c:v>1</c:v>
                </c:pt>
                <c:pt idx="483">
                  <c:v>1</c:v>
                </c:pt>
                <c:pt idx="484">
                  <c:v>1</c:v>
                </c:pt>
                <c:pt idx="485">
                  <c:v>1</c:v>
                </c:pt>
                <c:pt idx="486">
                  <c:v>1</c:v>
                </c:pt>
                <c:pt idx="487">
                  <c:v>1</c:v>
                </c:pt>
                <c:pt idx="488">
                  <c:v>1</c:v>
                </c:pt>
                <c:pt idx="489">
                  <c:v>1</c:v>
                </c:pt>
                <c:pt idx="490">
                  <c:v>1</c:v>
                </c:pt>
                <c:pt idx="491">
                  <c:v>1</c:v>
                </c:pt>
                <c:pt idx="492">
                  <c:v>1</c:v>
                </c:pt>
                <c:pt idx="493">
                  <c:v>1</c:v>
                </c:pt>
                <c:pt idx="494">
                  <c:v>1</c:v>
                </c:pt>
                <c:pt idx="495">
                  <c:v>1</c:v>
                </c:pt>
                <c:pt idx="496">
                  <c:v>1</c:v>
                </c:pt>
                <c:pt idx="497">
                  <c:v>1</c:v>
                </c:pt>
                <c:pt idx="498">
                  <c:v>1</c:v>
                </c:pt>
                <c:pt idx="499">
                  <c:v>1</c:v>
                </c:pt>
                <c:pt idx="500">
                  <c:v>1</c:v>
                </c:pt>
                <c:pt idx="501">
                  <c:v>1</c:v>
                </c:pt>
                <c:pt idx="502">
                  <c:v>1</c:v>
                </c:pt>
                <c:pt idx="503">
                  <c:v>1</c:v>
                </c:pt>
                <c:pt idx="504">
                  <c:v>1</c:v>
                </c:pt>
                <c:pt idx="505">
                  <c:v>1</c:v>
                </c:pt>
                <c:pt idx="506">
                  <c:v>1</c:v>
                </c:pt>
                <c:pt idx="507">
                  <c:v>1</c:v>
                </c:pt>
                <c:pt idx="508">
                  <c:v>1</c:v>
                </c:pt>
                <c:pt idx="509">
                  <c:v>1</c:v>
                </c:pt>
                <c:pt idx="510">
                  <c:v>1</c:v>
                </c:pt>
                <c:pt idx="511">
                  <c:v>1</c:v>
                </c:pt>
                <c:pt idx="512">
                  <c:v>1</c:v>
                </c:pt>
                <c:pt idx="513">
                  <c:v>1</c:v>
                </c:pt>
                <c:pt idx="514">
                  <c:v>1</c:v>
                </c:pt>
                <c:pt idx="515">
                  <c:v>1</c:v>
                </c:pt>
                <c:pt idx="516">
                  <c:v>1</c:v>
                </c:pt>
                <c:pt idx="517">
                  <c:v>1</c:v>
                </c:pt>
                <c:pt idx="518">
                  <c:v>1</c:v>
                </c:pt>
                <c:pt idx="519">
                  <c:v>1</c:v>
                </c:pt>
                <c:pt idx="520">
                  <c:v>1</c:v>
                </c:pt>
                <c:pt idx="521">
                  <c:v>1</c:v>
                </c:pt>
                <c:pt idx="522">
                  <c:v>1</c:v>
                </c:pt>
                <c:pt idx="523">
                  <c:v>1</c:v>
                </c:pt>
                <c:pt idx="524">
                  <c:v>1</c:v>
                </c:pt>
                <c:pt idx="525">
                  <c:v>1</c:v>
                </c:pt>
                <c:pt idx="526">
                  <c:v>1</c:v>
                </c:pt>
                <c:pt idx="527">
                  <c:v>1</c:v>
                </c:pt>
                <c:pt idx="528">
                  <c:v>1</c:v>
                </c:pt>
                <c:pt idx="529">
                  <c:v>1</c:v>
                </c:pt>
                <c:pt idx="530">
                  <c:v>1</c:v>
                </c:pt>
                <c:pt idx="531">
                  <c:v>1</c:v>
                </c:pt>
                <c:pt idx="532">
                  <c:v>1</c:v>
                </c:pt>
                <c:pt idx="533">
                  <c:v>1</c:v>
                </c:pt>
                <c:pt idx="534">
                  <c:v>1</c:v>
                </c:pt>
                <c:pt idx="535">
                  <c:v>1</c:v>
                </c:pt>
                <c:pt idx="536">
                  <c:v>1</c:v>
                </c:pt>
                <c:pt idx="537">
                  <c:v>1</c:v>
                </c:pt>
                <c:pt idx="538">
                  <c:v>1</c:v>
                </c:pt>
                <c:pt idx="539">
                  <c:v>1</c:v>
                </c:pt>
                <c:pt idx="540">
                  <c:v>1</c:v>
                </c:pt>
                <c:pt idx="541">
                  <c:v>1</c:v>
                </c:pt>
                <c:pt idx="542">
                  <c:v>1</c:v>
                </c:pt>
                <c:pt idx="543">
                  <c:v>1</c:v>
                </c:pt>
                <c:pt idx="544">
                  <c:v>1</c:v>
                </c:pt>
                <c:pt idx="545">
                  <c:v>1</c:v>
                </c:pt>
                <c:pt idx="546">
                  <c:v>1</c:v>
                </c:pt>
                <c:pt idx="547">
                  <c:v>1</c:v>
                </c:pt>
                <c:pt idx="548">
                  <c:v>1</c:v>
                </c:pt>
                <c:pt idx="549">
                  <c:v>1</c:v>
                </c:pt>
                <c:pt idx="550">
                  <c:v>1</c:v>
                </c:pt>
                <c:pt idx="551">
                  <c:v>1</c:v>
                </c:pt>
                <c:pt idx="552">
                  <c:v>1</c:v>
                </c:pt>
                <c:pt idx="553">
                  <c:v>1</c:v>
                </c:pt>
                <c:pt idx="554">
                  <c:v>1</c:v>
                </c:pt>
                <c:pt idx="555">
                  <c:v>1</c:v>
                </c:pt>
                <c:pt idx="556">
                  <c:v>1</c:v>
                </c:pt>
                <c:pt idx="557">
                  <c:v>1</c:v>
                </c:pt>
                <c:pt idx="558">
                  <c:v>1</c:v>
                </c:pt>
                <c:pt idx="559">
                  <c:v>1</c:v>
                </c:pt>
                <c:pt idx="560">
                  <c:v>1</c:v>
                </c:pt>
                <c:pt idx="561">
                  <c:v>1</c:v>
                </c:pt>
                <c:pt idx="562">
                  <c:v>1</c:v>
                </c:pt>
                <c:pt idx="563">
                  <c:v>1</c:v>
                </c:pt>
                <c:pt idx="564">
                  <c:v>1</c:v>
                </c:pt>
                <c:pt idx="565">
                  <c:v>1</c:v>
                </c:pt>
                <c:pt idx="566">
                  <c:v>1</c:v>
                </c:pt>
                <c:pt idx="567">
                  <c:v>1</c:v>
                </c:pt>
                <c:pt idx="568">
                  <c:v>1</c:v>
                </c:pt>
                <c:pt idx="569">
                  <c:v>1</c:v>
                </c:pt>
                <c:pt idx="570">
                  <c:v>1</c:v>
                </c:pt>
                <c:pt idx="571">
                  <c:v>1</c:v>
                </c:pt>
                <c:pt idx="572">
                  <c:v>1</c:v>
                </c:pt>
                <c:pt idx="573">
                  <c:v>1</c:v>
                </c:pt>
                <c:pt idx="574">
                  <c:v>1</c:v>
                </c:pt>
                <c:pt idx="575">
                  <c:v>1</c:v>
                </c:pt>
                <c:pt idx="576">
                  <c:v>1</c:v>
                </c:pt>
                <c:pt idx="577">
                  <c:v>1</c:v>
                </c:pt>
                <c:pt idx="578">
                  <c:v>1</c:v>
                </c:pt>
                <c:pt idx="579">
                  <c:v>1</c:v>
                </c:pt>
                <c:pt idx="580">
                  <c:v>1</c:v>
                </c:pt>
                <c:pt idx="581">
                  <c:v>1</c:v>
                </c:pt>
                <c:pt idx="582">
                  <c:v>1</c:v>
                </c:pt>
                <c:pt idx="583">
                  <c:v>1</c:v>
                </c:pt>
                <c:pt idx="584">
                  <c:v>1</c:v>
                </c:pt>
                <c:pt idx="585">
                  <c:v>1</c:v>
                </c:pt>
                <c:pt idx="586">
                  <c:v>1</c:v>
                </c:pt>
                <c:pt idx="587">
                  <c:v>1</c:v>
                </c:pt>
                <c:pt idx="588">
                  <c:v>1</c:v>
                </c:pt>
                <c:pt idx="589">
                  <c:v>1</c:v>
                </c:pt>
                <c:pt idx="590">
                  <c:v>1</c:v>
                </c:pt>
                <c:pt idx="591">
                  <c:v>1</c:v>
                </c:pt>
                <c:pt idx="592">
                  <c:v>1</c:v>
                </c:pt>
                <c:pt idx="593">
                  <c:v>1</c:v>
                </c:pt>
                <c:pt idx="594">
                  <c:v>1</c:v>
                </c:pt>
                <c:pt idx="595">
                  <c:v>1</c:v>
                </c:pt>
                <c:pt idx="596">
                  <c:v>1</c:v>
                </c:pt>
                <c:pt idx="597">
                  <c:v>1</c:v>
                </c:pt>
                <c:pt idx="598">
                  <c:v>1</c:v>
                </c:pt>
                <c:pt idx="599">
                  <c:v>1</c:v>
                </c:pt>
                <c:pt idx="600">
                  <c:v>1</c:v>
                </c:pt>
                <c:pt idx="601">
                  <c:v>1</c:v>
                </c:pt>
                <c:pt idx="602">
                  <c:v>1</c:v>
                </c:pt>
                <c:pt idx="603">
                  <c:v>1</c:v>
                </c:pt>
                <c:pt idx="604">
                  <c:v>1</c:v>
                </c:pt>
                <c:pt idx="605">
                  <c:v>1</c:v>
                </c:pt>
                <c:pt idx="606">
                  <c:v>1</c:v>
                </c:pt>
                <c:pt idx="607">
                  <c:v>1</c:v>
                </c:pt>
                <c:pt idx="608">
                  <c:v>1</c:v>
                </c:pt>
                <c:pt idx="609">
                  <c:v>1</c:v>
                </c:pt>
                <c:pt idx="610">
                  <c:v>1</c:v>
                </c:pt>
                <c:pt idx="611">
                  <c:v>1</c:v>
                </c:pt>
                <c:pt idx="612">
                  <c:v>1</c:v>
                </c:pt>
                <c:pt idx="613">
                  <c:v>1</c:v>
                </c:pt>
                <c:pt idx="614">
                  <c:v>1</c:v>
                </c:pt>
                <c:pt idx="615">
                  <c:v>1</c:v>
                </c:pt>
                <c:pt idx="616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6A6-4C0F-87F5-F110E34C71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0302032"/>
        <c:axId val="1988353584"/>
      </c:lineChart>
      <c:catAx>
        <c:axId val="803020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8353584"/>
        <c:crosses val="autoZero"/>
        <c:auto val="1"/>
        <c:lblAlgn val="ctr"/>
        <c:lblOffset val="100"/>
        <c:noMultiLvlLbl val="0"/>
      </c:catAx>
      <c:valAx>
        <c:axId val="198835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3020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[Global Freelancer Mini Project.xlsx]Pivottable!PivotTable6</c:name>
    <c:fmtId val="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2.2222222222222223E-2"/>
          <c:y val="0.25865522018081066"/>
          <c:w val="0.79097222222222219"/>
          <c:h val="0.68578922426363376"/>
        </c:manualLayout>
      </c:layout>
      <c:pie3DChart>
        <c:varyColors val="1"/>
        <c:ser>
          <c:idx val="0"/>
          <c:order val="0"/>
          <c:tx>
            <c:strRef>
              <c:f>Pivottable!$B$698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cat>
            <c:strRef>
              <c:f>Pivottable!$A$699:$A$701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Pivottable!$B$699:$B$701</c:f>
              <c:numCache>
                <c:formatCode>General</c:formatCode>
                <c:ptCount val="2"/>
                <c:pt idx="0">
                  <c:v>490</c:v>
                </c:pt>
                <c:pt idx="1">
                  <c:v>510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B0E-4BC5-8F28-439E851F8B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[Global Freelancer Mini Project.xlsx]Pivottable!PivotTable7</c:name>
    <c:fmtId val="4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doughnutChart>
        <c:varyColors val="1"/>
        <c:ser>
          <c:idx val="0"/>
          <c:order val="0"/>
          <c:tx>
            <c:strRef>
              <c:f>Pivottable!$B$703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Pivottable!$A$704:$A$720</c:f>
              <c:strCache>
                <c:ptCount val="16"/>
                <c:pt idx="0">
                  <c:v>Afrikaans</c:v>
                </c:pt>
                <c:pt idx="1">
                  <c:v>Arabic</c:v>
                </c:pt>
                <c:pt idx="2">
                  <c:v>Dutch</c:v>
                </c:pt>
                <c:pt idx="3">
                  <c:v>English</c:v>
                </c:pt>
                <c:pt idx="4">
                  <c:v>French</c:v>
                </c:pt>
                <c:pt idx="5">
                  <c:v>German</c:v>
                </c:pt>
                <c:pt idx="6">
                  <c:v>Hindi</c:v>
                </c:pt>
                <c:pt idx="7">
                  <c:v>Indonesian</c:v>
                </c:pt>
                <c:pt idx="8">
                  <c:v>Italian</c:v>
                </c:pt>
                <c:pt idx="9">
                  <c:v>Japanese</c:v>
                </c:pt>
                <c:pt idx="10">
                  <c:v>Korean</c:v>
                </c:pt>
                <c:pt idx="11">
                  <c:v>Mandarin</c:v>
                </c:pt>
                <c:pt idx="12">
                  <c:v>Portuguese</c:v>
                </c:pt>
                <c:pt idx="13">
                  <c:v>Russian</c:v>
                </c:pt>
                <c:pt idx="14">
                  <c:v>Spanish</c:v>
                </c:pt>
                <c:pt idx="15">
                  <c:v>Turkish</c:v>
                </c:pt>
              </c:strCache>
            </c:strRef>
          </c:cat>
          <c:val>
            <c:numRef>
              <c:f>Pivottable!$B$704:$B$720</c:f>
              <c:numCache>
                <c:formatCode>General</c:formatCode>
                <c:ptCount val="16"/>
                <c:pt idx="0">
                  <c:v>44</c:v>
                </c:pt>
                <c:pt idx="1">
                  <c:v>42</c:v>
                </c:pt>
                <c:pt idx="2">
                  <c:v>51</c:v>
                </c:pt>
                <c:pt idx="3">
                  <c:v>215</c:v>
                </c:pt>
                <c:pt idx="4">
                  <c:v>44</c:v>
                </c:pt>
                <c:pt idx="5">
                  <c:v>52</c:v>
                </c:pt>
                <c:pt idx="6">
                  <c:v>45</c:v>
                </c:pt>
                <c:pt idx="7">
                  <c:v>46</c:v>
                </c:pt>
                <c:pt idx="8">
                  <c:v>42</c:v>
                </c:pt>
                <c:pt idx="9">
                  <c:v>37</c:v>
                </c:pt>
                <c:pt idx="10">
                  <c:v>68</c:v>
                </c:pt>
                <c:pt idx="11">
                  <c:v>49</c:v>
                </c:pt>
                <c:pt idx="12">
                  <c:v>31</c:v>
                </c:pt>
                <c:pt idx="13">
                  <c:v>47</c:v>
                </c:pt>
                <c:pt idx="14">
                  <c:v>142</c:v>
                </c:pt>
                <c:pt idx="15">
                  <c:v>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FC0-4133-83BE-04C0946251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[Global Freelancer Mini Project.xlsx]Pivottable!PivotTable7</c:name>
    <c:fmtId val="6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Pivottable!$B$703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Pivottable!$A$704:$A$720</c:f>
              <c:strCache>
                <c:ptCount val="16"/>
                <c:pt idx="0">
                  <c:v>Afrikaans</c:v>
                </c:pt>
                <c:pt idx="1">
                  <c:v>Arabic</c:v>
                </c:pt>
                <c:pt idx="2">
                  <c:v>Dutch</c:v>
                </c:pt>
                <c:pt idx="3">
                  <c:v>English</c:v>
                </c:pt>
                <c:pt idx="4">
                  <c:v>French</c:v>
                </c:pt>
                <c:pt idx="5">
                  <c:v>German</c:v>
                </c:pt>
                <c:pt idx="6">
                  <c:v>Hindi</c:v>
                </c:pt>
                <c:pt idx="7">
                  <c:v>Indonesian</c:v>
                </c:pt>
                <c:pt idx="8">
                  <c:v>Italian</c:v>
                </c:pt>
                <c:pt idx="9">
                  <c:v>Japanese</c:v>
                </c:pt>
                <c:pt idx="10">
                  <c:v>Korean</c:v>
                </c:pt>
                <c:pt idx="11">
                  <c:v>Mandarin</c:v>
                </c:pt>
                <c:pt idx="12">
                  <c:v>Portuguese</c:v>
                </c:pt>
                <c:pt idx="13">
                  <c:v>Russian</c:v>
                </c:pt>
                <c:pt idx="14">
                  <c:v>Spanish</c:v>
                </c:pt>
                <c:pt idx="15">
                  <c:v>Turkish</c:v>
                </c:pt>
              </c:strCache>
            </c:strRef>
          </c:cat>
          <c:val>
            <c:numRef>
              <c:f>Pivottable!$B$704:$B$720</c:f>
              <c:numCache>
                <c:formatCode>General</c:formatCode>
                <c:ptCount val="16"/>
                <c:pt idx="0">
                  <c:v>44</c:v>
                </c:pt>
                <c:pt idx="1">
                  <c:v>42</c:v>
                </c:pt>
                <c:pt idx="2">
                  <c:v>51</c:v>
                </c:pt>
                <c:pt idx="3">
                  <c:v>215</c:v>
                </c:pt>
                <c:pt idx="4">
                  <c:v>44</c:v>
                </c:pt>
                <c:pt idx="5">
                  <c:v>52</c:v>
                </c:pt>
                <c:pt idx="6">
                  <c:v>45</c:v>
                </c:pt>
                <c:pt idx="7">
                  <c:v>46</c:v>
                </c:pt>
                <c:pt idx="8">
                  <c:v>42</c:v>
                </c:pt>
                <c:pt idx="9">
                  <c:v>37</c:v>
                </c:pt>
                <c:pt idx="10">
                  <c:v>68</c:v>
                </c:pt>
                <c:pt idx="11">
                  <c:v>49</c:v>
                </c:pt>
                <c:pt idx="12">
                  <c:v>31</c:v>
                </c:pt>
                <c:pt idx="13">
                  <c:v>47</c:v>
                </c:pt>
                <c:pt idx="14">
                  <c:v>142</c:v>
                </c:pt>
                <c:pt idx="15">
                  <c:v>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EA2-4B77-834C-9BE2B1208C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38965872"/>
        <c:axId val="1988307024"/>
      </c:barChart>
      <c:catAx>
        <c:axId val="20389658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8307024"/>
        <c:crosses val="autoZero"/>
        <c:auto val="1"/>
        <c:lblAlgn val="ctr"/>
        <c:lblOffset val="100"/>
        <c:noMultiLvlLbl val="0"/>
      </c:catAx>
      <c:valAx>
        <c:axId val="1988307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89658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[Global Freelancer Mini Project.xlsx]Pivottable!PivotTable8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Pivottable!$B$723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Pivottable!$A$724:$A$743</c:f>
              <c:strCache>
                <c:ptCount val="19"/>
                <c:pt idx="0">
                  <c:v>Amanda Mitchell</c:v>
                </c:pt>
                <c:pt idx="1">
                  <c:v>Amy Lee</c:v>
                </c:pt>
                <c:pt idx="2">
                  <c:v>Clarence Vega</c:v>
                </c:pt>
                <c:pt idx="3">
                  <c:v>Erin Martin</c:v>
                </c:pt>
                <c:pt idx="4">
                  <c:v>Hannah Sanders</c:v>
                </c:pt>
                <c:pt idx="5">
                  <c:v>Jason Carter</c:v>
                </c:pt>
                <c:pt idx="6">
                  <c:v>Jason Weaver</c:v>
                </c:pt>
                <c:pt idx="7">
                  <c:v>John Webb</c:v>
                </c:pt>
                <c:pt idx="8">
                  <c:v>Kurt Wilson</c:v>
                </c:pt>
                <c:pt idx="9">
                  <c:v>Margaret Garcia</c:v>
                </c:pt>
                <c:pt idx="10">
                  <c:v>Mark Hudson</c:v>
                </c:pt>
                <c:pt idx="11">
                  <c:v>Mary Brown</c:v>
                </c:pt>
                <c:pt idx="12">
                  <c:v>Matthew Smith</c:v>
                </c:pt>
                <c:pt idx="13">
                  <c:v>Megan Bright</c:v>
                </c:pt>
                <c:pt idx="14">
                  <c:v>Rebecca Schneider</c:v>
                </c:pt>
                <c:pt idx="15">
                  <c:v>Robert Evans</c:v>
                </c:pt>
                <c:pt idx="16">
                  <c:v>Sarah Ho</c:v>
                </c:pt>
                <c:pt idx="17">
                  <c:v>Timothy Wright</c:v>
                </c:pt>
                <c:pt idx="18">
                  <c:v>William Knapp</c:v>
                </c:pt>
              </c:strCache>
            </c:strRef>
          </c:cat>
          <c:val>
            <c:numRef>
              <c:f>Pivottable!$B$724:$B$743</c:f>
              <c:numCache>
                <c:formatCode>0%</c:formatCode>
                <c:ptCount val="19"/>
                <c:pt idx="0">
                  <c:v>1.67</c:v>
                </c:pt>
                <c:pt idx="1">
                  <c:v>1.46</c:v>
                </c:pt>
                <c:pt idx="2">
                  <c:v>0.99</c:v>
                </c:pt>
                <c:pt idx="3">
                  <c:v>0.99</c:v>
                </c:pt>
                <c:pt idx="4">
                  <c:v>0.99</c:v>
                </c:pt>
                <c:pt idx="5">
                  <c:v>1.5699999999999998</c:v>
                </c:pt>
                <c:pt idx="6">
                  <c:v>0.99</c:v>
                </c:pt>
                <c:pt idx="7">
                  <c:v>0.99</c:v>
                </c:pt>
                <c:pt idx="8">
                  <c:v>1</c:v>
                </c:pt>
                <c:pt idx="9">
                  <c:v>0.99</c:v>
                </c:pt>
                <c:pt idx="10">
                  <c:v>1</c:v>
                </c:pt>
                <c:pt idx="11">
                  <c:v>1.51</c:v>
                </c:pt>
                <c:pt idx="12">
                  <c:v>1.6</c:v>
                </c:pt>
                <c:pt idx="13">
                  <c:v>0.99</c:v>
                </c:pt>
                <c:pt idx="14">
                  <c:v>0.99</c:v>
                </c:pt>
                <c:pt idx="15">
                  <c:v>1.6600000000000001</c:v>
                </c:pt>
                <c:pt idx="16">
                  <c:v>1.57</c:v>
                </c:pt>
                <c:pt idx="17">
                  <c:v>0.99</c:v>
                </c:pt>
                <c:pt idx="18">
                  <c:v>0.99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C6-49E1-B45E-B5C1801940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[Global Freelancer Mini Project.xlsx]Pivottable!PivotTable7</c:name>
    <c:fmtId val="9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Pivottable!$B$703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Pivottable!$A$704:$A$720</c:f>
              <c:strCache>
                <c:ptCount val="16"/>
                <c:pt idx="0">
                  <c:v>Afrikaans</c:v>
                </c:pt>
                <c:pt idx="1">
                  <c:v>Arabic</c:v>
                </c:pt>
                <c:pt idx="2">
                  <c:v>Dutch</c:v>
                </c:pt>
                <c:pt idx="3">
                  <c:v>English</c:v>
                </c:pt>
                <c:pt idx="4">
                  <c:v>French</c:v>
                </c:pt>
                <c:pt idx="5">
                  <c:v>German</c:v>
                </c:pt>
                <c:pt idx="6">
                  <c:v>Hindi</c:v>
                </c:pt>
                <c:pt idx="7">
                  <c:v>Indonesian</c:v>
                </c:pt>
                <c:pt idx="8">
                  <c:v>Italian</c:v>
                </c:pt>
                <c:pt idx="9">
                  <c:v>Japanese</c:v>
                </c:pt>
                <c:pt idx="10">
                  <c:v>Korean</c:v>
                </c:pt>
                <c:pt idx="11">
                  <c:v>Mandarin</c:v>
                </c:pt>
                <c:pt idx="12">
                  <c:v>Portuguese</c:v>
                </c:pt>
                <c:pt idx="13">
                  <c:v>Russian</c:v>
                </c:pt>
                <c:pt idx="14">
                  <c:v>Spanish</c:v>
                </c:pt>
                <c:pt idx="15">
                  <c:v>Turkish</c:v>
                </c:pt>
              </c:strCache>
            </c:strRef>
          </c:cat>
          <c:val>
            <c:numRef>
              <c:f>Pivottable!$B$704:$B$720</c:f>
              <c:numCache>
                <c:formatCode>General</c:formatCode>
                <c:ptCount val="16"/>
                <c:pt idx="0">
                  <c:v>44</c:v>
                </c:pt>
                <c:pt idx="1">
                  <c:v>42</c:v>
                </c:pt>
                <c:pt idx="2">
                  <c:v>51</c:v>
                </c:pt>
                <c:pt idx="3">
                  <c:v>215</c:v>
                </c:pt>
                <c:pt idx="4">
                  <c:v>44</c:v>
                </c:pt>
                <c:pt idx="5">
                  <c:v>52</c:v>
                </c:pt>
                <c:pt idx="6">
                  <c:v>45</c:v>
                </c:pt>
                <c:pt idx="7">
                  <c:v>46</c:v>
                </c:pt>
                <c:pt idx="8">
                  <c:v>42</c:v>
                </c:pt>
                <c:pt idx="9">
                  <c:v>37</c:v>
                </c:pt>
                <c:pt idx="10">
                  <c:v>68</c:v>
                </c:pt>
                <c:pt idx="11">
                  <c:v>49</c:v>
                </c:pt>
                <c:pt idx="12">
                  <c:v>31</c:v>
                </c:pt>
                <c:pt idx="13">
                  <c:v>47</c:v>
                </c:pt>
                <c:pt idx="14">
                  <c:v>142</c:v>
                </c:pt>
                <c:pt idx="15">
                  <c:v>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2DB-45C2-9E46-54DB923744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0913440"/>
        <c:axId val="1988342544"/>
      </c:barChart>
      <c:catAx>
        <c:axId val="1009134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8342544"/>
        <c:crosses val="autoZero"/>
        <c:auto val="1"/>
        <c:lblAlgn val="ctr"/>
        <c:lblOffset val="100"/>
        <c:noMultiLvlLbl val="0"/>
      </c:catAx>
      <c:valAx>
        <c:axId val="1988342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9134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1314738</xdr:colOff>
      <xdr:row>1</xdr:row>
      <xdr:rowOff>114876</xdr:rowOff>
    </xdr:from>
    <xdr:to>
      <xdr:col>10</xdr:col>
      <xdr:colOff>287192</xdr:colOff>
      <xdr:row>16</xdr:row>
      <xdr:rowOff>43872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C88F0B1-CDAC-B82E-F4F0-08E58BA5368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564284</xdr:colOff>
      <xdr:row>19</xdr:row>
      <xdr:rowOff>86013</xdr:rowOff>
    </xdr:from>
    <xdr:to>
      <xdr:col>9</xdr:col>
      <xdr:colOff>142874</xdr:colOff>
      <xdr:row>34</xdr:row>
      <xdr:rowOff>15008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9591B43-08C9-2439-A666-F807AC11CBB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261215</xdr:colOff>
      <xdr:row>41</xdr:row>
      <xdr:rowOff>158173</xdr:rowOff>
    </xdr:from>
    <xdr:to>
      <xdr:col>11</xdr:col>
      <xdr:colOff>590261</xdr:colOff>
      <xdr:row>56</xdr:row>
      <xdr:rowOff>87168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F1D6A9A-DAFA-D722-4F01-73829FAE223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852920</xdr:colOff>
      <xdr:row>58</xdr:row>
      <xdr:rowOff>42718</xdr:rowOff>
    </xdr:from>
    <xdr:to>
      <xdr:col>9</xdr:col>
      <xdr:colOff>431510</xdr:colOff>
      <xdr:row>72</xdr:row>
      <xdr:rowOff>159327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484DF310-8E8C-735E-D560-161EF7CF468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</xdr:col>
      <xdr:colOff>290079</xdr:colOff>
      <xdr:row>81</xdr:row>
      <xdr:rowOff>13854</xdr:rowOff>
    </xdr:from>
    <xdr:to>
      <xdr:col>11</xdr:col>
      <xdr:colOff>12988</xdr:colOff>
      <xdr:row>95</xdr:row>
      <xdr:rowOff>130464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41A488D-A866-7F2F-B110-EBC30FAD269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6</xdr:col>
      <xdr:colOff>506557</xdr:colOff>
      <xdr:row>665</xdr:row>
      <xdr:rowOff>187036</xdr:rowOff>
    </xdr:from>
    <xdr:to>
      <xdr:col>14</xdr:col>
      <xdr:colOff>229466</xdr:colOff>
      <xdr:row>680</xdr:row>
      <xdr:rowOff>116031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B8055D14-6955-704E-6BE2-408F7761A9D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8</xdr:col>
      <xdr:colOff>232352</xdr:colOff>
      <xdr:row>712</xdr:row>
      <xdr:rowOff>71582</xdr:rowOff>
    </xdr:from>
    <xdr:to>
      <xdr:col>15</xdr:col>
      <xdr:colOff>561397</xdr:colOff>
      <xdr:row>727</xdr:row>
      <xdr:rowOff>577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A04CB3DD-2C16-1837-5F06-8888EF54506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8</xdr:col>
      <xdr:colOff>232352</xdr:colOff>
      <xdr:row>712</xdr:row>
      <xdr:rowOff>71582</xdr:rowOff>
    </xdr:from>
    <xdr:to>
      <xdr:col>15</xdr:col>
      <xdr:colOff>561397</xdr:colOff>
      <xdr:row>727</xdr:row>
      <xdr:rowOff>577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DB705E8F-FC75-A298-0FF0-62B6D409D5E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8</xdr:col>
      <xdr:colOff>232352</xdr:colOff>
      <xdr:row>712</xdr:row>
      <xdr:rowOff>71582</xdr:rowOff>
    </xdr:from>
    <xdr:to>
      <xdr:col>15</xdr:col>
      <xdr:colOff>561397</xdr:colOff>
      <xdr:row>727</xdr:row>
      <xdr:rowOff>577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EF27F2D9-523A-6342-5B66-232E111786E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8</xdr:col>
      <xdr:colOff>232352</xdr:colOff>
      <xdr:row>712</xdr:row>
      <xdr:rowOff>71582</xdr:rowOff>
    </xdr:from>
    <xdr:to>
      <xdr:col>15</xdr:col>
      <xdr:colOff>561397</xdr:colOff>
      <xdr:row>727</xdr:row>
      <xdr:rowOff>577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88EFF911-1CC8-72E1-67B5-78D155ED25A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6275.444087037038" createdVersion="8" refreshedVersion="8" minRefreshableVersion="3" recordCount="1000" xr:uid="{F49C2E59-7C43-484D-812E-81EFA6A4FCDA}">
  <cacheSource type="worksheet">
    <worksheetSource ref="A1:L1001" sheet="globalfreelancepreprocesseddata"/>
  </cacheSource>
  <cacheFields count="12">
    <cacheField name="Freelancer id" numFmtId="0">
      <sharedItems/>
    </cacheField>
    <cacheField name="Name" numFmtId="0">
      <sharedItems count="992">
        <s v="Ms. Nicole Kidd"/>
        <s v="Vanessa Garcia"/>
        <s v="Juan Nelson"/>
        <s v="Amanda Spencer"/>
        <s v="Lynn Curtis Dds"/>
        <s v="Lisa Johnson"/>
        <s v="Eric Myers"/>
        <s v="Ricky Graham"/>
        <s v="Sean Martin"/>
        <s v="Matthew Lloyd"/>
        <s v="Gavin Randall"/>
        <s v="Michelle Curtis"/>
        <s v="Alice Schneider"/>
        <s v="Phillip Shelton"/>
        <s v="Edward Ferguson"/>
        <s v="Wyatt Stout"/>
        <s v="Laura Johnson"/>
        <s v="Scott Burns"/>
        <s v="Tyler Aguirre"/>
        <s v="Matthew Lawson"/>
        <s v="James Cherry"/>
        <s v="Samuel Sanford"/>
        <s v="Cesar Greene"/>
        <s v="Melanie Carter"/>
        <s v="Jennifer Martin"/>
        <s v="Anna Mccann"/>
        <s v="Marissa Bass"/>
        <s v="Alexis Day"/>
        <s v="Megan Jones"/>
        <s v="Lori Smith"/>
        <s v="Eric Carpenter"/>
        <s v="Timothy Daniels"/>
        <s v="Robert Nelson"/>
        <s v="Michael Anderson"/>
        <s v="Jessica Snyder"/>
        <s v="Emily Daniels"/>
        <s v="Jamie Ramirez"/>
        <s v="Amy Harrison"/>
        <s v="Melinda White"/>
        <s v="James Hernandez"/>
        <s v="Angelica Rogers"/>
        <s v="Savannah Williams"/>
        <s v="Kaitlyn Schmidt"/>
        <s v="Jason Singh"/>
        <s v="Michelle Ramirez"/>
        <s v="James Brown"/>
        <s v="Mrs. Samantha Simmons"/>
        <s v="Chase Mason"/>
        <s v="Dominique Ward"/>
        <s v="Lance Griffin"/>
        <s v="Julie Burgess"/>
        <s v="Don Scott"/>
        <s v="Kyle Atkinson"/>
        <s v="Jimmy Hogan"/>
        <s v="Jennifer Mcintyre"/>
        <s v="Larry Simpson"/>
        <s v="Laura Price"/>
        <s v="Mark Wright"/>
        <s v="Samantha Mcdaniel"/>
        <s v="Barbara Foster"/>
        <s v="Courtney Tran"/>
        <s v="Eddie Todd"/>
        <s v="Christine Johnson"/>
        <s v="Leah Phelps"/>
        <s v="Rebekah Williams"/>
        <s v="Crystal Wilson"/>
        <s v="Ashley Cordova"/>
        <s v="Vicki Kelly"/>
        <s v="Corey Warren"/>
        <s v="Gina Thompson"/>
        <s v="Yvonne Berg"/>
        <s v="Thomas Miller"/>
        <s v="Nicholas Burton"/>
        <s v="Jorge Riley"/>
        <s v="Melvin Harris"/>
        <s v="Jeremy Meyer"/>
        <s v="Timothy Lee"/>
        <s v="Diana Bautista"/>
        <s v="Leslie Rodriguez"/>
        <s v="Noah Wiggins"/>
        <s v="Bridget Williams"/>
        <s v="Veronica Baker"/>
        <s v="Andrew Avila"/>
        <s v="Michael Roberson"/>
        <s v="Austin Jenkins"/>
        <s v="Brenda Green"/>
        <s v="Samuel Pierce"/>
        <s v="Briana Smith"/>
        <s v="Ronald Barrett"/>
        <s v="Matthew Smith"/>
        <s v="Logan Huang"/>
        <s v="Miranda Hutchinson"/>
        <s v="Paul Richardson"/>
        <s v="Jose Jones"/>
        <s v="Denise Smith"/>
        <s v="Shelby Mcmahon"/>
        <s v="Bethany Wright"/>
        <s v="David Ortiz"/>
        <s v="Andrew Lynch"/>
        <s v="Kristopher Meyers"/>
        <s v="Thomas Roth"/>
        <s v="Vicki Brown"/>
        <s v="Stacy Sutton"/>
        <s v="Kimberly Holland"/>
        <s v="Travis Richardson"/>
        <s v="Jasmin Ho"/>
        <s v="Mark Paul"/>
        <s v="Jennifer Lewis"/>
        <s v="Elizabeth Lester"/>
        <s v="Kimberly Griffin"/>
        <s v="Tyler Warner"/>
        <s v="Jane Cox"/>
        <s v="Leah Williams"/>
        <s v="Kevin Wong"/>
        <s v="Robert Andrews"/>
        <s v="Jessica Torres"/>
        <s v="Teresa Kim"/>
        <s v="Jon Morgan"/>
        <s v="Gloria Chaney"/>
        <s v="Jesse Campbell"/>
        <s v="Allison Tucker Md"/>
        <s v="Candice Petersen"/>
        <s v="Christopher Nichols"/>
        <s v="Debra Garcia"/>
        <s v="Andrew Fuentes"/>
        <s v="Jason Carter"/>
        <s v="Austin Romero"/>
        <s v="Clayton Burns"/>
        <s v="Jonathan Clark"/>
        <s v="Alexander Griffin"/>
        <s v="Shelly Whitehead"/>
        <s v="Kaitlyn Davis"/>
        <s v="Christopher Jones"/>
        <s v="Cindy Jacobs"/>
        <s v="Penny Day"/>
        <s v="Thomas Ingram"/>
        <s v="Donna Hansen"/>
        <s v="Donna Bailey"/>
        <s v="Joshua Armstrong"/>
        <s v="Jonathan Garza"/>
        <s v="Charles Jones"/>
        <s v="Lindsey Miles"/>
        <s v="Eduardo Reed"/>
        <s v="Lee Fowler"/>
        <s v="Steven Jones Jr."/>
        <s v="Ashley Chen"/>
        <s v="Erica Davis"/>
        <s v="Wayne Gonzales"/>
        <s v="Gary Ballard"/>
        <s v="Maria Mcguire"/>
        <s v="Matthew Richards"/>
        <s v="Patrick Malone"/>
        <s v="Cindy Martin"/>
        <s v="Anne Edwards"/>
        <s v="Mitchell Martin"/>
        <s v="Mitchell Patrick"/>
        <s v="Rebecca Lyons"/>
        <s v="Christian Lopez"/>
        <s v="Nathan Blair"/>
        <s v="Patricia Lopez"/>
        <s v="Michelle Wu"/>
        <s v="Donald Mitchell"/>
        <s v="Sean Gordon"/>
        <s v="Gregory Clarke"/>
        <s v="Steven Whitney"/>
        <s v="Robin Acosta"/>
        <s v="John Smith"/>
        <s v="Susan Baker"/>
        <s v="Anthony Larsen"/>
        <s v="Nicholas Carpenter"/>
        <s v="Debra Salazar"/>
        <s v="William Smith"/>
        <s v="Caroline Gross"/>
        <s v="Jeremy Sawyer"/>
        <s v="Eduardo Burns"/>
        <s v="Amanda Jones"/>
        <s v="Frederick Ware"/>
        <s v="Michael Black"/>
        <s v="Patricia Sanders"/>
        <s v="Marc Joseph"/>
        <s v="Vanessa White"/>
        <s v="Jennifer Garcia"/>
        <s v="Michael Zavala"/>
        <s v="Kimberly Williams"/>
        <s v="Elizabeth Jenkins"/>
        <s v="Brandon Ford"/>
        <s v="Justin House"/>
        <s v="Henry Mullen"/>
        <s v="Jesse Cochran"/>
        <s v="Melissa Rich"/>
        <s v="Patrick Dunlap"/>
        <s v="Troy Carson"/>
        <s v="Jennifer Cherry"/>
        <s v="Brandi Tucker"/>
        <s v="Zachary Burke"/>
        <s v="Thomas Jones"/>
        <s v="Brian Dunn"/>
        <s v="Shirley Strickland"/>
        <s v="Nicole Meyers"/>
        <s v="Jill Stephens"/>
        <s v="Heidi Miranda"/>
        <s v="Jesus Martinez"/>
        <s v="Adam Payne"/>
        <s v="Walter Williams"/>
        <s v="Shannon Farmer"/>
        <s v="Peter Reyes"/>
        <s v="Kristen Knight"/>
        <s v="William Moore Jr."/>
        <s v="Jennifer Rowe"/>
        <s v="Mikayla Henry"/>
        <s v="Jacob Kerr"/>
        <s v="Ryan Johnson"/>
        <s v="Michael Ruiz"/>
        <s v="Monica Roberts"/>
        <s v="Danny Brown"/>
        <s v="Karen Larsen"/>
        <s v="Robert Evans"/>
        <s v="Sean Poole"/>
        <s v="Richard Quinn"/>
        <s v="Jennifer Gonzalez"/>
        <s v="James Skinner"/>
        <s v="Michelle Hill"/>
        <s v="Jacqueline Williams"/>
        <s v="Darrell Johnson"/>
        <s v="Ryan Crawford"/>
        <s v="Chelsea Barber"/>
        <s v="Elaine Martinez"/>
        <s v="Joseph Kent"/>
        <s v="Megan Welch"/>
        <s v="Stephen Ramirez"/>
        <s v="Chloe Gray"/>
        <s v="Michael Williams Jr."/>
        <s v="Matthew Martin"/>
        <s v="Julia Murphy"/>
        <s v="Anna Evans"/>
        <s v="Brenda Fleming"/>
        <s v="Daniel Harrington"/>
        <s v="Daniel Barnett"/>
        <s v="Mark Cummings"/>
        <s v="Christopher Guerra"/>
        <s v="Sarah Ho"/>
        <s v="Veronica Thomas"/>
        <s v="Mitchell Watson"/>
        <s v="Monica Murphy"/>
        <s v="Kristen Williams"/>
        <s v="Nicole Wright"/>
        <s v="Andrew Ruiz"/>
        <s v="Zachary Jackson"/>
        <s v="Stephanie Carter"/>
        <s v="Amy Olson"/>
        <s v="Fred Stark"/>
        <s v="Jacob Gill"/>
        <s v="Anthony Nichols"/>
        <s v="William Knapp"/>
        <s v="Elizabeth Walker"/>
        <s v="Brenda Reeves"/>
        <s v="Carrie Little"/>
        <s v="Steven Jackson"/>
        <s v="Mark Perry"/>
        <s v="Cameron Spencer"/>
        <s v="Jennifer Holmes"/>
        <s v="Jacob Joseph"/>
        <s v="Jeffery Tucker"/>
        <s v="Jacqueline Drake"/>
        <s v="Brian Bautista"/>
        <s v="Dakota Wells"/>
        <s v="Julie White"/>
        <s v="Barbara Keith"/>
        <s v="Heather Camacho"/>
        <s v="Melanie Harris"/>
        <s v="Jacqueline Peterson"/>
        <s v="Nancy Long"/>
        <s v="Mr. Juan Mitchell"/>
        <s v="William Gaines"/>
        <s v="Haley Yates"/>
        <s v="Richard Mcguire"/>
        <s v="Stephanie Fisher"/>
        <s v="Anthony Goodwin Dds"/>
        <s v="Meagan Walters"/>
        <s v="David Powell"/>
        <s v="Kelly Jones"/>
        <s v="Dr. Michael Aguilar"/>
        <s v="Alex Novak"/>
        <s v="Ann Contreras"/>
        <s v="Mary Reed"/>
        <s v="Lauren Ross"/>
        <s v="Candice Wise"/>
        <s v="Joyce Humphrey"/>
        <s v="James Carr"/>
        <s v="Joseph Mendoza"/>
        <s v="Cathy Baldwin"/>
        <s v="Christine Hart"/>
        <s v="Mike Stanley"/>
        <s v="Jeffrey Edwards"/>
        <s v="Amy Lee"/>
        <s v="Mark Thompson"/>
        <s v="Alex Wilson"/>
        <s v="Nancy Mendez"/>
        <s v="Beth Crane"/>
        <s v="Miguel Rogers"/>
        <s v="Thomas Robles"/>
        <s v="Joel Brown Iii"/>
        <s v="Olivia Schultz"/>
        <s v="Clayton Pena"/>
        <s v="Ashley Salazar"/>
        <s v="Robert Lucas"/>
        <s v="David Cox"/>
        <s v="Christian Campbell"/>
        <s v="Mrs. Angela Ward"/>
        <s v="Lucas Chen"/>
        <s v="Ruben Nelson"/>
        <s v="Brenda Briggs"/>
        <s v="Ronald Smith"/>
        <s v="Dakota Giles"/>
        <s v="Angela Castillo"/>
        <s v="Allen Lee"/>
        <s v="Michael Rogers"/>
        <s v="Danielle Costa"/>
        <s v="William Nunez"/>
        <s v="Christopher Riggs"/>
        <s v="Kathryn Myers"/>
        <s v="Robert Walls"/>
        <s v="Justin Johnson"/>
        <s v="Paula Stevens"/>
        <s v="Jennifer Allen"/>
        <s v="Mark Hudson"/>
        <s v="Jessica Smith"/>
        <s v="Mike Dean"/>
        <s v="Jose Wilson"/>
        <s v="Tammy Hill"/>
        <s v="Nathaniel Flores"/>
        <s v="Edwin Carter"/>
        <s v="Patricia Miller"/>
        <s v="Rebecca Schneider"/>
        <s v="John Greene"/>
        <s v="Brittany Mcdowell"/>
        <s v="Lori Miller"/>
        <s v="Joseph Robinson"/>
        <s v="Aaron Pruitt"/>
        <s v="Victoria Miller"/>
        <s v="Clarence Vega"/>
        <s v="Deborah Day"/>
        <s v="Nicole Rocha"/>
        <s v="Elijah Green"/>
        <s v="Emily Johnson"/>
        <s v="Richard Velasquez Jr."/>
        <s v="Kurt Wilson"/>
        <s v="Jeremiah Rodriguez"/>
        <s v="Lauren Lang"/>
        <s v="Matthew Phillips"/>
        <s v="Michael Andersen"/>
        <s v="Amanda Mayo"/>
        <s v="Jessica Vance"/>
        <s v="Alexa Gallegos"/>
        <s v="Charles Pratt"/>
        <s v="Brian Baker"/>
        <s v="Christina Norman"/>
        <s v="Laura Kelly"/>
        <s v="John Webb"/>
        <s v="Christopher Burton"/>
        <s v="Bradley Aguilar"/>
        <s v="Arthur Vasquez"/>
        <s v="Angela Castro"/>
        <s v="Summer Yoder"/>
        <s v="Jackie Allen"/>
        <s v="Brandon Williams"/>
        <s v="Manuel Torres"/>
        <s v="Scott Keller"/>
        <s v="Deborah Brown"/>
        <s v="Jennifer Lara"/>
        <s v="Jason Scott"/>
        <s v="Gregory Garrison"/>
        <s v="Chelsea Anderson"/>
        <s v="Gerald Johnson"/>
        <s v="Kevin Ellis"/>
        <s v="Mitchell Keller"/>
        <s v="Mary Brown"/>
        <s v="Ronald Walls"/>
        <s v="Anthony Avila"/>
        <s v="Douglas Goodwin"/>
        <s v="James Mills"/>
        <s v="Nicole Marks"/>
        <s v="Phyllis Dawson"/>
        <s v="Renee Arnold"/>
        <s v="Eric Robinson"/>
        <s v="Paul Brown"/>
        <s v="Sarah Proctor"/>
        <s v="Matthew Hicks"/>
        <s v="Christopher Black"/>
        <s v="Joanne Reyes"/>
        <s v="Isaac Gray"/>
        <s v="Joshua Roberts"/>
        <s v="Elizabeth Estrada"/>
        <s v="Lori Malone"/>
        <s v="Anthony Huynh Md"/>
        <s v="Mindy York"/>
        <s v="Ms. Christine Cherry"/>
        <s v="Daniel Foster"/>
        <s v="Mr. David Valencia"/>
        <s v="Ethan Adams"/>
        <s v="Brett Moore"/>
        <s v="Phillip Griffin"/>
        <s v="Stacie Wall"/>
        <s v="Jacob Austin"/>
        <s v="Sabrina Davidson"/>
        <s v="Dustin Douglas"/>
        <s v="Steven Norris"/>
        <s v="Mindy Sullivan"/>
        <s v="Elizabeth Stone"/>
        <s v="Diane Flores"/>
        <s v="Jessica Erickson"/>
        <s v="Sara Moses"/>
        <s v="Allison Henderson"/>
        <s v="Susan Dixon"/>
        <s v="David Morrison"/>
        <s v="James Jacobs"/>
        <s v="Kathleen Quinn"/>
        <s v="Natalie Frank Md"/>
        <s v="Michael Reed"/>
        <s v="Sheila Smith"/>
        <s v="Morgan Ford"/>
        <s v="Linda Schultz"/>
        <s v="Regina Daniel"/>
        <s v="Allison Perkins"/>
        <s v="Bradley Weaver"/>
        <s v="Sarah Hall"/>
        <s v="Diana Walton"/>
        <s v="Donna Davis"/>
        <s v="Christopher Mcclain"/>
        <s v="Dr. Paul Williamson"/>
        <s v="Barbara Brown"/>
        <s v="Kimberly Allen"/>
        <s v="Elizabeth Edwards"/>
        <s v="Anthony Downs"/>
        <s v="Jack Ortega"/>
        <s v="Marvin Moore"/>
        <s v="Tony French"/>
        <s v="Stacy Hudson"/>
        <s v="Scott Washington"/>
        <s v="Timothy Wright"/>
        <s v="Joseph Gonzalez"/>
        <s v="Andrea Perez"/>
        <s v="Angel Collins"/>
        <s v="Daniel Terry"/>
        <s v="Steven Whitaker"/>
        <s v="Denise Neal"/>
        <s v="Amanda Jacobs"/>
        <s v="Karen Mercer"/>
        <s v="Lindsay Hudson"/>
        <s v="Stephanie Armstrong"/>
        <s v="Dr. Jessica Campbell"/>
        <s v="Curtis Maxwell"/>
        <s v="Adam Kelly Phd"/>
        <s v="Julie Becker"/>
        <s v="James Moore"/>
        <s v="Danielle Barrera"/>
        <s v="David Sanchez"/>
        <s v="Tiffany Bowman"/>
        <s v="Jesus Quinn"/>
        <s v="Mr. Danny Morris Dds"/>
        <s v="Nicole York"/>
        <s v="John Mathis"/>
        <s v="Julie Barnett"/>
        <s v="Jasmine Harris"/>
        <s v="Mary Henry"/>
        <s v="Judith Riggs"/>
        <s v="Justin Ruiz"/>
        <s v="Jennifer Sullivan"/>
        <s v="Jesse Moran"/>
        <s v="Monica Smith"/>
        <s v="Ian May"/>
        <s v="Kayla Meyers"/>
        <s v="John Bray"/>
        <s v="James Smith"/>
        <s v="Mark Duncan"/>
        <s v="Matthew Gay"/>
        <s v="Cheryl Freeman"/>
        <s v="Patrick Welch"/>
        <s v="Craig Levine"/>
        <s v="Richard Harvey"/>
        <s v="Bonnie Sherman"/>
        <s v="Keith Trujillo"/>
        <s v="Corey Combs"/>
        <s v="Antonio King"/>
        <s v="Jennifer Rogers"/>
        <s v="Jeffrey Cooper"/>
        <s v="Allison Williams"/>
        <s v="Raymond Sherman"/>
        <s v="Jennifer Nelson"/>
        <s v="Jennifer Carter"/>
        <s v="Todd Williams"/>
        <s v="Emily Horton"/>
        <s v="Lance Lester"/>
        <s v="Kevin Flores"/>
        <s v="Aaron Stewart Phd"/>
        <s v="Robin Moore"/>
        <s v="Suzanne Ingram"/>
        <s v="Jacob Mclaughlin"/>
        <s v="Michael Nunez"/>
        <s v="Isabel Brown"/>
        <s v="Michael Stein"/>
        <s v="Robert Stone"/>
        <s v="Dillon Henry"/>
        <s v="James Todd"/>
        <s v="Clifford Moore Md"/>
        <s v="John Rios"/>
        <s v="Anthony Gaines"/>
        <s v="Kristi Brown Dvm"/>
        <s v="Ashley Odonnell"/>
        <s v="Ronald Elliott"/>
        <s v="Lorraine Lowery"/>
        <s v="Victoria Chapman"/>
        <s v="Heather Davis"/>
        <s v="Diana Chase"/>
        <s v="Danielle Adkins"/>
        <s v="Kenneth Arias"/>
        <s v="Victoria Owen"/>
        <s v="Christina King"/>
        <s v="Samantha King"/>
        <s v="Scott Compton"/>
        <s v="Monica West"/>
        <s v="Theresa Stewart"/>
        <s v="Steven Kim"/>
        <s v="Kristi Knight"/>
        <s v="Jason Bryant"/>
        <s v="Maureen Keith"/>
        <s v="Shawn Hogan"/>
        <s v="William Davis"/>
        <s v="Stacy Bailey"/>
        <s v="Thomas Dixon"/>
        <s v="Maria Hall"/>
        <s v="Tony Lee"/>
        <s v="Catherine Mccoy Md"/>
        <s v="Maria Benitez"/>
        <s v="Joshua Chambers"/>
        <s v="Janice Daniels"/>
        <s v="Carla Wood"/>
        <s v="Kenneth Vasquez"/>
        <s v="Kevin Smith"/>
        <s v="Thomas Kim"/>
        <s v="Sean Park"/>
        <s v="Judith Poole"/>
        <s v="Melanie Baird"/>
        <s v="Erika Mitchell"/>
        <s v="Ricky Martinez"/>
        <s v="John Christian"/>
        <s v="Nancy Smith"/>
        <s v="Cassandra Stephens"/>
        <s v="Miss Janet Donovan Md"/>
        <s v="Kristina Williams"/>
        <s v="Wayne Barnes"/>
        <s v="James Hinton"/>
        <s v="David Spence"/>
        <s v="Tyler Cooper"/>
        <s v="Sean Martinez"/>
        <s v="Janet Barron"/>
        <s v="Rodney Wilson"/>
        <s v="Kimberly Fitzgerald"/>
        <s v="Nicole Davis"/>
        <s v="Elizabeth Hayes"/>
        <s v="Kathy Faulkner"/>
        <s v="John Gonzales"/>
        <s v="Shannon Luna"/>
        <s v="Stephanie Burton"/>
        <s v="Kevin Gonzales"/>
        <s v="Dawn Hardy"/>
        <s v="Margaret Perkins"/>
        <s v="Amanda Vargas"/>
        <s v="Tonya Gonzalez"/>
        <s v="Elizabeth Bowman"/>
        <s v="Ariana Pittman"/>
        <s v="Antonio Johnson"/>
        <s v="Justin Lang"/>
        <s v="Kelli Ramirez"/>
        <s v="Deborah Torres"/>
        <s v="Joseph Horn"/>
        <s v="Christopher Robinson"/>
        <s v="Sandra Mccormick"/>
        <s v="Michael Holland"/>
        <s v="Kenneth Stevenson"/>
        <s v="Timothy Bennett"/>
        <s v="Gregory Randall"/>
        <s v="Charles Martinez"/>
        <s v="James Hall"/>
        <s v="Michael Garcia"/>
        <s v="Michele Duran"/>
        <s v="Jessica Gray"/>
        <s v="Keith Shaffer"/>
        <s v="Jessica Decker"/>
        <s v="Brianna Pittman"/>
        <s v="Kimberly Hunter"/>
        <s v="Daniel Martin"/>
        <s v="Rachel Smith"/>
        <s v="Michael Miller"/>
        <s v="Willie Clark"/>
        <s v="Jeremy Hernandez"/>
        <s v="Tina Shelton"/>
        <s v="Dr. Pamela Larson"/>
        <s v="Ryan Ewing"/>
        <s v="Mark Cochran"/>
        <s v="Martha Carson"/>
        <s v="Heather Jackson"/>
        <s v="Megan Young"/>
        <s v="Thomas Davis"/>
        <s v="Thomas Mooney"/>
        <s v="Susan Smith"/>
        <s v="Brianna Orr"/>
        <s v="Dustin Smith"/>
        <s v="Sarah White"/>
        <s v="Michael Davis"/>
        <s v="Jennifer Phillips"/>
        <s v="Dana Sanders"/>
        <s v="Daniel Quinn"/>
        <s v="Matthew Steele"/>
        <s v="Michele Taylor"/>
        <s v="Ashley Hammond"/>
        <s v="Nicole Taylor"/>
        <s v="Casey Bush"/>
        <s v="Samuel Patterson"/>
        <s v="Craig Dennis"/>
        <s v="Heidi Dixon"/>
        <s v="David Bishop"/>
        <s v="Laura Butler"/>
        <s v="Denise Erickson"/>
        <s v="Nicole Austin"/>
        <s v="Summer Williams"/>
        <s v="Angela Blackwell"/>
        <s v="Thomas Wall"/>
        <s v="Sarah Anderson"/>
        <s v="Christian Lane"/>
        <s v="Todd Casey"/>
        <s v="David Martinez"/>
        <s v="Donald Salas"/>
        <s v="Emma Hicks"/>
        <s v="Alison Clark"/>
        <s v="Andrew Barnes"/>
        <s v="Gina Snyder"/>
        <s v="David Watson"/>
        <s v="John Davis"/>
        <s v="Joseph Thomas"/>
        <s v="Dean Finley"/>
        <s v="Ashley Kemp"/>
        <s v="Kenneth Evans"/>
        <s v="Brandon Newman"/>
        <s v="Katie Hensley"/>
        <s v="Joel Randolph"/>
        <s v="Andrew Scott"/>
        <s v="Zachary Ochoa"/>
        <s v="John Arroyo"/>
        <s v="Matthew Fernandez"/>
        <s v="Benjamin Stark"/>
        <s v="Tammy Greer"/>
        <s v="Cynthia Mckinney"/>
        <s v="Wendy Rice"/>
        <s v="Randy Bender"/>
        <s v="Richard Dominguez"/>
        <s v="Melissa Maldonado"/>
        <s v="Leah Harris"/>
        <s v="Lynn French"/>
        <s v="Angela Johnson"/>
        <s v="Sarah Edwards"/>
        <s v="Roy Collins"/>
        <s v="Samantha Porter"/>
        <s v="Juan Elliott"/>
        <s v="Elizabeth Phillips"/>
        <s v="Laura Evans"/>
        <s v="Amanda Mitchell"/>
        <s v="Sandra Williams"/>
        <s v="Eric Johnson"/>
        <s v="Javier Hobbs"/>
        <s v="Jacob Jones"/>
        <s v="Zachary Murphy"/>
        <s v="Joshua Owens"/>
        <s v="Dawn Mitchell"/>
        <s v="Regina Dunn"/>
        <s v="Ernest Cole"/>
        <s v="Hannah Sanders"/>
        <s v="Ellen Bowman"/>
        <s v="Nancy Moore"/>
        <s v="Joseph Wood"/>
        <s v="Michael Harrell"/>
        <s v="Connie Mcclain"/>
        <s v="Matthew Baldwin"/>
        <s v="Danielle Nelson"/>
        <s v="Steven Moore"/>
        <s v="Megan Hudson"/>
        <s v="Tracy White"/>
        <s v="Natalie Diaz"/>
        <s v="Karen Scott"/>
        <s v="Jon Jones"/>
        <s v="Jason Phillips"/>
        <s v="Eric Walsh"/>
        <s v="Carol Schneider"/>
        <s v="Juan Hines"/>
        <s v="Martha Sweeney"/>
        <s v="Jason Weaver"/>
        <s v="Benjamin Stevens"/>
        <s v="Daniel Lopez"/>
        <s v="John Simpson"/>
        <s v="Katrina Schultz"/>
        <s v="Danielle Bell"/>
        <s v="Jason Brady"/>
        <s v="Megan Bright"/>
        <s v="David Griffin"/>
        <s v="Michael Clark"/>
        <s v="Rebecca Barker"/>
        <s v="Angela Smith"/>
        <s v="Christina Wright"/>
        <s v="Todd Turner"/>
        <s v="Elizabeth Green"/>
        <s v="Alex Smith"/>
        <s v="Shane Hale"/>
        <s v="Kathy Grimes"/>
        <s v="David Cherry"/>
        <s v="Rachel Rogers"/>
        <s v="Travis Braun"/>
        <s v="Shawna Palmer"/>
        <s v="Bradley Gaines"/>
        <s v="April Ford"/>
        <s v="James Gonzalez"/>
        <s v="John Castillo"/>
        <s v="Ian Hayes"/>
        <s v="Christine Castro"/>
        <s v="Jessica Chaney"/>
        <s v="John Gray"/>
        <s v="Shane Booker"/>
        <s v="Kyle Hall"/>
        <s v="Ronald Munoz"/>
        <s v="Christopher Long"/>
        <s v="Sandra Ali"/>
        <s v="Jessica Garza"/>
        <s v="Gregory Waters"/>
        <s v="Misty Adams"/>
        <s v="Megan Brown"/>
        <s v="Gregory Brown"/>
        <s v="Scott Alexander Md"/>
        <s v="Eric Nguyen"/>
        <s v="Wendy Boyer"/>
        <s v="Mark Clark"/>
        <s v="Carl Kline"/>
        <s v="Linda Williams"/>
        <s v="Jason Edwards"/>
        <s v="Madison Mcintosh"/>
        <s v="Desiree Winters"/>
        <s v="Ryan Taylor"/>
        <s v="Patricia Scott"/>
        <s v="Erin Jimenez"/>
        <s v="Anthony Krause"/>
        <s v="Diane Dean"/>
        <s v="Stuart Mckinney"/>
        <s v="Kellie Le"/>
        <s v="Lauren Henry"/>
        <s v="Brandon Fox"/>
        <s v="Richard Smith"/>
        <s v="John White"/>
        <s v="Gilbert Mcintyre"/>
        <s v="Christopher Sparks"/>
        <s v="Aaron Hicks"/>
        <s v="Jose Patterson"/>
        <s v="Bryan Long"/>
        <s v="Tammy Gomez"/>
        <s v="Diana Raymond"/>
        <s v="Jessica Armstrong"/>
        <s v="Amanda Martin"/>
        <s v="Anne Hamilton"/>
        <s v="Heather Curtis"/>
        <s v="Tiffany Moses"/>
        <s v="Jacqueline Moon"/>
        <s v="James Campbell"/>
        <s v="Melissa Vasquez"/>
        <s v="Katherine Carlson"/>
        <s v="Adam Clay"/>
        <s v="Amy Combs"/>
        <s v="Anthony Case"/>
        <s v="Kimberly Brown"/>
        <s v="Joshua Holloway"/>
        <s v="Cynthia Walton"/>
        <s v="Shawn Delgado"/>
        <s v="Jeremy Smith"/>
        <s v="Marc Ortiz"/>
        <s v="Michelle Gregory"/>
        <s v="Melanie Gay"/>
        <s v="Brittany Lambert"/>
        <s v="Mary Hernandez"/>
        <s v="Jonathan Jones"/>
        <s v="Gina Williams"/>
        <s v="Kelly Lawson"/>
        <s v="Keith Smith"/>
        <s v="Christopher Hunter"/>
        <s v="Dwayne Parks"/>
        <s v="Mary Hall"/>
        <s v="Jake Gilmore"/>
        <s v="Mark Lopez"/>
        <s v="Dana Rice"/>
        <s v="Beth Young"/>
        <s v="Ryan Powell"/>
        <s v="Amanda Fowler"/>
        <s v="Lindsay Rivera"/>
        <s v="Mark Ward"/>
        <s v="Amanda Smith"/>
        <s v="Emily Brown"/>
        <s v="Dwayne Cardenas"/>
        <s v="Dr. Rhonda Hernandez"/>
        <s v="Melody Barker"/>
        <s v="Russell Carpenter"/>
        <s v="Richard Hill"/>
        <s v="Lindsay Potts"/>
        <s v="Michelle Campbell"/>
        <s v="Alan Williams"/>
        <s v="Robin Hinton"/>
        <s v="Brian Holland"/>
        <s v="Adam Stone"/>
        <s v="Curtis Lambert"/>
        <s v="Alexandra Sims"/>
        <s v="Brenda Spencer"/>
        <s v="Joshua Bush"/>
        <s v="Erin Martin"/>
        <s v="Alexander Hogan"/>
        <s v="William Harris"/>
        <s v="Michael Mcmahon"/>
        <s v="Michael Watson"/>
        <s v="Lori Perez"/>
        <s v="Lindsay Le"/>
        <s v="Scott Long"/>
        <s v="Diana Ferguson"/>
        <s v="Joseph Miller"/>
        <s v="Julia Reid"/>
        <s v="Samantha Matthews"/>
        <s v="Brian Bailey"/>
        <s v="Toni Hinton"/>
        <s v="Robin Ortiz"/>
        <s v="Adam Griffith"/>
        <s v="Daniel Roberson"/>
        <s v="Dale Haynes"/>
        <s v="Emily Scott"/>
        <s v="David Brown"/>
        <s v="Stephanie Guzman"/>
        <s v="Maxwell Johnson"/>
        <s v="Reginald Stephens"/>
        <s v="Justin Jones"/>
        <s v="Kristine Garcia"/>
        <s v="John Nguyen"/>
        <s v="Anna Fleming"/>
        <s v="Linda Williamson"/>
        <s v="Roy Wilson"/>
        <s v="Jennifer Pierce"/>
        <s v="Jason Johnson"/>
        <s v="Jasmine Lane"/>
        <s v="Evan Soto"/>
        <s v="Kevin Serrano"/>
        <s v="Nathaniel Benson"/>
        <s v="Deanna Miles"/>
        <s v="Beverly Roy"/>
        <s v="Heather Saunders"/>
        <s v="Nicholas Guerrero"/>
        <s v="Christopher Johnson"/>
        <s v="Steven Flowers"/>
        <s v="Marvin Woods Iii"/>
        <s v="Michelle Cook"/>
        <s v="Logan Zamora"/>
        <s v="Casey Roberts"/>
        <s v="Jerry Price"/>
        <s v="Kelly Ellis"/>
        <s v="Caleb Guerra"/>
        <s v="Samantha Norman"/>
        <s v="Sarah Clarke"/>
        <s v="Aaron Blair"/>
        <s v="Courtney Burton"/>
        <s v="Gerald Taylor"/>
        <s v="Mary Ward"/>
        <s v="Mrs. Lisa Beard Dvm"/>
        <s v="Larry Wallace"/>
        <s v="Jeremiah Thompson"/>
        <s v="Mrs. Jessica Williams Dvm"/>
        <s v="Martin Moreno"/>
        <s v="Yolanda Proctor"/>
        <s v="Allen Turner"/>
        <s v="Beth Huff"/>
        <s v="John Mckinney"/>
        <s v="Lindsey Wang"/>
        <s v="Margaret Schwartz"/>
        <s v="Kyle Ray"/>
        <s v="Isaac Hebert"/>
        <s v="Michele Jones"/>
        <s v="Austin Allen"/>
        <s v="Haley Castro"/>
        <s v="David Armstrong"/>
        <s v="Wendy Mitchell"/>
        <s v="Anthony Hernandez"/>
        <s v="Erica Johnson"/>
        <s v="Randall Barrett"/>
        <s v="Nathan Huff"/>
        <s v="Robin Walsh"/>
        <s v="Yvonne Robinson"/>
        <s v="Kathleen Hendrix"/>
        <s v="Jennifer Baker"/>
        <s v="Kim Martinez"/>
        <s v="Andrew Little"/>
        <s v="Kelly Shelton"/>
        <s v="Steven Duncan"/>
        <s v="Kristen Haney"/>
        <s v="Kathy Reese"/>
        <s v="Steven Murphy"/>
        <s v="William Hartman"/>
        <s v="Sonya Haley"/>
        <s v="Patricia Richardson"/>
        <s v="Carolyn Lopez"/>
        <s v="Kyle Burns"/>
        <s v="Margaret Garcia"/>
        <s v="Brittany Barker"/>
        <s v="Paul Campbell"/>
        <s v="Amy Morrow"/>
        <s v="Amy Fitzgerald"/>
        <s v="Anita Becker"/>
        <s v="Mrs. Amy Brooks"/>
        <s v="Lori Marshall"/>
        <s v="Jennifer Miller"/>
        <s v="Thomas Young"/>
        <s v="Zachary Larsen"/>
        <s v="Valerie Gutierrez"/>
        <s v="Daniel Parker"/>
        <s v="Nicole Bennett"/>
        <s v="Lauren Lowery"/>
        <s v="Alexander Woodward"/>
        <s v="Anthony Walter"/>
        <s v="Valerie Finley"/>
        <s v="Deborah Kelley"/>
        <s v="Kristina Miller"/>
        <s v="Anne Hampton"/>
        <s v="Sandra Henry"/>
        <s v="Tony Hester"/>
        <s v="Nathan Davis"/>
        <s v="Erica Jackson"/>
        <s v="Nancy Glover"/>
        <s v="Richard Sanchez"/>
        <s v="Savannah Reid"/>
        <s v="Robert Salazar"/>
        <s v="Hector Greer"/>
        <s v="Thomas Jackson"/>
        <s v="Tina Clark"/>
        <s v="Heather Brown"/>
        <s v="John Weaver"/>
        <s v="Bradley Harris"/>
        <s v="Cassandra Macdonald"/>
        <s v="Matthew White"/>
        <s v="Miss Kimberly Marshall"/>
        <s v="Laura Thompson"/>
        <s v="Nathan Soto"/>
        <s v="Rhonda Hines"/>
        <s v="Gabrielle Bowman"/>
        <s v="Julian Edwards"/>
        <s v="Nicholas Scott"/>
        <s v="Daniel Green"/>
        <s v="Catherine Johnston"/>
        <s v="Brenda Koch"/>
        <s v="Mr. Robert Meza"/>
        <s v="Latoya Brown"/>
        <s v="David Osborne Iii"/>
        <s v="David Hooper"/>
        <s v="Sarah Miller"/>
        <s v="Lisa Werner Md"/>
        <s v="Eric Jimenez"/>
        <s v="Jay Bush"/>
        <s v="Johnny Rice"/>
        <s v="Matthew Strong"/>
        <s v="Mark Chandler"/>
        <s v="Crystal Brown"/>
        <s v="Timothy Barton"/>
        <s v="Lisa Hickman"/>
        <s v="Alan Mendoza"/>
        <s v="Jason Sanders"/>
        <s v="Charles Dean"/>
        <s v="Blake Newton"/>
        <s v="David Gonzalez"/>
        <s v="Cindy Williams"/>
        <s v="Laura Wong Dds"/>
        <s v="Robert Moran"/>
        <s v="Bradley Wu"/>
        <s v="Daniel Thomas"/>
        <s v="Michelle Peterson"/>
        <s v="Seth Thomas"/>
        <s v="Evan Ramos"/>
        <s v="Michelle Solis"/>
        <s v="Charlotte Taylor"/>
        <s v="Sandra Preston"/>
        <s v="Jim Weiss"/>
        <s v="Jennifer Hinton"/>
        <s v="Albert Wilcox"/>
        <s v="Cheryl Norris"/>
        <s v="Kathy Watkins"/>
        <s v="John Obrien"/>
        <s v="Dawn Green"/>
      </sharedItems>
    </cacheField>
    <cacheField name="Gender" numFmtId="0">
      <sharedItems count="2">
        <s v="Female"/>
        <s v="Male"/>
      </sharedItems>
    </cacheField>
    <cacheField name="Age" numFmtId="0">
      <sharedItems containsSemiMixedTypes="0" containsString="0" containsNumber="1" containsInteger="1" minValue="20" maxValue="60"/>
    </cacheField>
    <cacheField name="Country" numFmtId="0">
      <sharedItems count="21">
        <s v="Italy"/>
        <s v="Australia"/>
        <s v="Germany"/>
        <s v="Netherlands"/>
        <s v="Indonesia"/>
        <s v="United States"/>
        <s v="Turkey"/>
        <s v="United Kingdom"/>
        <s v="Argentina"/>
        <s v="Japan"/>
        <s v="India"/>
        <s v="Brazil"/>
        <s v="South Korea"/>
        <s v="Russia"/>
        <s v="Canada"/>
        <s v="France"/>
        <s v="Egypt"/>
        <s v="South Africa"/>
        <s v="China"/>
        <s v="Mexico"/>
        <s v="Spain"/>
      </sharedItems>
    </cacheField>
    <cacheField name="Language" numFmtId="0">
      <sharedItems count="16">
        <s v="Italian"/>
        <s v="English"/>
        <s v="German"/>
        <s v="Dutch"/>
        <s v="Indonesian"/>
        <s v="Turkish"/>
        <s v="Spanish"/>
        <s v="Japanese"/>
        <s v="Hindi"/>
        <s v="Portuguese"/>
        <s v="Korean"/>
        <s v="Russian"/>
        <s v="French"/>
        <s v="Arabic"/>
        <s v="Afrikaans"/>
        <s v="Mandarin"/>
      </sharedItems>
    </cacheField>
    <cacheField name="Primary skill" numFmtId="0">
      <sharedItems count="10">
        <s v="Blockchain Development"/>
        <s v="Mobile Apps"/>
        <s v="Graphic Design"/>
        <s v="Web Development"/>
        <s v="AI"/>
        <s v="Data Analysis"/>
        <s v="UI/UX Design"/>
        <s v="Cybersecurity"/>
        <s v="DevOps"/>
        <s v="Machine Learning"/>
      </sharedItems>
    </cacheField>
    <cacheField name="Years of experience" numFmtId="0">
      <sharedItems containsSemiMixedTypes="0" containsString="0" containsNumber="1" containsInteger="1" minValue="1" maxValue="41"/>
    </cacheField>
    <cacheField name="Hourly rate (USD)" numFmtId="166">
      <sharedItems containsMixedTypes="1" containsNumber="1" containsInteger="1" minValue="20" maxValue="100"/>
    </cacheField>
    <cacheField name="Rating" numFmtId="0">
      <sharedItems containsSemiMixedTypes="0" containsString="0" containsNumber="1" minValue="0" maxValue="5"/>
    </cacheField>
    <cacheField name="Active" numFmtId="0">
      <sharedItems containsSemiMixedTypes="0" containsString="0" containsNumber="1" containsInteger="1" minValue="0" maxValue="1"/>
    </cacheField>
    <cacheField name="Client satisfaction" numFmtId="9">
      <sharedItems containsSemiMixedTypes="0" containsString="0" containsNumber="1" minValue="0.01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s v="FL250001"/>
    <x v="0"/>
    <x v="0"/>
    <n v="52"/>
    <x v="0"/>
    <x v="0"/>
    <x v="0"/>
    <n v="11"/>
    <n v="100"/>
    <n v="3"/>
    <n v="0"/>
    <n v="0.16"/>
  </r>
  <r>
    <s v="FL250002"/>
    <x v="1"/>
    <x v="0"/>
    <n v="52"/>
    <x v="1"/>
    <x v="1"/>
    <x v="1"/>
    <n v="34"/>
    <s v="$ 100"/>
    <n v="3.3"/>
    <n v="1"/>
    <n v="0.84"/>
  </r>
  <r>
    <s v="FL250003"/>
    <x v="2"/>
    <x v="1"/>
    <n v="53"/>
    <x v="2"/>
    <x v="2"/>
    <x v="2"/>
    <n v="31"/>
    <n v="50"/>
    <n v="0"/>
    <n v="0"/>
    <n v="0.71"/>
  </r>
  <r>
    <s v="FL250004"/>
    <x v="3"/>
    <x v="0"/>
    <n v="38"/>
    <x v="1"/>
    <x v="1"/>
    <x v="3"/>
    <n v="4"/>
    <n v="40"/>
    <n v="1.5"/>
    <n v="0"/>
    <n v="0.9"/>
  </r>
  <r>
    <s v="FL250005"/>
    <x v="4"/>
    <x v="0"/>
    <n v="53"/>
    <x v="2"/>
    <x v="2"/>
    <x v="3"/>
    <n v="27"/>
    <n v="30"/>
    <n v="4.8"/>
    <n v="0"/>
    <n v="0.83"/>
  </r>
  <r>
    <s v="FL250006"/>
    <x v="5"/>
    <x v="0"/>
    <n v="59"/>
    <x v="3"/>
    <x v="3"/>
    <x v="4"/>
    <n v="14"/>
    <n v="30"/>
    <n v="2.4"/>
    <n v="0"/>
    <n v="0.16"/>
  </r>
  <r>
    <s v="FL250007"/>
    <x v="6"/>
    <x v="1"/>
    <n v="52"/>
    <x v="4"/>
    <x v="4"/>
    <x v="5"/>
    <n v="10"/>
    <s v="$ 75"/>
    <n v="3.1"/>
    <n v="0"/>
    <n v="0.94"/>
  </r>
  <r>
    <s v="FL250008"/>
    <x v="7"/>
    <x v="1"/>
    <n v="43"/>
    <x v="0"/>
    <x v="0"/>
    <x v="0"/>
    <n v="14"/>
    <s v="$ 40"/>
    <n v="4.5999999999999996"/>
    <n v="0"/>
    <n v="0.94"/>
  </r>
  <r>
    <s v="FL250009"/>
    <x v="8"/>
    <x v="1"/>
    <n v="26"/>
    <x v="5"/>
    <x v="1"/>
    <x v="0"/>
    <n v="4"/>
    <n v="40"/>
    <n v="4"/>
    <n v="1"/>
    <n v="0.76"/>
  </r>
  <r>
    <s v="FL250010"/>
    <x v="9"/>
    <x v="1"/>
    <n v="52"/>
    <x v="6"/>
    <x v="5"/>
    <x v="4"/>
    <n v="22"/>
    <n v="50"/>
    <n v="3"/>
    <n v="1"/>
    <n v="0.16"/>
  </r>
  <r>
    <s v="FL250011"/>
    <x v="10"/>
    <x v="1"/>
    <n v="40"/>
    <x v="7"/>
    <x v="1"/>
    <x v="5"/>
    <n v="17"/>
    <n v="40"/>
    <n v="3.6"/>
    <n v="1"/>
    <n v="0.77"/>
  </r>
  <r>
    <s v="FL250012"/>
    <x v="11"/>
    <x v="0"/>
    <n v="55"/>
    <x v="8"/>
    <x v="6"/>
    <x v="6"/>
    <n v="15"/>
    <n v="40"/>
    <n v="3"/>
    <n v="1"/>
    <n v="0.86"/>
  </r>
  <r>
    <s v="FL250013"/>
    <x v="12"/>
    <x v="0"/>
    <n v="57"/>
    <x v="7"/>
    <x v="1"/>
    <x v="7"/>
    <n v="18"/>
    <n v="40"/>
    <n v="2"/>
    <n v="0"/>
    <n v="0.86"/>
  </r>
  <r>
    <s v="FL250014"/>
    <x v="13"/>
    <x v="1"/>
    <n v="38"/>
    <x v="8"/>
    <x v="6"/>
    <x v="2"/>
    <n v="20"/>
    <s v="$ 75"/>
    <n v="2.9"/>
    <n v="1"/>
    <n v="0.93"/>
  </r>
  <r>
    <s v="FL250015"/>
    <x v="14"/>
    <x v="1"/>
    <n v="50"/>
    <x v="2"/>
    <x v="2"/>
    <x v="5"/>
    <n v="22"/>
    <n v="75"/>
    <n v="3.7"/>
    <n v="1"/>
    <n v="0.7"/>
  </r>
  <r>
    <s v="FL250016"/>
    <x v="15"/>
    <x v="1"/>
    <n v="42"/>
    <x v="9"/>
    <x v="7"/>
    <x v="5"/>
    <n v="11"/>
    <n v="30"/>
    <n v="1.2"/>
    <n v="0"/>
    <n v="0.69"/>
  </r>
  <r>
    <s v="FL250017"/>
    <x v="16"/>
    <x v="0"/>
    <n v="39"/>
    <x v="1"/>
    <x v="1"/>
    <x v="8"/>
    <n v="13"/>
    <n v="30"/>
    <n v="2.5"/>
    <n v="0"/>
    <n v="0.6"/>
  </r>
  <r>
    <s v="FL250018"/>
    <x v="17"/>
    <x v="1"/>
    <n v="56"/>
    <x v="10"/>
    <x v="8"/>
    <x v="0"/>
    <n v="11"/>
    <n v="40"/>
    <n v="3"/>
    <n v="1"/>
    <n v="0.87"/>
  </r>
  <r>
    <s v="FL250019"/>
    <x v="18"/>
    <x v="1"/>
    <n v="56"/>
    <x v="5"/>
    <x v="1"/>
    <x v="6"/>
    <n v="31"/>
    <s v="$ 50"/>
    <n v="1.1000000000000001"/>
    <n v="0"/>
    <n v="0.75"/>
  </r>
  <r>
    <s v="FL250020"/>
    <x v="19"/>
    <x v="1"/>
    <n v="57"/>
    <x v="0"/>
    <x v="0"/>
    <x v="3"/>
    <n v="3"/>
    <s v="$ 100"/>
    <n v="1.8"/>
    <n v="1"/>
    <n v="0.68"/>
  </r>
  <r>
    <s v="FL250021"/>
    <x v="20"/>
    <x v="1"/>
    <n v="41"/>
    <x v="4"/>
    <x v="4"/>
    <x v="4"/>
    <n v="9"/>
    <n v="50"/>
    <n v="1.8"/>
    <n v="0"/>
    <n v="0.65"/>
  </r>
  <r>
    <s v="FL250022"/>
    <x v="21"/>
    <x v="1"/>
    <n v="51"/>
    <x v="9"/>
    <x v="7"/>
    <x v="8"/>
    <n v="11"/>
    <n v="40"/>
    <n v="2.4"/>
    <n v="0"/>
    <n v="0.69"/>
  </r>
  <r>
    <s v="FL250023"/>
    <x v="22"/>
    <x v="1"/>
    <n v="51"/>
    <x v="11"/>
    <x v="9"/>
    <x v="7"/>
    <n v="21"/>
    <s v="$ 30"/>
    <n v="4.7"/>
    <n v="0"/>
    <n v="0.16"/>
  </r>
  <r>
    <s v="FL250024"/>
    <x v="23"/>
    <x v="0"/>
    <n v="51"/>
    <x v="12"/>
    <x v="10"/>
    <x v="9"/>
    <n v="15"/>
    <n v="50"/>
    <n v="1.3"/>
    <n v="1"/>
    <n v="0.01"/>
  </r>
  <r>
    <s v="FL250025"/>
    <x v="24"/>
    <x v="0"/>
    <n v="54"/>
    <x v="4"/>
    <x v="4"/>
    <x v="9"/>
    <n v="13"/>
    <n v="75"/>
    <n v="2.9"/>
    <n v="1"/>
    <n v="0.92"/>
  </r>
  <r>
    <s v="FL250026"/>
    <x v="25"/>
    <x v="0"/>
    <n v="22"/>
    <x v="12"/>
    <x v="10"/>
    <x v="8"/>
    <n v="11"/>
    <s v="$ 30"/>
    <n v="1.2"/>
    <n v="1"/>
    <n v="0.7"/>
  </r>
  <r>
    <s v="FL250027"/>
    <x v="26"/>
    <x v="0"/>
    <n v="34"/>
    <x v="9"/>
    <x v="7"/>
    <x v="0"/>
    <n v="8"/>
    <n v="20"/>
    <n v="0"/>
    <n v="1"/>
    <n v="0.89"/>
  </r>
  <r>
    <s v="FL250028"/>
    <x v="27"/>
    <x v="0"/>
    <n v="36"/>
    <x v="13"/>
    <x v="11"/>
    <x v="2"/>
    <n v="11"/>
    <n v="40"/>
    <n v="1.8"/>
    <n v="1"/>
    <n v="0.86"/>
  </r>
  <r>
    <s v="FL250029"/>
    <x v="28"/>
    <x v="0"/>
    <n v="47"/>
    <x v="14"/>
    <x v="1"/>
    <x v="4"/>
    <n v="22"/>
    <n v="30"/>
    <n v="1.3"/>
    <n v="0"/>
    <n v="0.62"/>
  </r>
  <r>
    <s v="FL250030"/>
    <x v="29"/>
    <x v="0"/>
    <n v="41"/>
    <x v="3"/>
    <x v="3"/>
    <x v="5"/>
    <n v="14"/>
    <s v="$ 75"/>
    <n v="1.2"/>
    <n v="0"/>
    <n v="0.16"/>
  </r>
  <r>
    <s v="FL250031"/>
    <x v="30"/>
    <x v="1"/>
    <n v="22"/>
    <x v="3"/>
    <x v="3"/>
    <x v="8"/>
    <n v="4"/>
    <n v="40"/>
    <n v="1"/>
    <n v="1"/>
    <n v="0.16"/>
  </r>
  <r>
    <s v="FL250032"/>
    <x v="31"/>
    <x v="1"/>
    <n v="38"/>
    <x v="15"/>
    <x v="12"/>
    <x v="9"/>
    <n v="19"/>
    <s v="$ 100"/>
    <n v="4.2"/>
    <n v="0"/>
    <n v="0.68"/>
  </r>
  <r>
    <s v="FL250033"/>
    <x v="32"/>
    <x v="1"/>
    <n v="46"/>
    <x v="16"/>
    <x v="13"/>
    <x v="4"/>
    <n v="9"/>
    <n v="20"/>
    <n v="1.4"/>
    <n v="1"/>
    <n v="0.76"/>
  </r>
  <r>
    <s v="FL250034"/>
    <x v="33"/>
    <x v="1"/>
    <n v="41"/>
    <x v="12"/>
    <x v="10"/>
    <x v="4"/>
    <n v="9"/>
    <n v="40"/>
    <n v="2.4"/>
    <n v="1"/>
    <n v="0.82"/>
  </r>
  <r>
    <s v="FL250035"/>
    <x v="34"/>
    <x v="0"/>
    <n v="54"/>
    <x v="5"/>
    <x v="1"/>
    <x v="3"/>
    <n v="32"/>
    <n v="75"/>
    <n v="1"/>
    <n v="1"/>
    <n v="0.81"/>
  </r>
  <r>
    <s v="FL250036"/>
    <x v="35"/>
    <x v="0"/>
    <n v="52"/>
    <x v="12"/>
    <x v="10"/>
    <x v="3"/>
    <n v="28"/>
    <n v="20"/>
    <n v="3"/>
    <n v="0"/>
    <n v="0.16"/>
  </r>
  <r>
    <s v="FL250037"/>
    <x v="36"/>
    <x v="0"/>
    <n v="42"/>
    <x v="9"/>
    <x v="7"/>
    <x v="1"/>
    <n v="6"/>
    <n v="40"/>
    <n v="3"/>
    <n v="0"/>
    <n v="0.63"/>
  </r>
  <r>
    <s v="FL250038"/>
    <x v="37"/>
    <x v="0"/>
    <n v="29"/>
    <x v="3"/>
    <x v="3"/>
    <x v="2"/>
    <n v="10"/>
    <n v="40"/>
    <n v="2.2000000000000002"/>
    <n v="0"/>
    <n v="0.67"/>
  </r>
  <r>
    <s v="FL250039"/>
    <x v="38"/>
    <x v="0"/>
    <n v="42"/>
    <x v="17"/>
    <x v="14"/>
    <x v="1"/>
    <n v="23"/>
    <n v="50"/>
    <n v="3.2"/>
    <n v="1"/>
    <n v="0.16"/>
  </r>
  <r>
    <s v="FL250040"/>
    <x v="39"/>
    <x v="1"/>
    <n v="60"/>
    <x v="9"/>
    <x v="7"/>
    <x v="3"/>
    <n v="13"/>
    <n v="20"/>
    <n v="3.6"/>
    <n v="0"/>
    <n v="0.8"/>
  </r>
  <r>
    <s v="FL250041"/>
    <x v="40"/>
    <x v="0"/>
    <n v="59"/>
    <x v="7"/>
    <x v="1"/>
    <x v="4"/>
    <n v="3"/>
    <s v="$ 50"/>
    <n v="0"/>
    <n v="1"/>
    <n v="0.16"/>
  </r>
  <r>
    <s v="FL250042"/>
    <x v="41"/>
    <x v="0"/>
    <n v="21"/>
    <x v="14"/>
    <x v="1"/>
    <x v="3"/>
    <n v="11"/>
    <n v="30"/>
    <n v="2.7"/>
    <n v="1"/>
    <n v="0.84"/>
  </r>
  <r>
    <s v="FL250043"/>
    <x v="42"/>
    <x v="0"/>
    <n v="35"/>
    <x v="2"/>
    <x v="2"/>
    <x v="8"/>
    <n v="10"/>
    <n v="50"/>
    <n v="0"/>
    <n v="1"/>
    <n v="0.16"/>
  </r>
  <r>
    <s v="FL250044"/>
    <x v="43"/>
    <x v="1"/>
    <n v="41"/>
    <x v="7"/>
    <x v="1"/>
    <x v="5"/>
    <n v="11"/>
    <n v="20"/>
    <n v="2.8"/>
    <n v="1"/>
    <n v="0.63"/>
  </r>
  <r>
    <s v="FL250045"/>
    <x v="44"/>
    <x v="0"/>
    <n v="51"/>
    <x v="3"/>
    <x v="3"/>
    <x v="9"/>
    <n v="23"/>
    <n v="20"/>
    <n v="2.5"/>
    <n v="0"/>
    <n v="0.8"/>
  </r>
  <r>
    <s v="FL250046"/>
    <x v="45"/>
    <x v="1"/>
    <n v="41"/>
    <x v="17"/>
    <x v="14"/>
    <x v="3"/>
    <n v="9"/>
    <n v="75"/>
    <n v="4.9000000000000004"/>
    <n v="1"/>
    <n v="0.74"/>
  </r>
  <r>
    <s v="FL250047"/>
    <x v="46"/>
    <x v="0"/>
    <n v="47"/>
    <x v="16"/>
    <x v="13"/>
    <x v="8"/>
    <n v="15"/>
    <s v="$ 30"/>
    <n v="4.5"/>
    <n v="1"/>
    <n v="0.85"/>
  </r>
  <r>
    <s v="FL250048"/>
    <x v="47"/>
    <x v="1"/>
    <n v="25"/>
    <x v="18"/>
    <x v="15"/>
    <x v="2"/>
    <n v="4"/>
    <n v="50"/>
    <n v="2.7"/>
    <n v="0"/>
    <n v="0.77"/>
  </r>
  <r>
    <s v="FL250049"/>
    <x v="48"/>
    <x v="0"/>
    <n v="25"/>
    <x v="19"/>
    <x v="6"/>
    <x v="1"/>
    <n v="7"/>
    <n v="20"/>
    <n v="1.9"/>
    <n v="0"/>
    <n v="0.16"/>
  </r>
  <r>
    <s v="FL250050"/>
    <x v="49"/>
    <x v="1"/>
    <n v="29"/>
    <x v="3"/>
    <x v="3"/>
    <x v="6"/>
    <n v="1"/>
    <n v="20"/>
    <n v="1.4"/>
    <n v="1"/>
    <n v="0.63"/>
  </r>
  <r>
    <s v="FL250051"/>
    <x v="50"/>
    <x v="0"/>
    <n v="23"/>
    <x v="8"/>
    <x v="6"/>
    <x v="7"/>
    <n v="11"/>
    <n v="75"/>
    <n v="1.9"/>
    <n v="1"/>
    <n v="0.79"/>
  </r>
  <r>
    <s v="FL250052"/>
    <x v="51"/>
    <x v="1"/>
    <n v="31"/>
    <x v="15"/>
    <x v="12"/>
    <x v="5"/>
    <n v="8"/>
    <n v="50"/>
    <n v="3.4"/>
    <n v="0"/>
    <n v="0.16"/>
  </r>
  <r>
    <s v="FL250053"/>
    <x v="52"/>
    <x v="1"/>
    <n v="51"/>
    <x v="2"/>
    <x v="2"/>
    <x v="9"/>
    <n v="33"/>
    <n v="75"/>
    <n v="3.3"/>
    <n v="1"/>
    <n v="0.68"/>
  </r>
  <r>
    <s v="FL250054"/>
    <x v="53"/>
    <x v="1"/>
    <n v="41"/>
    <x v="20"/>
    <x v="6"/>
    <x v="6"/>
    <n v="1"/>
    <n v="30"/>
    <n v="0"/>
    <n v="0"/>
    <n v="0.68"/>
  </r>
  <r>
    <s v="FL250055"/>
    <x v="54"/>
    <x v="0"/>
    <n v="29"/>
    <x v="6"/>
    <x v="5"/>
    <x v="7"/>
    <n v="11"/>
    <n v="100"/>
    <n v="2.2999999999999998"/>
    <n v="1"/>
    <n v="0.72"/>
  </r>
  <r>
    <s v="FL250056"/>
    <x v="55"/>
    <x v="1"/>
    <n v="50"/>
    <x v="7"/>
    <x v="1"/>
    <x v="4"/>
    <n v="15"/>
    <n v="40"/>
    <n v="2"/>
    <n v="1"/>
    <n v="0.65"/>
  </r>
  <r>
    <s v="FL250057"/>
    <x v="56"/>
    <x v="0"/>
    <n v="26"/>
    <x v="7"/>
    <x v="1"/>
    <x v="8"/>
    <n v="8"/>
    <n v="50"/>
    <n v="1.3"/>
    <n v="0"/>
    <n v="0.76"/>
  </r>
  <r>
    <s v="FL250058"/>
    <x v="57"/>
    <x v="1"/>
    <n v="38"/>
    <x v="14"/>
    <x v="1"/>
    <x v="4"/>
    <n v="17"/>
    <s v="$ 40"/>
    <n v="4"/>
    <n v="1"/>
    <n v="0.9"/>
  </r>
  <r>
    <s v="FL250059"/>
    <x v="58"/>
    <x v="0"/>
    <n v="23"/>
    <x v="10"/>
    <x v="8"/>
    <x v="1"/>
    <n v="11"/>
    <n v="75"/>
    <n v="3.6"/>
    <n v="1"/>
    <n v="0.65"/>
  </r>
  <r>
    <s v="FL250060"/>
    <x v="59"/>
    <x v="0"/>
    <n v="51"/>
    <x v="17"/>
    <x v="14"/>
    <x v="8"/>
    <n v="28"/>
    <n v="40"/>
    <n v="3.9"/>
    <n v="0"/>
    <n v="0.63"/>
  </r>
  <r>
    <s v="FL250061"/>
    <x v="60"/>
    <x v="0"/>
    <n v="51"/>
    <x v="4"/>
    <x v="4"/>
    <x v="4"/>
    <n v="33"/>
    <n v="75"/>
    <n v="0"/>
    <n v="1"/>
    <n v="0.16"/>
  </r>
  <r>
    <s v="FL250062"/>
    <x v="61"/>
    <x v="1"/>
    <n v="47"/>
    <x v="2"/>
    <x v="2"/>
    <x v="4"/>
    <n v="18"/>
    <n v="75"/>
    <n v="0"/>
    <n v="0"/>
    <n v="0.16"/>
  </r>
  <r>
    <s v="FL250063"/>
    <x v="62"/>
    <x v="0"/>
    <n v="34"/>
    <x v="13"/>
    <x v="11"/>
    <x v="6"/>
    <n v="16"/>
    <n v="20"/>
    <n v="2.2999999999999998"/>
    <n v="1"/>
    <n v="0.93"/>
  </r>
  <r>
    <s v="FL250064"/>
    <x v="63"/>
    <x v="0"/>
    <n v="58"/>
    <x v="4"/>
    <x v="4"/>
    <x v="5"/>
    <n v="35"/>
    <s v="$ 50"/>
    <n v="4.7"/>
    <n v="1"/>
    <n v="0.7"/>
  </r>
  <r>
    <s v="FL250065"/>
    <x v="64"/>
    <x v="0"/>
    <n v="50"/>
    <x v="13"/>
    <x v="11"/>
    <x v="4"/>
    <n v="14"/>
    <n v="40"/>
    <n v="3.5"/>
    <n v="1"/>
    <n v="0.83"/>
  </r>
  <r>
    <s v="FL250066"/>
    <x v="65"/>
    <x v="0"/>
    <n v="34"/>
    <x v="20"/>
    <x v="6"/>
    <x v="3"/>
    <n v="12"/>
    <n v="40"/>
    <n v="2.4"/>
    <n v="1"/>
    <n v="0.64"/>
  </r>
  <r>
    <s v="FL250067"/>
    <x v="66"/>
    <x v="0"/>
    <n v="45"/>
    <x v="11"/>
    <x v="9"/>
    <x v="4"/>
    <n v="11"/>
    <s v="$ 75"/>
    <n v="4"/>
    <n v="0"/>
    <n v="0.01"/>
  </r>
  <r>
    <s v="FL250068"/>
    <x v="67"/>
    <x v="0"/>
    <n v="55"/>
    <x v="11"/>
    <x v="9"/>
    <x v="3"/>
    <n v="11"/>
    <n v="40"/>
    <n v="0"/>
    <n v="1"/>
    <n v="0.16"/>
  </r>
  <r>
    <s v="FL250069"/>
    <x v="68"/>
    <x v="1"/>
    <n v="41"/>
    <x v="8"/>
    <x v="6"/>
    <x v="6"/>
    <n v="6"/>
    <n v="100"/>
    <n v="1.5"/>
    <n v="0"/>
    <n v="0.16"/>
  </r>
  <r>
    <s v="FL250070"/>
    <x v="69"/>
    <x v="0"/>
    <n v="60"/>
    <x v="18"/>
    <x v="15"/>
    <x v="6"/>
    <n v="38"/>
    <n v="20"/>
    <n v="2"/>
    <n v="1"/>
    <n v="0.71"/>
  </r>
  <r>
    <s v="FL250071"/>
    <x v="70"/>
    <x v="0"/>
    <n v="33"/>
    <x v="17"/>
    <x v="14"/>
    <x v="1"/>
    <n v="11"/>
    <n v="40"/>
    <n v="3"/>
    <n v="1"/>
    <n v="0.84"/>
  </r>
  <r>
    <s v="FL250072"/>
    <x v="71"/>
    <x v="1"/>
    <n v="60"/>
    <x v="0"/>
    <x v="0"/>
    <x v="8"/>
    <n v="13"/>
    <s v="$ 50"/>
    <n v="1"/>
    <n v="0"/>
    <n v="0.16"/>
  </r>
  <r>
    <s v="FL250073"/>
    <x v="72"/>
    <x v="1"/>
    <n v="40"/>
    <x v="5"/>
    <x v="1"/>
    <x v="3"/>
    <n v="9"/>
    <n v="100"/>
    <n v="4.5"/>
    <n v="1"/>
    <n v="0.69"/>
  </r>
  <r>
    <s v="FL250074"/>
    <x v="73"/>
    <x v="1"/>
    <n v="59"/>
    <x v="1"/>
    <x v="1"/>
    <x v="0"/>
    <n v="4"/>
    <n v="40"/>
    <n v="1.9"/>
    <n v="0"/>
    <n v="0.88"/>
  </r>
  <r>
    <s v="FL250075"/>
    <x v="74"/>
    <x v="1"/>
    <n v="36"/>
    <x v="0"/>
    <x v="0"/>
    <x v="9"/>
    <n v="14"/>
    <n v="100"/>
    <n v="3.7"/>
    <n v="0"/>
    <n v="0.16"/>
  </r>
  <r>
    <s v="FL250076"/>
    <x v="75"/>
    <x v="1"/>
    <n v="32"/>
    <x v="10"/>
    <x v="8"/>
    <x v="5"/>
    <n v="11"/>
    <n v="30"/>
    <n v="1.9"/>
    <n v="1"/>
    <n v="0.96"/>
  </r>
  <r>
    <s v="FL250077"/>
    <x v="76"/>
    <x v="1"/>
    <n v="59"/>
    <x v="1"/>
    <x v="1"/>
    <x v="4"/>
    <n v="9"/>
    <s v="$ 75"/>
    <n v="4"/>
    <n v="1"/>
    <n v="0.96"/>
  </r>
  <r>
    <s v="FL250078"/>
    <x v="77"/>
    <x v="0"/>
    <n v="54"/>
    <x v="20"/>
    <x v="6"/>
    <x v="8"/>
    <n v="32"/>
    <s v="$ 40"/>
    <n v="1.8"/>
    <n v="0"/>
    <n v="0.16"/>
  </r>
  <r>
    <s v="FL250079"/>
    <x v="78"/>
    <x v="0"/>
    <n v="37"/>
    <x v="14"/>
    <x v="1"/>
    <x v="2"/>
    <n v="9"/>
    <n v="40"/>
    <n v="0"/>
    <n v="1"/>
    <n v="0.89"/>
  </r>
  <r>
    <s v="FL250080"/>
    <x v="79"/>
    <x v="1"/>
    <n v="54"/>
    <x v="10"/>
    <x v="8"/>
    <x v="9"/>
    <n v="21"/>
    <n v="100"/>
    <n v="4.5999999999999996"/>
    <n v="0"/>
    <n v="0.16"/>
  </r>
  <r>
    <s v="FL250081"/>
    <x v="80"/>
    <x v="0"/>
    <n v="33"/>
    <x v="8"/>
    <x v="6"/>
    <x v="6"/>
    <n v="12"/>
    <n v="100"/>
    <n v="3.6"/>
    <n v="0"/>
    <n v="0.63"/>
  </r>
  <r>
    <s v="FL250082"/>
    <x v="81"/>
    <x v="0"/>
    <n v="25"/>
    <x v="16"/>
    <x v="13"/>
    <x v="3"/>
    <n v="7"/>
    <s v="$ 40"/>
    <n v="4.4000000000000004"/>
    <n v="1"/>
    <n v="0.81"/>
  </r>
  <r>
    <s v="FL250083"/>
    <x v="82"/>
    <x v="1"/>
    <n v="41"/>
    <x v="18"/>
    <x v="15"/>
    <x v="8"/>
    <n v="3"/>
    <n v="40"/>
    <n v="4.5999999999999996"/>
    <n v="0"/>
    <n v="0.74"/>
  </r>
  <r>
    <s v="FL250084"/>
    <x v="83"/>
    <x v="1"/>
    <n v="35"/>
    <x v="12"/>
    <x v="10"/>
    <x v="3"/>
    <n v="5"/>
    <n v="75"/>
    <n v="3.2"/>
    <n v="0"/>
    <n v="0.72"/>
  </r>
  <r>
    <s v="FL250085"/>
    <x v="84"/>
    <x v="1"/>
    <n v="59"/>
    <x v="12"/>
    <x v="10"/>
    <x v="4"/>
    <n v="30"/>
    <n v="40"/>
    <n v="0"/>
    <n v="1"/>
    <n v="0.16"/>
  </r>
  <r>
    <s v="FL250086"/>
    <x v="85"/>
    <x v="0"/>
    <n v="21"/>
    <x v="18"/>
    <x v="15"/>
    <x v="8"/>
    <n v="2"/>
    <n v="100"/>
    <n v="2.6"/>
    <n v="1"/>
    <n v="0.85"/>
  </r>
  <r>
    <s v="FL250087"/>
    <x v="86"/>
    <x v="1"/>
    <n v="25"/>
    <x v="5"/>
    <x v="1"/>
    <x v="1"/>
    <n v="2"/>
    <n v="75"/>
    <n v="3.7"/>
    <n v="0"/>
    <n v="0.16"/>
  </r>
  <r>
    <s v="FL250088"/>
    <x v="87"/>
    <x v="0"/>
    <n v="38"/>
    <x v="19"/>
    <x v="6"/>
    <x v="3"/>
    <n v="19"/>
    <n v="75"/>
    <n v="2.2999999999999998"/>
    <n v="0"/>
    <n v="0.61"/>
  </r>
  <r>
    <s v="FL250089"/>
    <x v="88"/>
    <x v="1"/>
    <n v="57"/>
    <x v="13"/>
    <x v="11"/>
    <x v="4"/>
    <n v="16"/>
    <n v="100"/>
    <n v="3.1"/>
    <n v="0"/>
    <n v="0.16"/>
  </r>
  <r>
    <s v="FL250090"/>
    <x v="89"/>
    <x v="1"/>
    <n v="32"/>
    <x v="10"/>
    <x v="8"/>
    <x v="1"/>
    <n v="10"/>
    <n v="20"/>
    <n v="2.4"/>
    <n v="0"/>
    <n v="0.86"/>
  </r>
  <r>
    <s v="FL250091"/>
    <x v="90"/>
    <x v="1"/>
    <n v="21"/>
    <x v="0"/>
    <x v="0"/>
    <x v="8"/>
    <n v="2"/>
    <s v="$ 100"/>
    <n v="1.6"/>
    <n v="1"/>
    <n v="0.97"/>
  </r>
  <r>
    <s v="FL250092"/>
    <x v="91"/>
    <x v="0"/>
    <n v="57"/>
    <x v="14"/>
    <x v="1"/>
    <x v="7"/>
    <n v="18"/>
    <n v="50"/>
    <n v="2.4"/>
    <n v="1"/>
    <n v="0.63"/>
  </r>
  <r>
    <s v="FL250093"/>
    <x v="92"/>
    <x v="1"/>
    <n v="53"/>
    <x v="18"/>
    <x v="15"/>
    <x v="6"/>
    <n v="21"/>
    <s v="$ 100"/>
    <n v="3"/>
    <n v="1"/>
    <n v="0.97"/>
  </r>
  <r>
    <s v="FL250094"/>
    <x v="93"/>
    <x v="1"/>
    <n v="35"/>
    <x v="13"/>
    <x v="11"/>
    <x v="0"/>
    <n v="3"/>
    <s v="$ 30"/>
    <n v="3.8"/>
    <n v="1"/>
    <n v="0.81"/>
  </r>
  <r>
    <s v="FL250095"/>
    <x v="94"/>
    <x v="0"/>
    <n v="54"/>
    <x v="18"/>
    <x v="15"/>
    <x v="9"/>
    <n v="17"/>
    <n v="20"/>
    <n v="1.7"/>
    <n v="0"/>
    <n v="0.69"/>
  </r>
  <r>
    <s v="FL250096"/>
    <x v="95"/>
    <x v="0"/>
    <n v="36"/>
    <x v="0"/>
    <x v="0"/>
    <x v="6"/>
    <n v="11"/>
    <n v="20"/>
    <n v="1.3"/>
    <n v="1"/>
    <n v="0.64"/>
  </r>
  <r>
    <s v="FL250097"/>
    <x v="96"/>
    <x v="0"/>
    <n v="49"/>
    <x v="20"/>
    <x v="6"/>
    <x v="7"/>
    <n v="25"/>
    <n v="50"/>
    <n v="5"/>
    <n v="0"/>
    <n v="0.77"/>
  </r>
  <r>
    <s v="FL250098"/>
    <x v="97"/>
    <x v="1"/>
    <n v="37"/>
    <x v="5"/>
    <x v="1"/>
    <x v="0"/>
    <n v="17"/>
    <n v="20"/>
    <n v="3.3"/>
    <n v="0"/>
    <n v="0.96"/>
  </r>
  <r>
    <s v="FL250099"/>
    <x v="98"/>
    <x v="1"/>
    <n v="41"/>
    <x v="5"/>
    <x v="1"/>
    <x v="6"/>
    <n v="5"/>
    <n v="20"/>
    <n v="1.1000000000000001"/>
    <n v="1"/>
    <n v="0.74"/>
  </r>
  <r>
    <s v="FL250100"/>
    <x v="99"/>
    <x v="1"/>
    <n v="32"/>
    <x v="16"/>
    <x v="13"/>
    <x v="6"/>
    <n v="10"/>
    <n v="50"/>
    <n v="1.2"/>
    <n v="0"/>
    <n v="0.89"/>
  </r>
  <r>
    <s v="FL250101"/>
    <x v="100"/>
    <x v="1"/>
    <n v="35"/>
    <x v="10"/>
    <x v="8"/>
    <x v="1"/>
    <n v="11"/>
    <n v="40"/>
    <n v="2"/>
    <n v="1"/>
    <n v="0.64"/>
  </r>
  <r>
    <s v="FL250102"/>
    <x v="101"/>
    <x v="0"/>
    <n v="51"/>
    <x v="13"/>
    <x v="11"/>
    <x v="2"/>
    <n v="2"/>
    <n v="30"/>
    <n v="4.5"/>
    <n v="0"/>
    <n v="0.64"/>
  </r>
  <r>
    <s v="FL250103"/>
    <x v="102"/>
    <x v="0"/>
    <n v="50"/>
    <x v="13"/>
    <x v="11"/>
    <x v="8"/>
    <n v="30"/>
    <n v="100"/>
    <n v="3"/>
    <n v="1"/>
    <n v="0.73"/>
  </r>
  <r>
    <s v="FL250104"/>
    <x v="103"/>
    <x v="0"/>
    <n v="21"/>
    <x v="6"/>
    <x v="5"/>
    <x v="0"/>
    <n v="2"/>
    <n v="50"/>
    <n v="4.9000000000000004"/>
    <n v="1"/>
    <n v="0.68"/>
  </r>
  <r>
    <s v="FL250105"/>
    <x v="104"/>
    <x v="1"/>
    <n v="25"/>
    <x v="5"/>
    <x v="1"/>
    <x v="2"/>
    <n v="3"/>
    <n v="30"/>
    <n v="3"/>
    <n v="1"/>
    <n v="0.88"/>
  </r>
  <r>
    <s v="FL250106"/>
    <x v="105"/>
    <x v="0"/>
    <n v="57"/>
    <x v="15"/>
    <x v="12"/>
    <x v="8"/>
    <n v="21"/>
    <n v="40"/>
    <n v="2.5"/>
    <n v="0"/>
    <n v="0.77"/>
  </r>
  <r>
    <s v="FL250107"/>
    <x v="106"/>
    <x v="1"/>
    <n v="58"/>
    <x v="13"/>
    <x v="11"/>
    <x v="0"/>
    <n v="3"/>
    <n v="40"/>
    <n v="0"/>
    <n v="1"/>
    <n v="0.16"/>
  </r>
  <r>
    <s v="FL250108"/>
    <x v="107"/>
    <x v="0"/>
    <n v="45"/>
    <x v="4"/>
    <x v="4"/>
    <x v="1"/>
    <n v="19"/>
    <n v="40"/>
    <n v="3"/>
    <n v="1"/>
    <n v="0.72"/>
  </r>
  <r>
    <s v="FL250109"/>
    <x v="108"/>
    <x v="0"/>
    <n v="23"/>
    <x v="5"/>
    <x v="1"/>
    <x v="3"/>
    <n v="11"/>
    <n v="20"/>
    <n v="4.7"/>
    <n v="1"/>
    <n v="0.6"/>
  </r>
  <r>
    <s v="FL250110"/>
    <x v="109"/>
    <x v="0"/>
    <n v="46"/>
    <x v="5"/>
    <x v="1"/>
    <x v="4"/>
    <n v="9"/>
    <n v="30"/>
    <n v="3.5"/>
    <n v="1"/>
    <n v="0.72"/>
  </r>
  <r>
    <s v="FL250111"/>
    <x v="110"/>
    <x v="1"/>
    <n v="27"/>
    <x v="8"/>
    <x v="6"/>
    <x v="6"/>
    <n v="5"/>
    <n v="30"/>
    <n v="3"/>
    <n v="0"/>
    <n v="0.92"/>
  </r>
  <r>
    <s v="FL250112"/>
    <x v="111"/>
    <x v="0"/>
    <n v="32"/>
    <x v="5"/>
    <x v="1"/>
    <x v="9"/>
    <n v="6"/>
    <s v="$ 50"/>
    <n v="3.4"/>
    <n v="1"/>
    <n v="0.16"/>
  </r>
  <r>
    <s v="FL250113"/>
    <x v="112"/>
    <x v="0"/>
    <n v="48"/>
    <x v="8"/>
    <x v="6"/>
    <x v="9"/>
    <n v="6"/>
    <s v="$ 75"/>
    <n v="2.5"/>
    <n v="1"/>
    <n v="0.92"/>
  </r>
  <r>
    <s v="FL250114"/>
    <x v="113"/>
    <x v="1"/>
    <n v="30"/>
    <x v="6"/>
    <x v="5"/>
    <x v="1"/>
    <n v="3"/>
    <n v="30"/>
    <n v="1.1000000000000001"/>
    <n v="1"/>
    <n v="0.16"/>
  </r>
  <r>
    <s v="FL250115"/>
    <x v="114"/>
    <x v="1"/>
    <n v="59"/>
    <x v="6"/>
    <x v="5"/>
    <x v="4"/>
    <n v="13"/>
    <s v="$ 20"/>
    <n v="4.8"/>
    <n v="1"/>
    <n v="0.16"/>
  </r>
  <r>
    <s v="FL250116"/>
    <x v="115"/>
    <x v="0"/>
    <n v="32"/>
    <x v="19"/>
    <x v="6"/>
    <x v="4"/>
    <n v="5"/>
    <n v="30"/>
    <n v="3"/>
    <n v="0"/>
    <n v="0.86"/>
  </r>
  <r>
    <s v="FL250117"/>
    <x v="116"/>
    <x v="0"/>
    <n v="57"/>
    <x v="16"/>
    <x v="13"/>
    <x v="6"/>
    <n v="4"/>
    <s v="$ 40"/>
    <n v="3.4"/>
    <n v="1"/>
    <n v="0.68"/>
  </r>
  <r>
    <s v="FL250118"/>
    <x v="117"/>
    <x v="1"/>
    <n v="27"/>
    <x v="1"/>
    <x v="1"/>
    <x v="9"/>
    <n v="7"/>
    <s v="$ 20"/>
    <n v="3.2"/>
    <n v="1"/>
    <n v="0.62"/>
  </r>
  <r>
    <s v="FL250119"/>
    <x v="118"/>
    <x v="0"/>
    <n v="33"/>
    <x v="4"/>
    <x v="4"/>
    <x v="9"/>
    <n v="13"/>
    <n v="20"/>
    <n v="3.2"/>
    <n v="0"/>
    <n v="0.16"/>
  </r>
  <r>
    <s v="FL250120"/>
    <x v="119"/>
    <x v="1"/>
    <n v="29"/>
    <x v="12"/>
    <x v="10"/>
    <x v="5"/>
    <n v="4"/>
    <n v="30"/>
    <n v="0"/>
    <n v="1"/>
    <n v="0.82"/>
  </r>
  <r>
    <s v="FL250121"/>
    <x v="120"/>
    <x v="0"/>
    <n v="36"/>
    <x v="4"/>
    <x v="4"/>
    <x v="6"/>
    <n v="13"/>
    <n v="75"/>
    <n v="3"/>
    <n v="1"/>
    <n v="0.16"/>
  </r>
  <r>
    <s v="FL250122"/>
    <x v="121"/>
    <x v="0"/>
    <n v="47"/>
    <x v="0"/>
    <x v="0"/>
    <x v="8"/>
    <n v="5"/>
    <n v="40"/>
    <n v="3.7"/>
    <n v="0"/>
    <n v="0.93"/>
  </r>
  <r>
    <s v="FL250123"/>
    <x v="122"/>
    <x v="1"/>
    <n v="48"/>
    <x v="14"/>
    <x v="1"/>
    <x v="9"/>
    <n v="15"/>
    <s v="$ 50"/>
    <n v="1"/>
    <n v="1"/>
    <n v="0.64"/>
  </r>
  <r>
    <s v="FL250124"/>
    <x v="123"/>
    <x v="0"/>
    <n v="27"/>
    <x v="18"/>
    <x v="15"/>
    <x v="6"/>
    <n v="8"/>
    <n v="50"/>
    <n v="0"/>
    <n v="1"/>
    <n v="0.16"/>
  </r>
  <r>
    <s v="FL250125"/>
    <x v="124"/>
    <x v="1"/>
    <n v="34"/>
    <x v="1"/>
    <x v="1"/>
    <x v="3"/>
    <n v="10"/>
    <n v="40"/>
    <n v="1.7"/>
    <n v="0"/>
    <n v="0.96"/>
  </r>
  <r>
    <s v="FL250126"/>
    <x v="125"/>
    <x v="1"/>
    <n v="49"/>
    <x v="12"/>
    <x v="10"/>
    <x v="5"/>
    <n v="19"/>
    <n v="40"/>
    <n v="5"/>
    <n v="1"/>
    <n v="0.83"/>
  </r>
  <r>
    <s v="FL250127"/>
    <x v="126"/>
    <x v="1"/>
    <n v="30"/>
    <x v="11"/>
    <x v="9"/>
    <x v="1"/>
    <n v="10"/>
    <n v="100"/>
    <n v="1.7"/>
    <n v="1"/>
    <n v="0.64"/>
  </r>
  <r>
    <s v="FL250128"/>
    <x v="127"/>
    <x v="1"/>
    <n v="31"/>
    <x v="16"/>
    <x v="13"/>
    <x v="2"/>
    <n v="8"/>
    <n v="40"/>
    <n v="4.4000000000000004"/>
    <n v="0"/>
    <n v="0.7"/>
  </r>
  <r>
    <s v="FL250129"/>
    <x v="128"/>
    <x v="1"/>
    <n v="58"/>
    <x v="18"/>
    <x v="15"/>
    <x v="9"/>
    <n v="9"/>
    <n v="20"/>
    <n v="0"/>
    <n v="0"/>
    <n v="0.65"/>
  </r>
  <r>
    <s v="FL250130"/>
    <x v="129"/>
    <x v="1"/>
    <n v="47"/>
    <x v="15"/>
    <x v="12"/>
    <x v="9"/>
    <n v="13"/>
    <n v="40"/>
    <n v="3.4"/>
    <n v="1"/>
    <n v="0.67"/>
  </r>
  <r>
    <s v="FL250131"/>
    <x v="130"/>
    <x v="0"/>
    <n v="45"/>
    <x v="7"/>
    <x v="1"/>
    <x v="7"/>
    <n v="14"/>
    <s v="$ 100"/>
    <n v="1.1000000000000001"/>
    <n v="1"/>
    <n v="0.93"/>
  </r>
  <r>
    <s v="FL250132"/>
    <x v="131"/>
    <x v="0"/>
    <n v="57"/>
    <x v="15"/>
    <x v="12"/>
    <x v="9"/>
    <n v="11"/>
    <n v="50"/>
    <n v="1.6"/>
    <n v="0"/>
    <n v="0.6"/>
  </r>
  <r>
    <s v="FL250133"/>
    <x v="132"/>
    <x v="1"/>
    <n v="50"/>
    <x v="10"/>
    <x v="8"/>
    <x v="3"/>
    <n v="22"/>
    <n v="100"/>
    <n v="4.0999999999999996"/>
    <n v="0"/>
    <n v="0.62"/>
  </r>
  <r>
    <s v="FL250134"/>
    <x v="133"/>
    <x v="0"/>
    <n v="41"/>
    <x v="11"/>
    <x v="9"/>
    <x v="9"/>
    <n v="4"/>
    <n v="40"/>
    <n v="2.5"/>
    <n v="1"/>
    <n v="0.7"/>
  </r>
  <r>
    <s v="FL250135"/>
    <x v="134"/>
    <x v="0"/>
    <n v="45"/>
    <x v="4"/>
    <x v="4"/>
    <x v="0"/>
    <n v="22"/>
    <n v="100"/>
    <n v="4"/>
    <n v="1"/>
    <n v="0.75"/>
  </r>
  <r>
    <s v="FL250136"/>
    <x v="135"/>
    <x v="1"/>
    <n v="60"/>
    <x v="17"/>
    <x v="14"/>
    <x v="7"/>
    <n v="39"/>
    <n v="75"/>
    <n v="1.4"/>
    <n v="1"/>
    <n v="0.7"/>
  </r>
  <r>
    <s v="FL250137"/>
    <x v="136"/>
    <x v="0"/>
    <n v="43"/>
    <x v="7"/>
    <x v="1"/>
    <x v="7"/>
    <n v="5"/>
    <s v="$ 50"/>
    <n v="3"/>
    <n v="1"/>
    <n v="0.84"/>
  </r>
  <r>
    <s v="FL250138"/>
    <x v="137"/>
    <x v="0"/>
    <n v="39"/>
    <x v="15"/>
    <x v="12"/>
    <x v="7"/>
    <n v="5"/>
    <s v="$ 40"/>
    <n v="1.2"/>
    <n v="0"/>
    <n v="0.83"/>
  </r>
  <r>
    <s v="FL250139"/>
    <x v="138"/>
    <x v="1"/>
    <n v="26"/>
    <x v="19"/>
    <x v="6"/>
    <x v="6"/>
    <n v="5"/>
    <n v="50"/>
    <n v="0"/>
    <n v="0"/>
    <n v="0.16"/>
  </r>
  <r>
    <s v="FL250140"/>
    <x v="139"/>
    <x v="1"/>
    <n v="31"/>
    <x v="2"/>
    <x v="2"/>
    <x v="7"/>
    <n v="11"/>
    <n v="50"/>
    <n v="3.1"/>
    <n v="0"/>
    <n v="0.88"/>
  </r>
  <r>
    <s v="FL250141"/>
    <x v="140"/>
    <x v="1"/>
    <n v="52"/>
    <x v="15"/>
    <x v="12"/>
    <x v="6"/>
    <n v="15"/>
    <n v="50"/>
    <n v="0"/>
    <n v="1"/>
    <n v="0.81"/>
  </r>
  <r>
    <s v="FL250142"/>
    <x v="141"/>
    <x v="0"/>
    <n v="34"/>
    <x v="10"/>
    <x v="8"/>
    <x v="5"/>
    <n v="5"/>
    <s v="$ 20"/>
    <n v="2.2000000000000002"/>
    <n v="1"/>
    <n v="0.8"/>
  </r>
  <r>
    <s v="FL250143"/>
    <x v="142"/>
    <x v="1"/>
    <n v="45"/>
    <x v="7"/>
    <x v="1"/>
    <x v="3"/>
    <n v="7"/>
    <n v="75"/>
    <n v="3"/>
    <n v="1"/>
    <n v="0.67"/>
  </r>
  <r>
    <s v="FL250144"/>
    <x v="143"/>
    <x v="1"/>
    <n v="46"/>
    <x v="7"/>
    <x v="1"/>
    <x v="7"/>
    <n v="9"/>
    <n v="20"/>
    <n v="0"/>
    <n v="0"/>
    <n v="0.82"/>
  </r>
  <r>
    <s v="FL250145"/>
    <x v="144"/>
    <x v="1"/>
    <n v="56"/>
    <x v="15"/>
    <x v="12"/>
    <x v="6"/>
    <n v="21"/>
    <s v="$ 100"/>
    <n v="0"/>
    <n v="1"/>
    <n v="0.78"/>
  </r>
  <r>
    <s v="FL250146"/>
    <x v="145"/>
    <x v="0"/>
    <n v="59"/>
    <x v="2"/>
    <x v="2"/>
    <x v="4"/>
    <n v="7"/>
    <n v="40"/>
    <n v="1.4"/>
    <n v="0"/>
    <n v="0.81"/>
  </r>
  <r>
    <s v="FL250147"/>
    <x v="146"/>
    <x v="0"/>
    <n v="54"/>
    <x v="16"/>
    <x v="13"/>
    <x v="0"/>
    <n v="4"/>
    <n v="40"/>
    <n v="1.4"/>
    <n v="1"/>
    <n v="0.74"/>
  </r>
  <r>
    <s v="FL250148"/>
    <x v="147"/>
    <x v="1"/>
    <n v="36"/>
    <x v="2"/>
    <x v="2"/>
    <x v="6"/>
    <n v="7"/>
    <n v="30"/>
    <n v="0"/>
    <n v="0"/>
    <n v="0.88"/>
  </r>
  <r>
    <s v="FL250149"/>
    <x v="148"/>
    <x v="1"/>
    <n v="25"/>
    <x v="19"/>
    <x v="6"/>
    <x v="5"/>
    <n v="11"/>
    <n v="40"/>
    <n v="0"/>
    <n v="0"/>
    <n v="0.9"/>
  </r>
  <r>
    <s v="FL250150"/>
    <x v="149"/>
    <x v="0"/>
    <n v="37"/>
    <x v="13"/>
    <x v="11"/>
    <x v="5"/>
    <n v="15"/>
    <n v="40"/>
    <n v="2.9"/>
    <n v="0"/>
    <n v="0.16"/>
  </r>
  <r>
    <s v="FL250151"/>
    <x v="150"/>
    <x v="1"/>
    <n v="41"/>
    <x v="6"/>
    <x v="5"/>
    <x v="5"/>
    <n v="10"/>
    <s v="$ 40"/>
    <n v="0"/>
    <n v="1"/>
    <n v="0.16"/>
  </r>
  <r>
    <s v="FL250152"/>
    <x v="151"/>
    <x v="1"/>
    <n v="29"/>
    <x v="20"/>
    <x v="6"/>
    <x v="5"/>
    <n v="11"/>
    <n v="20"/>
    <n v="2.7"/>
    <n v="1"/>
    <n v="0.93"/>
  </r>
  <r>
    <s v="FL250153"/>
    <x v="152"/>
    <x v="0"/>
    <n v="55"/>
    <x v="8"/>
    <x v="6"/>
    <x v="1"/>
    <n v="12"/>
    <n v="100"/>
    <n v="1.8"/>
    <n v="1"/>
    <n v="0.16"/>
  </r>
  <r>
    <s v="FL250154"/>
    <x v="153"/>
    <x v="0"/>
    <n v="38"/>
    <x v="9"/>
    <x v="7"/>
    <x v="8"/>
    <n v="20"/>
    <n v="75"/>
    <n v="1.1000000000000001"/>
    <n v="1"/>
    <n v="0.71"/>
  </r>
  <r>
    <s v="FL250155"/>
    <x v="154"/>
    <x v="1"/>
    <n v="47"/>
    <x v="12"/>
    <x v="10"/>
    <x v="8"/>
    <n v="29"/>
    <n v="40"/>
    <n v="4.3"/>
    <n v="1"/>
    <n v="0.95"/>
  </r>
  <r>
    <s v="FL250156"/>
    <x v="155"/>
    <x v="1"/>
    <n v="60"/>
    <x v="11"/>
    <x v="9"/>
    <x v="3"/>
    <n v="15"/>
    <n v="100"/>
    <n v="1.5"/>
    <n v="0"/>
    <n v="0.8"/>
  </r>
  <r>
    <s v="FL250157"/>
    <x v="156"/>
    <x v="0"/>
    <n v="43"/>
    <x v="0"/>
    <x v="0"/>
    <x v="5"/>
    <n v="9"/>
    <n v="20"/>
    <n v="2.2000000000000002"/>
    <n v="0"/>
    <n v="0.16"/>
  </r>
  <r>
    <s v="FL250158"/>
    <x v="157"/>
    <x v="1"/>
    <n v="56"/>
    <x v="17"/>
    <x v="14"/>
    <x v="5"/>
    <n v="11"/>
    <n v="100"/>
    <n v="3.2"/>
    <n v="0"/>
    <n v="0.62"/>
  </r>
  <r>
    <s v="FL250159"/>
    <x v="158"/>
    <x v="1"/>
    <n v="42"/>
    <x v="13"/>
    <x v="11"/>
    <x v="8"/>
    <n v="2"/>
    <n v="50"/>
    <n v="1.9"/>
    <n v="0"/>
    <n v="0.95"/>
  </r>
  <r>
    <s v="FL250160"/>
    <x v="159"/>
    <x v="0"/>
    <n v="20"/>
    <x v="20"/>
    <x v="6"/>
    <x v="2"/>
    <n v="11"/>
    <n v="40"/>
    <n v="2.5"/>
    <n v="0"/>
    <n v="0.79"/>
  </r>
  <r>
    <s v="FL250161"/>
    <x v="160"/>
    <x v="0"/>
    <n v="47"/>
    <x v="4"/>
    <x v="4"/>
    <x v="6"/>
    <n v="12"/>
    <n v="40"/>
    <n v="4.5"/>
    <n v="1"/>
    <n v="0.62"/>
  </r>
  <r>
    <s v="FL250162"/>
    <x v="161"/>
    <x v="1"/>
    <n v="41"/>
    <x v="8"/>
    <x v="6"/>
    <x v="5"/>
    <n v="12"/>
    <n v="30"/>
    <n v="4.0999999999999996"/>
    <n v="1"/>
    <n v="0.68"/>
  </r>
  <r>
    <s v="FL250163"/>
    <x v="162"/>
    <x v="1"/>
    <n v="56"/>
    <x v="4"/>
    <x v="4"/>
    <x v="8"/>
    <n v="15"/>
    <s v="$ 75"/>
    <n v="0"/>
    <n v="1"/>
    <n v="0.16"/>
  </r>
  <r>
    <s v="FL250164"/>
    <x v="163"/>
    <x v="1"/>
    <n v="59"/>
    <x v="7"/>
    <x v="1"/>
    <x v="8"/>
    <n v="29"/>
    <s v="$ 75"/>
    <n v="3"/>
    <n v="0"/>
    <n v="0.8"/>
  </r>
  <r>
    <s v="FL250165"/>
    <x v="164"/>
    <x v="1"/>
    <n v="56"/>
    <x v="9"/>
    <x v="7"/>
    <x v="7"/>
    <n v="15"/>
    <n v="40"/>
    <n v="3.7"/>
    <n v="1"/>
    <n v="0.92"/>
  </r>
  <r>
    <s v="FL250166"/>
    <x v="165"/>
    <x v="0"/>
    <n v="31"/>
    <x v="17"/>
    <x v="14"/>
    <x v="3"/>
    <n v="11"/>
    <s v="$ 75"/>
    <n v="1.3"/>
    <n v="1"/>
    <n v="0.65"/>
  </r>
  <r>
    <s v="FL250167"/>
    <x v="166"/>
    <x v="1"/>
    <n v="60"/>
    <x v="12"/>
    <x v="10"/>
    <x v="1"/>
    <n v="33"/>
    <n v="40"/>
    <n v="3.6"/>
    <n v="1"/>
    <n v="0.87"/>
  </r>
  <r>
    <s v="FL250168"/>
    <x v="167"/>
    <x v="0"/>
    <n v="31"/>
    <x v="14"/>
    <x v="1"/>
    <x v="3"/>
    <n v="10"/>
    <n v="75"/>
    <n v="0"/>
    <n v="1"/>
    <n v="0.7"/>
  </r>
  <r>
    <s v="FL250169"/>
    <x v="168"/>
    <x v="1"/>
    <n v="60"/>
    <x v="8"/>
    <x v="6"/>
    <x v="7"/>
    <n v="20"/>
    <n v="40"/>
    <n v="1.4"/>
    <n v="1"/>
    <n v="0.87"/>
  </r>
  <r>
    <s v="FL250170"/>
    <x v="169"/>
    <x v="1"/>
    <n v="46"/>
    <x v="15"/>
    <x v="12"/>
    <x v="8"/>
    <n v="23"/>
    <n v="20"/>
    <n v="2.9"/>
    <n v="0"/>
    <n v="0.72"/>
  </r>
  <r>
    <s v="FL250171"/>
    <x v="170"/>
    <x v="0"/>
    <n v="41"/>
    <x v="3"/>
    <x v="3"/>
    <x v="0"/>
    <n v="11"/>
    <n v="40"/>
    <n v="2.8"/>
    <n v="0"/>
    <n v="0.8"/>
  </r>
  <r>
    <s v="FL250172"/>
    <x v="171"/>
    <x v="1"/>
    <n v="34"/>
    <x v="9"/>
    <x v="7"/>
    <x v="6"/>
    <n v="11"/>
    <n v="20"/>
    <n v="1.7"/>
    <n v="0"/>
    <n v="0.66"/>
  </r>
  <r>
    <s v="FL250173"/>
    <x v="172"/>
    <x v="0"/>
    <n v="42"/>
    <x v="3"/>
    <x v="3"/>
    <x v="2"/>
    <n v="7"/>
    <s v="$ 40"/>
    <n v="0"/>
    <n v="1"/>
    <n v="0.16"/>
  </r>
  <r>
    <s v="FL250174"/>
    <x v="173"/>
    <x v="1"/>
    <n v="31"/>
    <x v="7"/>
    <x v="1"/>
    <x v="5"/>
    <n v="4"/>
    <s v="$ 75"/>
    <n v="1.1000000000000001"/>
    <n v="1"/>
    <n v="0.64"/>
  </r>
  <r>
    <s v="FL250175"/>
    <x v="174"/>
    <x v="1"/>
    <n v="29"/>
    <x v="11"/>
    <x v="9"/>
    <x v="6"/>
    <n v="9"/>
    <n v="20"/>
    <n v="3"/>
    <n v="1"/>
    <n v="0.68"/>
  </r>
  <r>
    <s v="FL250176"/>
    <x v="175"/>
    <x v="0"/>
    <n v="57"/>
    <x v="1"/>
    <x v="1"/>
    <x v="2"/>
    <n v="17"/>
    <n v="20"/>
    <n v="3.6"/>
    <n v="0"/>
    <n v="0.63"/>
  </r>
  <r>
    <s v="FL250177"/>
    <x v="176"/>
    <x v="1"/>
    <n v="47"/>
    <x v="10"/>
    <x v="8"/>
    <x v="8"/>
    <n v="8"/>
    <n v="20"/>
    <n v="4.5"/>
    <n v="1"/>
    <n v="0.72"/>
  </r>
  <r>
    <s v="FL250178"/>
    <x v="177"/>
    <x v="1"/>
    <n v="47"/>
    <x v="17"/>
    <x v="14"/>
    <x v="4"/>
    <n v="14"/>
    <n v="30"/>
    <n v="0"/>
    <n v="1"/>
    <n v="0.86"/>
  </r>
  <r>
    <s v="FL250179"/>
    <x v="178"/>
    <x v="0"/>
    <n v="45"/>
    <x v="15"/>
    <x v="12"/>
    <x v="2"/>
    <n v="21"/>
    <s v="$ 30"/>
    <n v="1.5"/>
    <n v="1"/>
    <n v="0.73"/>
  </r>
  <r>
    <s v="FL250180"/>
    <x v="179"/>
    <x v="1"/>
    <n v="24"/>
    <x v="6"/>
    <x v="5"/>
    <x v="9"/>
    <n v="1"/>
    <n v="30"/>
    <n v="3.7"/>
    <n v="1"/>
    <n v="0.95"/>
  </r>
  <r>
    <s v="FL250181"/>
    <x v="180"/>
    <x v="0"/>
    <n v="31"/>
    <x v="8"/>
    <x v="6"/>
    <x v="1"/>
    <n v="12"/>
    <n v="20"/>
    <n v="2.2999999999999998"/>
    <n v="0"/>
    <n v="0.9"/>
  </r>
  <r>
    <s v="FL250182"/>
    <x v="181"/>
    <x v="0"/>
    <n v="20"/>
    <x v="19"/>
    <x v="6"/>
    <x v="2"/>
    <n v="2"/>
    <n v="20"/>
    <n v="2.8"/>
    <n v="0"/>
    <n v="0.78"/>
  </r>
  <r>
    <s v="FL250183"/>
    <x v="182"/>
    <x v="1"/>
    <n v="38"/>
    <x v="9"/>
    <x v="7"/>
    <x v="3"/>
    <n v="3"/>
    <n v="30"/>
    <n v="3.5"/>
    <n v="1"/>
    <n v="0.97"/>
  </r>
  <r>
    <s v="FL250184"/>
    <x v="183"/>
    <x v="0"/>
    <n v="33"/>
    <x v="2"/>
    <x v="2"/>
    <x v="6"/>
    <n v="11"/>
    <n v="40"/>
    <n v="0"/>
    <n v="1"/>
    <n v="0.65"/>
  </r>
  <r>
    <s v="FL250185"/>
    <x v="184"/>
    <x v="0"/>
    <n v="31"/>
    <x v="1"/>
    <x v="1"/>
    <x v="3"/>
    <n v="4"/>
    <n v="40"/>
    <n v="3.2"/>
    <n v="1"/>
    <n v="0.78"/>
  </r>
  <r>
    <s v="FL250186"/>
    <x v="185"/>
    <x v="1"/>
    <n v="41"/>
    <x v="20"/>
    <x v="6"/>
    <x v="9"/>
    <n v="21"/>
    <n v="50"/>
    <n v="3.3"/>
    <n v="1"/>
    <n v="0.65"/>
  </r>
  <r>
    <s v="FL250187"/>
    <x v="186"/>
    <x v="1"/>
    <n v="54"/>
    <x v="6"/>
    <x v="5"/>
    <x v="3"/>
    <n v="11"/>
    <n v="20"/>
    <n v="4.9000000000000004"/>
    <n v="1"/>
    <n v="0.16"/>
  </r>
  <r>
    <s v="FL250188"/>
    <x v="187"/>
    <x v="1"/>
    <n v="50"/>
    <x v="19"/>
    <x v="6"/>
    <x v="5"/>
    <n v="6"/>
    <n v="30"/>
    <n v="2.2000000000000002"/>
    <n v="1"/>
    <n v="0.95"/>
  </r>
  <r>
    <s v="FL250189"/>
    <x v="188"/>
    <x v="1"/>
    <n v="48"/>
    <x v="11"/>
    <x v="9"/>
    <x v="9"/>
    <n v="18"/>
    <s v="$ 40"/>
    <n v="3"/>
    <n v="1"/>
    <n v="0.88"/>
  </r>
  <r>
    <s v="FL250190"/>
    <x v="189"/>
    <x v="0"/>
    <n v="49"/>
    <x v="19"/>
    <x v="6"/>
    <x v="2"/>
    <n v="11"/>
    <n v="40"/>
    <n v="1.8"/>
    <n v="0"/>
    <n v="0.16"/>
  </r>
  <r>
    <s v="FL250191"/>
    <x v="190"/>
    <x v="1"/>
    <n v="21"/>
    <x v="12"/>
    <x v="10"/>
    <x v="2"/>
    <n v="1"/>
    <n v="75"/>
    <n v="4.5999999999999996"/>
    <n v="0"/>
    <n v="0.92"/>
  </r>
  <r>
    <s v="FL250192"/>
    <x v="191"/>
    <x v="1"/>
    <n v="58"/>
    <x v="1"/>
    <x v="1"/>
    <x v="2"/>
    <n v="20"/>
    <n v="75"/>
    <n v="2.8"/>
    <n v="1"/>
    <n v="0.75"/>
  </r>
  <r>
    <s v="FL250193"/>
    <x v="89"/>
    <x v="1"/>
    <n v="41"/>
    <x v="0"/>
    <x v="0"/>
    <x v="8"/>
    <n v="11"/>
    <n v="30"/>
    <n v="1.4"/>
    <n v="0"/>
    <n v="0.74"/>
  </r>
  <r>
    <s v="FL250194"/>
    <x v="192"/>
    <x v="0"/>
    <n v="58"/>
    <x v="13"/>
    <x v="11"/>
    <x v="0"/>
    <n v="25"/>
    <n v="30"/>
    <n v="4.2"/>
    <n v="1"/>
    <n v="0.71"/>
  </r>
  <r>
    <s v="FL250195"/>
    <x v="193"/>
    <x v="0"/>
    <n v="50"/>
    <x v="17"/>
    <x v="14"/>
    <x v="2"/>
    <n v="20"/>
    <s v="$ 40"/>
    <n v="3.6"/>
    <n v="1"/>
    <n v="0.89"/>
  </r>
  <r>
    <s v="FL250196"/>
    <x v="194"/>
    <x v="1"/>
    <n v="52"/>
    <x v="4"/>
    <x v="4"/>
    <x v="3"/>
    <n v="33"/>
    <n v="100"/>
    <n v="1.6"/>
    <n v="1"/>
    <n v="0.66"/>
  </r>
  <r>
    <s v="FL250197"/>
    <x v="195"/>
    <x v="1"/>
    <n v="34"/>
    <x v="3"/>
    <x v="3"/>
    <x v="5"/>
    <n v="6"/>
    <n v="100"/>
    <n v="2"/>
    <n v="1"/>
    <n v="0.16"/>
  </r>
  <r>
    <s v="FL250198"/>
    <x v="196"/>
    <x v="1"/>
    <n v="32"/>
    <x v="15"/>
    <x v="12"/>
    <x v="9"/>
    <n v="11"/>
    <n v="40"/>
    <n v="4.3"/>
    <n v="1"/>
    <n v="0.86"/>
  </r>
  <r>
    <s v="FL250199"/>
    <x v="197"/>
    <x v="0"/>
    <n v="50"/>
    <x v="10"/>
    <x v="8"/>
    <x v="2"/>
    <n v="28"/>
    <n v="100"/>
    <n v="4.9000000000000004"/>
    <n v="1"/>
    <n v="0.86"/>
  </r>
  <r>
    <s v="FL250200"/>
    <x v="198"/>
    <x v="0"/>
    <n v="39"/>
    <x v="8"/>
    <x v="6"/>
    <x v="5"/>
    <n v="11"/>
    <n v="100"/>
    <n v="3.5"/>
    <n v="1"/>
    <n v="0.82"/>
  </r>
  <r>
    <s v="FL250201"/>
    <x v="199"/>
    <x v="0"/>
    <n v="25"/>
    <x v="20"/>
    <x v="6"/>
    <x v="4"/>
    <n v="2"/>
    <n v="100"/>
    <n v="2.5"/>
    <n v="1"/>
    <n v="0.87"/>
  </r>
  <r>
    <s v="FL250202"/>
    <x v="200"/>
    <x v="0"/>
    <n v="55"/>
    <x v="18"/>
    <x v="15"/>
    <x v="9"/>
    <n v="7"/>
    <n v="100"/>
    <n v="1.7"/>
    <n v="1"/>
    <n v="0.8"/>
  </r>
  <r>
    <s v="FL250203"/>
    <x v="201"/>
    <x v="1"/>
    <n v="42"/>
    <x v="0"/>
    <x v="0"/>
    <x v="8"/>
    <n v="10"/>
    <s v="$ 100"/>
    <n v="4.5999999999999996"/>
    <n v="1"/>
    <n v="0.71"/>
  </r>
  <r>
    <s v="FL250204"/>
    <x v="202"/>
    <x v="1"/>
    <n v="43"/>
    <x v="13"/>
    <x v="11"/>
    <x v="1"/>
    <n v="6"/>
    <n v="50"/>
    <n v="3"/>
    <n v="0"/>
    <n v="0.77"/>
  </r>
  <r>
    <s v="FL250205"/>
    <x v="203"/>
    <x v="1"/>
    <n v="54"/>
    <x v="0"/>
    <x v="0"/>
    <x v="8"/>
    <n v="29"/>
    <n v="30"/>
    <n v="1.7"/>
    <n v="0"/>
    <n v="0.68"/>
  </r>
  <r>
    <s v="FL250206"/>
    <x v="204"/>
    <x v="0"/>
    <n v="21"/>
    <x v="16"/>
    <x v="13"/>
    <x v="2"/>
    <n v="11"/>
    <n v="20"/>
    <n v="1.8"/>
    <n v="0"/>
    <n v="0.91"/>
  </r>
  <r>
    <s v="FL250207"/>
    <x v="205"/>
    <x v="1"/>
    <n v="46"/>
    <x v="14"/>
    <x v="1"/>
    <x v="6"/>
    <n v="5"/>
    <n v="20"/>
    <n v="2.2000000000000002"/>
    <n v="0"/>
    <n v="0.75"/>
  </r>
  <r>
    <s v="FL250208"/>
    <x v="206"/>
    <x v="0"/>
    <n v="30"/>
    <x v="20"/>
    <x v="6"/>
    <x v="0"/>
    <n v="11"/>
    <n v="40"/>
    <n v="1"/>
    <n v="0"/>
    <n v="0.9"/>
  </r>
  <r>
    <s v="FL250209"/>
    <x v="207"/>
    <x v="1"/>
    <n v="36"/>
    <x v="18"/>
    <x v="15"/>
    <x v="9"/>
    <n v="11"/>
    <n v="75"/>
    <n v="3.2"/>
    <n v="0"/>
    <n v="0.93"/>
  </r>
  <r>
    <s v="FL250210"/>
    <x v="208"/>
    <x v="0"/>
    <n v="47"/>
    <x v="2"/>
    <x v="2"/>
    <x v="5"/>
    <n v="15"/>
    <n v="40"/>
    <n v="2.1"/>
    <n v="1"/>
    <n v="0.94"/>
  </r>
  <r>
    <s v="FL250211"/>
    <x v="209"/>
    <x v="0"/>
    <n v="43"/>
    <x v="14"/>
    <x v="1"/>
    <x v="1"/>
    <n v="1"/>
    <s v="$ 50"/>
    <n v="4.5999999999999996"/>
    <n v="1"/>
    <n v="0.64"/>
  </r>
  <r>
    <s v="FL250212"/>
    <x v="210"/>
    <x v="1"/>
    <n v="57"/>
    <x v="12"/>
    <x v="10"/>
    <x v="7"/>
    <n v="8"/>
    <n v="20"/>
    <n v="0"/>
    <n v="1"/>
    <n v="0.84"/>
  </r>
  <r>
    <s v="FL250213"/>
    <x v="211"/>
    <x v="1"/>
    <n v="52"/>
    <x v="0"/>
    <x v="0"/>
    <x v="9"/>
    <n v="30"/>
    <n v="20"/>
    <n v="2.8"/>
    <n v="1"/>
    <n v="0.87"/>
  </r>
  <r>
    <s v="FL250214"/>
    <x v="212"/>
    <x v="1"/>
    <n v="41"/>
    <x v="2"/>
    <x v="2"/>
    <x v="0"/>
    <n v="8"/>
    <n v="40"/>
    <n v="0"/>
    <n v="0"/>
    <n v="0.64"/>
  </r>
  <r>
    <s v="FL250215"/>
    <x v="213"/>
    <x v="0"/>
    <n v="22"/>
    <x v="4"/>
    <x v="4"/>
    <x v="9"/>
    <n v="11"/>
    <n v="100"/>
    <n v="2.7"/>
    <n v="1"/>
    <n v="0.64"/>
  </r>
  <r>
    <s v="FL250216"/>
    <x v="214"/>
    <x v="1"/>
    <n v="41"/>
    <x v="10"/>
    <x v="8"/>
    <x v="9"/>
    <n v="12"/>
    <n v="20"/>
    <n v="0"/>
    <n v="1"/>
    <n v="0.8"/>
  </r>
  <r>
    <s v="FL250217"/>
    <x v="215"/>
    <x v="0"/>
    <n v="58"/>
    <x v="20"/>
    <x v="6"/>
    <x v="1"/>
    <n v="4"/>
    <n v="50"/>
    <n v="3.1"/>
    <n v="0"/>
    <n v="0.9"/>
  </r>
  <r>
    <s v="FL250218"/>
    <x v="216"/>
    <x v="1"/>
    <n v="39"/>
    <x v="12"/>
    <x v="10"/>
    <x v="3"/>
    <n v="14"/>
    <s v="$ 100"/>
    <n v="0"/>
    <n v="1"/>
    <n v="0.92"/>
  </r>
  <r>
    <s v="FL250219"/>
    <x v="217"/>
    <x v="1"/>
    <n v="32"/>
    <x v="4"/>
    <x v="4"/>
    <x v="2"/>
    <n v="14"/>
    <n v="40"/>
    <n v="3"/>
    <n v="0"/>
    <n v="0.96"/>
  </r>
  <r>
    <s v="FL250220"/>
    <x v="218"/>
    <x v="1"/>
    <n v="37"/>
    <x v="14"/>
    <x v="1"/>
    <x v="6"/>
    <n v="2"/>
    <n v="30"/>
    <n v="2.2999999999999998"/>
    <n v="1"/>
    <n v="0.16"/>
  </r>
  <r>
    <s v="FL250221"/>
    <x v="219"/>
    <x v="0"/>
    <n v="21"/>
    <x v="18"/>
    <x v="15"/>
    <x v="7"/>
    <n v="2"/>
    <n v="100"/>
    <n v="2.4"/>
    <n v="1"/>
    <n v="0.16"/>
  </r>
  <r>
    <s v="FL250222"/>
    <x v="220"/>
    <x v="1"/>
    <n v="41"/>
    <x v="12"/>
    <x v="10"/>
    <x v="9"/>
    <n v="4"/>
    <n v="75"/>
    <n v="2.6"/>
    <n v="1"/>
    <n v="0.85"/>
  </r>
  <r>
    <s v="FL250223"/>
    <x v="221"/>
    <x v="0"/>
    <n v="21"/>
    <x v="14"/>
    <x v="1"/>
    <x v="4"/>
    <n v="11"/>
    <s v="$ 40"/>
    <n v="1.1000000000000001"/>
    <n v="0"/>
    <n v="0.79"/>
  </r>
  <r>
    <s v="FL250224"/>
    <x v="222"/>
    <x v="0"/>
    <n v="58"/>
    <x v="18"/>
    <x v="15"/>
    <x v="9"/>
    <n v="9"/>
    <n v="30"/>
    <n v="0"/>
    <n v="1"/>
    <n v="0.65"/>
  </r>
  <r>
    <s v="FL250225"/>
    <x v="223"/>
    <x v="1"/>
    <n v="60"/>
    <x v="14"/>
    <x v="1"/>
    <x v="9"/>
    <n v="3"/>
    <n v="40"/>
    <n v="4.7"/>
    <n v="0"/>
    <n v="0.63"/>
  </r>
  <r>
    <s v="FL250226"/>
    <x v="224"/>
    <x v="1"/>
    <n v="27"/>
    <x v="17"/>
    <x v="14"/>
    <x v="3"/>
    <n v="2"/>
    <n v="40"/>
    <n v="1.2"/>
    <n v="0"/>
    <n v="0.16"/>
  </r>
  <r>
    <s v="FL250227"/>
    <x v="225"/>
    <x v="0"/>
    <n v="29"/>
    <x v="2"/>
    <x v="2"/>
    <x v="9"/>
    <n v="10"/>
    <s v="$ 40"/>
    <n v="1.2"/>
    <n v="0"/>
    <n v="0.78"/>
  </r>
  <r>
    <s v="FL250228"/>
    <x v="226"/>
    <x v="0"/>
    <n v="54"/>
    <x v="14"/>
    <x v="1"/>
    <x v="2"/>
    <n v="33"/>
    <n v="75"/>
    <n v="0"/>
    <n v="1"/>
    <n v="0.62"/>
  </r>
  <r>
    <s v="FL250229"/>
    <x v="227"/>
    <x v="1"/>
    <n v="52"/>
    <x v="19"/>
    <x v="6"/>
    <x v="9"/>
    <n v="12"/>
    <n v="40"/>
    <n v="1.2"/>
    <n v="0"/>
    <n v="0.76"/>
  </r>
  <r>
    <s v="FL250230"/>
    <x v="228"/>
    <x v="0"/>
    <n v="55"/>
    <x v="4"/>
    <x v="4"/>
    <x v="0"/>
    <n v="18"/>
    <n v="100"/>
    <n v="2.9"/>
    <n v="0"/>
    <n v="0.97"/>
  </r>
  <r>
    <s v="FL250231"/>
    <x v="229"/>
    <x v="1"/>
    <n v="37"/>
    <x v="11"/>
    <x v="9"/>
    <x v="0"/>
    <n v="4"/>
    <n v="40"/>
    <n v="3"/>
    <n v="0"/>
    <n v="0.16"/>
  </r>
  <r>
    <s v="FL250232"/>
    <x v="230"/>
    <x v="0"/>
    <n v="34"/>
    <x v="16"/>
    <x v="13"/>
    <x v="5"/>
    <n v="11"/>
    <n v="50"/>
    <n v="3.9"/>
    <n v="1"/>
    <n v="0.82"/>
  </r>
  <r>
    <s v="FL250233"/>
    <x v="231"/>
    <x v="1"/>
    <n v="20"/>
    <x v="15"/>
    <x v="12"/>
    <x v="5"/>
    <n v="1"/>
    <n v="50"/>
    <n v="3.1"/>
    <n v="1"/>
    <n v="0.71"/>
  </r>
  <r>
    <s v="FL250234"/>
    <x v="232"/>
    <x v="1"/>
    <n v="22"/>
    <x v="19"/>
    <x v="6"/>
    <x v="6"/>
    <n v="2"/>
    <n v="40"/>
    <n v="0"/>
    <n v="1"/>
    <n v="0.16"/>
  </r>
  <r>
    <s v="FL250235"/>
    <x v="233"/>
    <x v="0"/>
    <n v="23"/>
    <x v="12"/>
    <x v="10"/>
    <x v="2"/>
    <n v="2"/>
    <n v="50"/>
    <n v="3.2"/>
    <n v="1"/>
    <n v="0.16"/>
  </r>
  <r>
    <s v="FL250236"/>
    <x v="234"/>
    <x v="0"/>
    <n v="53"/>
    <x v="12"/>
    <x v="10"/>
    <x v="0"/>
    <n v="34"/>
    <n v="30"/>
    <n v="3"/>
    <n v="1"/>
    <n v="0.16"/>
  </r>
  <r>
    <s v="FL250237"/>
    <x v="235"/>
    <x v="0"/>
    <n v="56"/>
    <x v="12"/>
    <x v="10"/>
    <x v="2"/>
    <n v="27"/>
    <n v="100"/>
    <n v="4.7"/>
    <n v="1"/>
    <n v="0.69"/>
  </r>
  <r>
    <s v="FL250238"/>
    <x v="236"/>
    <x v="1"/>
    <n v="27"/>
    <x v="14"/>
    <x v="1"/>
    <x v="4"/>
    <n v="4"/>
    <n v="75"/>
    <n v="5"/>
    <n v="0"/>
    <n v="0.88"/>
  </r>
  <r>
    <s v="FL250239"/>
    <x v="237"/>
    <x v="1"/>
    <n v="34"/>
    <x v="0"/>
    <x v="0"/>
    <x v="1"/>
    <n v="11"/>
    <s v="$ 40"/>
    <n v="3"/>
    <n v="0"/>
    <n v="0.67"/>
  </r>
  <r>
    <s v="FL250240"/>
    <x v="238"/>
    <x v="1"/>
    <n v="29"/>
    <x v="5"/>
    <x v="1"/>
    <x v="3"/>
    <n v="4"/>
    <s v="$ 50"/>
    <n v="4"/>
    <n v="0"/>
    <n v="0.16"/>
  </r>
  <r>
    <s v="FL250241"/>
    <x v="239"/>
    <x v="1"/>
    <n v="34"/>
    <x v="10"/>
    <x v="8"/>
    <x v="4"/>
    <n v="11"/>
    <n v="40"/>
    <n v="1.2"/>
    <n v="1"/>
    <n v="0.16"/>
  </r>
  <r>
    <s v="FL250242"/>
    <x v="240"/>
    <x v="0"/>
    <n v="32"/>
    <x v="19"/>
    <x v="6"/>
    <x v="4"/>
    <n v="1"/>
    <n v="100"/>
    <n v="4.7"/>
    <n v="0"/>
    <n v="0.67"/>
  </r>
  <r>
    <s v="FL250243"/>
    <x v="241"/>
    <x v="0"/>
    <n v="21"/>
    <x v="17"/>
    <x v="14"/>
    <x v="9"/>
    <n v="2"/>
    <n v="20"/>
    <n v="2.4"/>
    <n v="1"/>
    <n v="0.86"/>
  </r>
  <r>
    <s v="FL250244"/>
    <x v="242"/>
    <x v="1"/>
    <n v="20"/>
    <x v="19"/>
    <x v="6"/>
    <x v="2"/>
    <n v="2"/>
    <n v="40"/>
    <n v="1.1000000000000001"/>
    <n v="0"/>
    <n v="0.69"/>
  </r>
  <r>
    <s v="FL250245"/>
    <x v="243"/>
    <x v="0"/>
    <n v="35"/>
    <x v="5"/>
    <x v="1"/>
    <x v="1"/>
    <n v="10"/>
    <n v="50"/>
    <n v="1.4"/>
    <n v="1"/>
    <n v="0.85"/>
  </r>
  <r>
    <s v="FL250246"/>
    <x v="244"/>
    <x v="0"/>
    <n v="47"/>
    <x v="5"/>
    <x v="1"/>
    <x v="6"/>
    <n v="18"/>
    <n v="40"/>
    <n v="3.4"/>
    <n v="0"/>
    <n v="0.6"/>
  </r>
  <r>
    <s v="FL250247"/>
    <x v="245"/>
    <x v="0"/>
    <n v="41"/>
    <x v="6"/>
    <x v="5"/>
    <x v="0"/>
    <n v="4"/>
    <n v="40"/>
    <n v="2.7"/>
    <n v="1"/>
    <n v="0.7"/>
  </r>
  <r>
    <s v="FL250248"/>
    <x v="246"/>
    <x v="1"/>
    <n v="58"/>
    <x v="8"/>
    <x v="6"/>
    <x v="3"/>
    <n v="23"/>
    <n v="40"/>
    <n v="4.9000000000000004"/>
    <n v="0"/>
    <n v="0.16"/>
  </r>
  <r>
    <s v="FL250249"/>
    <x v="247"/>
    <x v="1"/>
    <n v="34"/>
    <x v="18"/>
    <x v="15"/>
    <x v="5"/>
    <n v="6"/>
    <n v="75"/>
    <n v="1.9"/>
    <n v="1"/>
    <n v="0.81"/>
  </r>
  <r>
    <s v="FL250250"/>
    <x v="248"/>
    <x v="0"/>
    <n v="50"/>
    <x v="10"/>
    <x v="8"/>
    <x v="1"/>
    <n v="5"/>
    <n v="100"/>
    <n v="3"/>
    <n v="1"/>
    <n v="0.16"/>
  </r>
  <r>
    <s v="FL250251"/>
    <x v="249"/>
    <x v="0"/>
    <n v="42"/>
    <x v="19"/>
    <x v="6"/>
    <x v="8"/>
    <n v="19"/>
    <s v="$ 75"/>
    <n v="4.5999999999999996"/>
    <n v="0"/>
    <n v="0.78"/>
  </r>
  <r>
    <s v="FL250252"/>
    <x v="250"/>
    <x v="1"/>
    <n v="43"/>
    <x v="2"/>
    <x v="2"/>
    <x v="6"/>
    <n v="6"/>
    <n v="50"/>
    <n v="0"/>
    <n v="0"/>
    <n v="0.81"/>
  </r>
  <r>
    <s v="FL250253"/>
    <x v="251"/>
    <x v="1"/>
    <n v="34"/>
    <x v="2"/>
    <x v="2"/>
    <x v="5"/>
    <n v="8"/>
    <n v="75"/>
    <n v="1.8"/>
    <n v="1"/>
    <n v="0.71"/>
  </r>
  <r>
    <s v="FL250254"/>
    <x v="252"/>
    <x v="1"/>
    <n v="24"/>
    <x v="20"/>
    <x v="6"/>
    <x v="1"/>
    <n v="3"/>
    <n v="75"/>
    <n v="2"/>
    <n v="0"/>
    <n v="0.16"/>
  </r>
  <r>
    <s v="FL250255"/>
    <x v="253"/>
    <x v="1"/>
    <n v="48"/>
    <x v="17"/>
    <x v="14"/>
    <x v="6"/>
    <n v="8"/>
    <n v="30"/>
    <n v="5"/>
    <n v="1"/>
    <n v="0.99"/>
  </r>
  <r>
    <s v="FL250256"/>
    <x v="254"/>
    <x v="0"/>
    <n v="39"/>
    <x v="12"/>
    <x v="10"/>
    <x v="5"/>
    <n v="12"/>
    <n v="20"/>
    <n v="3.2"/>
    <n v="1"/>
    <n v="0.66"/>
  </r>
  <r>
    <s v="FL250257"/>
    <x v="255"/>
    <x v="0"/>
    <n v="57"/>
    <x v="1"/>
    <x v="1"/>
    <x v="0"/>
    <n v="30"/>
    <n v="30"/>
    <n v="2.4"/>
    <n v="1"/>
    <n v="0.8"/>
  </r>
  <r>
    <s v="FL250258"/>
    <x v="256"/>
    <x v="0"/>
    <n v="44"/>
    <x v="14"/>
    <x v="1"/>
    <x v="3"/>
    <n v="21"/>
    <n v="100"/>
    <n v="2.9"/>
    <n v="0"/>
    <n v="0.83"/>
  </r>
  <r>
    <s v="FL250259"/>
    <x v="257"/>
    <x v="1"/>
    <n v="37"/>
    <x v="11"/>
    <x v="9"/>
    <x v="6"/>
    <n v="17"/>
    <s v="$ 20"/>
    <n v="0"/>
    <n v="1"/>
    <n v="0.87"/>
  </r>
  <r>
    <s v="FL250260"/>
    <x v="258"/>
    <x v="1"/>
    <n v="50"/>
    <x v="6"/>
    <x v="5"/>
    <x v="5"/>
    <n v="9"/>
    <n v="30"/>
    <n v="3"/>
    <n v="0"/>
    <n v="0.76"/>
  </r>
  <r>
    <s v="FL250261"/>
    <x v="259"/>
    <x v="1"/>
    <n v="50"/>
    <x v="20"/>
    <x v="6"/>
    <x v="6"/>
    <n v="2"/>
    <n v="50"/>
    <n v="1.6"/>
    <n v="1"/>
    <n v="0.89"/>
  </r>
  <r>
    <s v="FL250262"/>
    <x v="260"/>
    <x v="0"/>
    <n v="28"/>
    <x v="15"/>
    <x v="12"/>
    <x v="2"/>
    <n v="1"/>
    <n v="20"/>
    <n v="3.6"/>
    <n v="1"/>
    <n v="0.94"/>
  </r>
  <r>
    <s v="FL250263"/>
    <x v="261"/>
    <x v="1"/>
    <n v="48"/>
    <x v="0"/>
    <x v="0"/>
    <x v="3"/>
    <n v="23"/>
    <n v="40"/>
    <n v="2.1"/>
    <n v="0"/>
    <n v="0.68"/>
  </r>
  <r>
    <s v="FL250264"/>
    <x v="262"/>
    <x v="1"/>
    <n v="42"/>
    <x v="2"/>
    <x v="2"/>
    <x v="8"/>
    <n v="8"/>
    <n v="30"/>
    <n v="3.6"/>
    <n v="1"/>
    <n v="0.96"/>
  </r>
  <r>
    <s v="FL250265"/>
    <x v="263"/>
    <x v="0"/>
    <n v="37"/>
    <x v="14"/>
    <x v="1"/>
    <x v="5"/>
    <n v="6"/>
    <n v="20"/>
    <n v="2.7"/>
    <n v="1"/>
    <n v="0.91"/>
  </r>
  <r>
    <s v="FL250266"/>
    <x v="264"/>
    <x v="1"/>
    <n v="21"/>
    <x v="10"/>
    <x v="8"/>
    <x v="0"/>
    <n v="1"/>
    <n v="100"/>
    <n v="2.1"/>
    <n v="1"/>
    <n v="0.92"/>
  </r>
  <r>
    <s v="FL250267"/>
    <x v="265"/>
    <x v="1"/>
    <n v="50"/>
    <x v="12"/>
    <x v="10"/>
    <x v="3"/>
    <n v="19"/>
    <n v="40"/>
    <n v="4.9000000000000004"/>
    <n v="1"/>
    <n v="0.82"/>
  </r>
  <r>
    <s v="FL250268"/>
    <x v="266"/>
    <x v="0"/>
    <n v="22"/>
    <x v="8"/>
    <x v="6"/>
    <x v="4"/>
    <n v="2"/>
    <n v="30"/>
    <n v="2.1"/>
    <n v="1"/>
    <n v="0.16"/>
  </r>
  <r>
    <s v="FL250269"/>
    <x v="267"/>
    <x v="0"/>
    <n v="39"/>
    <x v="9"/>
    <x v="7"/>
    <x v="3"/>
    <n v="21"/>
    <n v="100"/>
    <n v="0"/>
    <n v="1"/>
    <n v="0.91"/>
  </r>
  <r>
    <s v="FL250270"/>
    <x v="268"/>
    <x v="0"/>
    <n v="25"/>
    <x v="9"/>
    <x v="7"/>
    <x v="9"/>
    <n v="3"/>
    <n v="50"/>
    <n v="2.8"/>
    <n v="1"/>
    <n v="0.86"/>
  </r>
  <r>
    <s v="FL250271"/>
    <x v="269"/>
    <x v="0"/>
    <n v="47"/>
    <x v="17"/>
    <x v="14"/>
    <x v="1"/>
    <n v="14"/>
    <n v="40"/>
    <n v="3"/>
    <n v="0"/>
    <n v="0.69"/>
  </r>
  <r>
    <s v="FL250272"/>
    <x v="270"/>
    <x v="0"/>
    <n v="35"/>
    <x v="17"/>
    <x v="14"/>
    <x v="6"/>
    <n v="10"/>
    <s v="$ 100"/>
    <n v="4.7"/>
    <n v="1"/>
    <n v="0.84"/>
  </r>
  <r>
    <s v="FL250273"/>
    <x v="271"/>
    <x v="0"/>
    <n v="41"/>
    <x v="7"/>
    <x v="1"/>
    <x v="7"/>
    <n v="5"/>
    <n v="100"/>
    <n v="1.3"/>
    <n v="0"/>
    <n v="0.6"/>
  </r>
  <r>
    <s v="FL250274"/>
    <x v="272"/>
    <x v="1"/>
    <n v="35"/>
    <x v="3"/>
    <x v="3"/>
    <x v="0"/>
    <n v="6"/>
    <s v="$ 75"/>
    <n v="1.6"/>
    <n v="1"/>
    <n v="0.97"/>
  </r>
  <r>
    <s v="FL250275"/>
    <x v="273"/>
    <x v="1"/>
    <n v="59"/>
    <x v="15"/>
    <x v="12"/>
    <x v="3"/>
    <n v="21"/>
    <n v="100"/>
    <n v="0"/>
    <n v="1"/>
    <n v="0.7"/>
  </r>
  <r>
    <s v="FL250276"/>
    <x v="274"/>
    <x v="0"/>
    <n v="26"/>
    <x v="18"/>
    <x v="15"/>
    <x v="6"/>
    <n v="4"/>
    <s v="$ 100"/>
    <n v="3.6"/>
    <n v="1"/>
    <n v="0.81"/>
  </r>
  <r>
    <s v="FL250277"/>
    <x v="275"/>
    <x v="1"/>
    <n v="44"/>
    <x v="13"/>
    <x v="11"/>
    <x v="9"/>
    <n v="18"/>
    <n v="20"/>
    <n v="4.7"/>
    <n v="1"/>
    <n v="0.88"/>
  </r>
  <r>
    <s v="FL250278"/>
    <x v="276"/>
    <x v="0"/>
    <n v="31"/>
    <x v="17"/>
    <x v="14"/>
    <x v="6"/>
    <n v="12"/>
    <n v="40"/>
    <n v="3"/>
    <n v="1"/>
    <n v="0.01"/>
  </r>
  <r>
    <s v="FL250279"/>
    <x v="277"/>
    <x v="1"/>
    <n v="60"/>
    <x v="6"/>
    <x v="5"/>
    <x v="5"/>
    <n v="6"/>
    <n v="40"/>
    <n v="3.2"/>
    <n v="0"/>
    <n v="0.95"/>
  </r>
  <r>
    <s v="FL250280"/>
    <x v="278"/>
    <x v="0"/>
    <n v="23"/>
    <x v="7"/>
    <x v="1"/>
    <x v="0"/>
    <n v="4"/>
    <s v="$ 20"/>
    <n v="3"/>
    <n v="0"/>
    <n v="0.71"/>
  </r>
  <r>
    <s v="FL250281"/>
    <x v="279"/>
    <x v="1"/>
    <n v="42"/>
    <x v="4"/>
    <x v="4"/>
    <x v="6"/>
    <n v="13"/>
    <n v="20"/>
    <n v="4.7"/>
    <n v="0"/>
    <n v="0.85"/>
  </r>
  <r>
    <s v="FL250282"/>
    <x v="280"/>
    <x v="0"/>
    <n v="48"/>
    <x v="10"/>
    <x v="8"/>
    <x v="1"/>
    <n v="6"/>
    <n v="30"/>
    <n v="3"/>
    <n v="0"/>
    <n v="0.96"/>
  </r>
  <r>
    <s v="FL250283"/>
    <x v="281"/>
    <x v="1"/>
    <n v="42"/>
    <x v="3"/>
    <x v="3"/>
    <x v="2"/>
    <n v="10"/>
    <s v="$ 20"/>
    <n v="2.4"/>
    <n v="1"/>
    <n v="0.92"/>
  </r>
  <r>
    <s v="FL250284"/>
    <x v="282"/>
    <x v="1"/>
    <n v="52"/>
    <x v="12"/>
    <x v="10"/>
    <x v="7"/>
    <n v="20"/>
    <n v="50"/>
    <n v="3"/>
    <n v="0"/>
    <n v="0.79"/>
  </r>
  <r>
    <s v="FL250285"/>
    <x v="283"/>
    <x v="0"/>
    <n v="55"/>
    <x v="9"/>
    <x v="7"/>
    <x v="3"/>
    <n v="20"/>
    <n v="75"/>
    <n v="2.9"/>
    <n v="0"/>
    <n v="0.16"/>
  </r>
  <r>
    <s v="FL250286"/>
    <x v="284"/>
    <x v="0"/>
    <n v="58"/>
    <x v="17"/>
    <x v="14"/>
    <x v="7"/>
    <n v="11"/>
    <n v="50"/>
    <n v="0"/>
    <n v="0"/>
    <n v="0.16"/>
  </r>
  <r>
    <s v="FL250287"/>
    <x v="285"/>
    <x v="0"/>
    <n v="46"/>
    <x v="12"/>
    <x v="10"/>
    <x v="9"/>
    <n v="12"/>
    <n v="20"/>
    <n v="0"/>
    <n v="0"/>
    <n v="0.89"/>
  </r>
  <r>
    <s v="FL250288"/>
    <x v="286"/>
    <x v="0"/>
    <n v="45"/>
    <x v="20"/>
    <x v="6"/>
    <x v="9"/>
    <n v="1"/>
    <n v="100"/>
    <n v="1.5"/>
    <n v="1"/>
    <n v="0.01"/>
  </r>
  <r>
    <s v="FL250289"/>
    <x v="287"/>
    <x v="0"/>
    <n v="56"/>
    <x v="10"/>
    <x v="8"/>
    <x v="9"/>
    <n v="2"/>
    <n v="30"/>
    <n v="1.9"/>
    <n v="1"/>
    <n v="0.81"/>
  </r>
  <r>
    <s v="FL250290"/>
    <x v="288"/>
    <x v="1"/>
    <n v="44"/>
    <x v="7"/>
    <x v="1"/>
    <x v="0"/>
    <n v="13"/>
    <n v="100"/>
    <n v="3.1"/>
    <n v="1"/>
    <n v="0.95"/>
  </r>
  <r>
    <s v="FL250291"/>
    <x v="289"/>
    <x v="1"/>
    <n v="46"/>
    <x v="4"/>
    <x v="4"/>
    <x v="6"/>
    <n v="11"/>
    <n v="40"/>
    <n v="1.8"/>
    <n v="0"/>
    <n v="0.88"/>
  </r>
  <r>
    <s v="FL250292"/>
    <x v="290"/>
    <x v="0"/>
    <n v="27"/>
    <x v="9"/>
    <x v="7"/>
    <x v="3"/>
    <n v="7"/>
    <n v="30"/>
    <n v="2.4"/>
    <n v="1"/>
    <n v="0.66"/>
  </r>
  <r>
    <s v="FL250293"/>
    <x v="291"/>
    <x v="0"/>
    <n v="49"/>
    <x v="10"/>
    <x v="8"/>
    <x v="0"/>
    <n v="13"/>
    <n v="100"/>
    <n v="4.2"/>
    <n v="1"/>
    <n v="0.84"/>
  </r>
  <r>
    <s v="FL250294"/>
    <x v="292"/>
    <x v="1"/>
    <n v="53"/>
    <x v="19"/>
    <x v="6"/>
    <x v="3"/>
    <n v="21"/>
    <n v="50"/>
    <n v="1.4"/>
    <n v="0"/>
    <n v="0.16"/>
  </r>
  <r>
    <s v="FL250295"/>
    <x v="293"/>
    <x v="1"/>
    <n v="56"/>
    <x v="1"/>
    <x v="1"/>
    <x v="3"/>
    <n v="19"/>
    <n v="40"/>
    <n v="1.2"/>
    <n v="1"/>
    <n v="0.82"/>
  </r>
  <r>
    <s v="FL250296"/>
    <x v="294"/>
    <x v="0"/>
    <n v="56"/>
    <x v="7"/>
    <x v="1"/>
    <x v="8"/>
    <n v="34"/>
    <n v="40"/>
    <n v="2.1"/>
    <n v="1"/>
    <n v="0.84"/>
  </r>
  <r>
    <s v="FL250297"/>
    <x v="295"/>
    <x v="1"/>
    <n v="38"/>
    <x v="17"/>
    <x v="14"/>
    <x v="5"/>
    <n v="3"/>
    <n v="100"/>
    <n v="1.4"/>
    <n v="0"/>
    <n v="0.73"/>
  </r>
  <r>
    <s v="FL250298"/>
    <x v="296"/>
    <x v="1"/>
    <n v="20"/>
    <x v="12"/>
    <x v="10"/>
    <x v="1"/>
    <n v="11"/>
    <n v="30"/>
    <n v="3.8"/>
    <n v="1"/>
    <n v="0.93"/>
  </r>
  <r>
    <s v="FL250299"/>
    <x v="297"/>
    <x v="0"/>
    <n v="38"/>
    <x v="14"/>
    <x v="1"/>
    <x v="9"/>
    <n v="20"/>
    <n v="50"/>
    <n v="0"/>
    <n v="1"/>
    <n v="0.64"/>
  </r>
  <r>
    <s v="FL250300"/>
    <x v="298"/>
    <x v="0"/>
    <n v="41"/>
    <x v="3"/>
    <x v="3"/>
    <x v="1"/>
    <n v="6"/>
    <n v="40"/>
    <n v="3.5"/>
    <n v="0"/>
    <n v="0.76"/>
  </r>
  <r>
    <s v="FL250301"/>
    <x v="299"/>
    <x v="1"/>
    <n v="46"/>
    <x v="10"/>
    <x v="8"/>
    <x v="9"/>
    <n v="13"/>
    <n v="100"/>
    <n v="0"/>
    <n v="1"/>
    <n v="0.97"/>
  </r>
  <r>
    <s v="FL250302"/>
    <x v="300"/>
    <x v="1"/>
    <n v="36"/>
    <x v="17"/>
    <x v="14"/>
    <x v="5"/>
    <n v="9"/>
    <n v="75"/>
    <n v="2.2000000000000002"/>
    <n v="0"/>
    <n v="0.95"/>
  </r>
  <r>
    <s v="FL250303"/>
    <x v="301"/>
    <x v="1"/>
    <n v="33"/>
    <x v="13"/>
    <x v="11"/>
    <x v="3"/>
    <n v="2"/>
    <n v="75"/>
    <n v="2.5"/>
    <n v="0"/>
    <n v="0.65"/>
  </r>
  <r>
    <s v="FL250304"/>
    <x v="302"/>
    <x v="0"/>
    <n v="37"/>
    <x v="14"/>
    <x v="1"/>
    <x v="2"/>
    <n v="11"/>
    <s v="$ 50"/>
    <n v="4.7"/>
    <n v="0"/>
    <n v="0.77"/>
  </r>
  <r>
    <s v="FL250305"/>
    <x v="303"/>
    <x v="1"/>
    <n v="20"/>
    <x v="16"/>
    <x v="13"/>
    <x v="5"/>
    <n v="11"/>
    <n v="20"/>
    <n v="3.9"/>
    <n v="0"/>
    <n v="0.16"/>
  </r>
  <r>
    <s v="FL250306"/>
    <x v="304"/>
    <x v="0"/>
    <n v="48"/>
    <x v="18"/>
    <x v="15"/>
    <x v="5"/>
    <n v="2"/>
    <n v="75"/>
    <n v="1.6"/>
    <n v="0"/>
    <n v="0.67"/>
  </r>
  <r>
    <s v="FL250307"/>
    <x v="305"/>
    <x v="1"/>
    <n v="27"/>
    <x v="15"/>
    <x v="12"/>
    <x v="7"/>
    <n v="2"/>
    <n v="50"/>
    <n v="3"/>
    <n v="0"/>
    <n v="0.84"/>
  </r>
  <r>
    <s v="FL250308"/>
    <x v="306"/>
    <x v="1"/>
    <n v="34"/>
    <x v="12"/>
    <x v="10"/>
    <x v="1"/>
    <n v="1"/>
    <n v="30"/>
    <n v="3.6"/>
    <n v="1"/>
    <n v="0.87"/>
  </r>
  <r>
    <s v="FL250309"/>
    <x v="307"/>
    <x v="1"/>
    <n v="55"/>
    <x v="11"/>
    <x v="9"/>
    <x v="9"/>
    <n v="14"/>
    <s v="$ 30"/>
    <n v="1.2"/>
    <n v="1"/>
    <n v="0.91"/>
  </r>
  <r>
    <s v="FL250310"/>
    <x v="308"/>
    <x v="0"/>
    <n v="44"/>
    <x v="17"/>
    <x v="14"/>
    <x v="9"/>
    <n v="14"/>
    <s v="$ 75"/>
    <n v="3"/>
    <n v="0"/>
    <n v="0.78"/>
  </r>
  <r>
    <s v="FL250311"/>
    <x v="309"/>
    <x v="1"/>
    <n v="31"/>
    <x v="3"/>
    <x v="3"/>
    <x v="6"/>
    <n v="2"/>
    <n v="50"/>
    <n v="3.9"/>
    <n v="0"/>
    <n v="0.16"/>
  </r>
  <r>
    <s v="FL250312"/>
    <x v="310"/>
    <x v="1"/>
    <n v="34"/>
    <x v="1"/>
    <x v="1"/>
    <x v="8"/>
    <n v="1"/>
    <n v="40"/>
    <n v="1.7"/>
    <n v="1"/>
    <n v="0.74"/>
  </r>
  <r>
    <s v="FL250313"/>
    <x v="311"/>
    <x v="0"/>
    <n v="47"/>
    <x v="11"/>
    <x v="9"/>
    <x v="8"/>
    <n v="13"/>
    <n v="20"/>
    <n v="4.5"/>
    <n v="1"/>
    <n v="0.91"/>
  </r>
  <r>
    <s v="FL250314"/>
    <x v="312"/>
    <x v="1"/>
    <n v="50"/>
    <x v="5"/>
    <x v="1"/>
    <x v="2"/>
    <n v="23"/>
    <n v="40"/>
    <n v="3.6"/>
    <n v="1"/>
    <n v="0.71"/>
  </r>
  <r>
    <s v="FL250315"/>
    <x v="313"/>
    <x v="1"/>
    <n v="39"/>
    <x v="2"/>
    <x v="2"/>
    <x v="7"/>
    <n v="11"/>
    <s v="$ 75"/>
    <n v="3.6"/>
    <n v="1"/>
    <n v="0.87"/>
  </r>
  <r>
    <s v="FL250316"/>
    <x v="314"/>
    <x v="0"/>
    <n v="26"/>
    <x v="8"/>
    <x v="6"/>
    <x v="0"/>
    <n v="3"/>
    <s v="$ 100"/>
    <n v="2.8"/>
    <n v="1"/>
    <n v="0.61"/>
  </r>
  <r>
    <s v="FL250317"/>
    <x v="315"/>
    <x v="1"/>
    <n v="41"/>
    <x v="3"/>
    <x v="3"/>
    <x v="8"/>
    <n v="11"/>
    <n v="100"/>
    <n v="5"/>
    <n v="0"/>
    <n v="0.16"/>
  </r>
  <r>
    <s v="FL250318"/>
    <x v="316"/>
    <x v="1"/>
    <n v="32"/>
    <x v="2"/>
    <x v="2"/>
    <x v="2"/>
    <n v="11"/>
    <n v="100"/>
    <n v="1.4"/>
    <n v="1"/>
    <n v="0.81"/>
  </r>
  <r>
    <s v="FL250319"/>
    <x v="317"/>
    <x v="0"/>
    <n v="55"/>
    <x v="13"/>
    <x v="11"/>
    <x v="5"/>
    <n v="17"/>
    <n v="30"/>
    <n v="3"/>
    <n v="1"/>
    <n v="0.16"/>
  </r>
  <r>
    <s v="FL250320"/>
    <x v="318"/>
    <x v="1"/>
    <n v="32"/>
    <x v="8"/>
    <x v="6"/>
    <x v="9"/>
    <n v="9"/>
    <s v="$ 40"/>
    <n v="4.5999999999999996"/>
    <n v="1"/>
    <n v="0.84"/>
  </r>
  <r>
    <s v="FL250321"/>
    <x v="319"/>
    <x v="1"/>
    <n v="30"/>
    <x v="12"/>
    <x v="10"/>
    <x v="0"/>
    <n v="4"/>
    <n v="20"/>
    <n v="3.3"/>
    <n v="1"/>
    <n v="0.16"/>
  </r>
  <r>
    <s v="FL250322"/>
    <x v="320"/>
    <x v="0"/>
    <n v="37"/>
    <x v="14"/>
    <x v="1"/>
    <x v="7"/>
    <n v="11"/>
    <n v="40"/>
    <n v="3.7"/>
    <n v="1"/>
    <n v="0.16"/>
  </r>
  <r>
    <s v="FL250323"/>
    <x v="321"/>
    <x v="1"/>
    <n v="52"/>
    <x v="11"/>
    <x v="9"/>
    <x v="2"/>
    <n v="33"/>
    <n v="40"/>
    <n v="0"/>
    <n v="1"/>
    <n v="0.6"/>
  </r>
  <r>
    <s v="FL250324"/>
    <x v="322"/>
    <x v="1"/>
    <n v="48"/>
    <x v="10"/>
    <x v="8"/>
    <x v="7"/>
    <n v="18"/>
    <n v="50"/>
    <n v="0"/>
    <n v="1"/>
    <n v="0.64"/>
  </r>
  <r>
    <s v="FL250325"/>
    <x v="323"/>
    <x v="0"/>
    <n v="28"/>
    <x v="9"/>
    <x v="7"/>
    <x v="1"/>
    <n v="9"/>
    <n v="40"/>
    <n v="3"/>
    <n v="1"/>
    <n v="0.64"/>
  </r>
  <r>
    <s v="FL250326"/>
    <x v="324"/>
    <x v="0"/>
    <n v="58"/>
    <x v="20"/>
    <x v="6"/>
    <x v="5"/>
    <n v="40"/>
    <n v="75"/>
    <n v="3.4"/>
    <n v="1"/>
    <n v="0.01"/>
  </r>
  <r>
    <s v="FL250327"/>
    <x v="325"/>
    <x v="1"/>
    <n v="30"/>
    <x v="8"/>
    <x v="6"/>
    <x v="3"/>
    <n v="1"/>
    <n v="40"/>
    <n v="1.6"/>
    <n v="1"/>
    <n v="1"/>
  </r>
  <r>
    <s v="FL250328"/>
    <x v="326"/>
    <x v="0"/>
    <n v="47"/>
    <x v="18"/>
    <x v="15"/>
    <x v="1"/>
    <n v="5"/>
    <n v="20"/>
    <n v="1.9"/>
    <n v="0"/>
    <n v="0.16"/>
  </r>
  <r>
    <s v="FL250329"/>
    <x v="327"/>
    <x v="1"/>
    <n v="44"/>
    <x v="8"/>
    <x v="6"/>
    <x v="4"/>
    <n v="4"/>
    <n v="50"/>
    <n v="0"/>
    <n v="1"/>
    <n v="0.83"/>
  </r>
  <r>
    <s v="FL250330"/>
    <x v="328"/>
    <x v="1"/>
    <n v="56"/>
    <x v="0"/>
    <x v="0"/>
    <x v="9"/>
    <n v="13"/>
    <s v="$ 40"/>
    <n v="3"/>
    <n v="1"/>
    <n v="0.87"/>
  </r>
  <r>
    <s v="FL250331"/>
    <x v="329"/>
    <x v="0"/>
    <n v="53"/>
    <x v="5"/>
    <x v="1"/>
    <x v="1"/>
    <n v="33"/>
    <n v="100"/>
    <n v="3"/>
    <n v="1"/>
    <n v="0.75"/>
  </r>
  <r>
    <s v="FL250332"/>
    <x v="330"/>
    <x v="1"/>
    <n v="59"/>
    <x v="7"/>
    <x v="1"/>
    <x v="1"/>
    <n v="22"/>
    <n v="40"/>
    <n v="1.1000000000000001"/>
    <n v="1"/>
    <n v="0.61"/>
  </r>
  <r>
    <s v="FL250333"/>
    <x v="331"/>
    <x v="1"/>
    <n v="60"/>
    <x v="5"/>
    <x v="1"/>
    <x v="8"/>
    <n v="34"/>
    <n v="40"/>
    <n v="2.5"/>
    <n v="0"/>
    <n v="0.93"/>
  </r>
  <r>
    <s v="FL250334"/>
    <x v="332"/>
    <x v="0"/>
    <n v="33"/>
    <x v="2"/>
    <x v="2"/>
    <x v="1"/>
    <n v="8"/>
    <s v="$ 30"/>
    <n v="3.6"/>
    <n v="1"/>
    <n v="0.16"/>
  </r>
  <r>
    <s v="FL250335"/>
    <x v="333"/>
    <x v="0"/>
    <n v="21"/>
    <x v="8"/>
    <x v="6"/>
    <x v="3"/>
    <n v="1"/>
    <s v="$ 20"/>
    <n v="3"/>
    <n v="0"/>
    <n v="0.99"/>
  </r>
  <r>
    <s v="FL250336"/>
    <x v="334"/>
    <x v="1"/>
    <n v="54"/>
    <x v="7"/>
    <x v="1"/>
    <x v="6"/>
    <n v="20"/>
    <n v="50"/>
    <n v="4.4000000000000004"/>
    <n v="0"/>
    <n v="0.73"/>
  </r>
  <r>
    <s v="FL250337"/>
    <x v="335"/>
    <x v="0"/>
    <n v="33"/>
    <x v="5"/>
    <x v="1"/>
    <x v="2"/>
    <n v="11"/>
    <n v="75"/>
    <n v="2.1"/>
    <n v="0"/>
    <n v="0.96"/>
  </r>
  <r>
    <s v="FL250338"/>
    <x v="336"/>
    <x v="0"/>
    <n v="57"/>
    <x v="6"/>
    <x v="5"/>
    <x v="5"/>
    <n v="2"/>
    <n v="40"/>
    <n v="0"/>
    <n v="0"/>
    <n v="0.6"/>
  </r>
  <r>
    <s v="FL250339"/>
    <x v="337"/>
    <x v="1"/>
    <n v="36"/>
    <x v="12"/>
    <x v="10"/>
    <x v="2"/>
    <n v="6"/>
    <n v="20"/>
    <n v="1"/>
    <n v="1"/>
    <n v="0.64"/>
  </r>
  <r>
    <s v="FL250340"/>
    <x v="338"/>
    <x v="1"/>
    <n v="50"/>
    <x v="2"/>
    <x v="2"/>
    <x v="0"/>
    <n v="20"/>
    <s v="$ 30"/>
    <n v="0"/>
    <n v="0"/>
    <n v="0.16"/>
  </r>
  <r>
    <s v="FL250341"/>
    <x v="339"/>
    <x v="0"/>
    <n v="37"/>
    <x v="14"/>
    <x v="1"/>
    <x v="8"/>
    <n v="11"/>
    <s v="$ 20"/>
    <n v="4.9000000000000004"/>
    <n v="0"/>
    <n v="0.16"/>
  </r>
  <r>
    <s v="FL250342"/>
    <x v="340"/>
    <x v="1"/>
    <n v="53"/>
    <x v="0"/>
    <x v="0"/>
    <x v="4"/>
    <n v="4"/>
    <n v="30"/>
    <n v="4.7"/>
    <n v="1"/>
    <n v="0.99"/>
  </r>
  <r>
    <s v="FL250343"/>
    <x v="341"/>
    <x v="0"/>
    <n v="22"/>
    <x v="0"/>
    <x v="0"/>
    <x v="0"/>
    <n v="3"/>
    <s v="$ 40"/>
    <n v="2.1"/>
    <n v="0"/>
    <n v="0.16"/>
  </r>
  <r>
    <s v="FL250344"/>
    <x v="342"/>
    <x v="0"/>
    <n v="55"/>
    <x v="3"/>
    <x v="3"/>
    <x v="1"/>
    <n v="33"/>
    <n v="40"/>
    <n v="1.5"/>
    <n v="1"/>
    <n v="0.71"/>
  </r>
  <r>
    <s v="FL250345"/>
    <x v="343"/>
    <x v="1"/>
    <n v="22"/>
    <x v="1"/>
    <x v="1"/>
    <x v="7"/>
    <n v="1"/>
    <n v="40"/>
    <n v="2.6"/>
    <n v="0"/>
    <n v="0.72"/>
  </r>
  <r>
    <s v="FL250346"/>
    <x v="344"/>
    <x v="0"/>
    <n v="45"/>
    <x v="6"/>
    <x v="5"/>
    <x v="3"/>
    <n v="23"/>
    <s v="$ 50"/>
    <n v="0"/>
    <n v="0"/>
    <n v="0.66"/>
  </r>
  <r>
    <s v="FL250347"/>
    <x v="345"/>
    <x v="1"/>
    <n v="36"/>
    <x v="15"/>
    <x v="12"/>
    <x v="5"/>
    <n v="13"/>
    <n v="40"/>
    <n v="3"/>
    <n v="0"/>
    <n v="0.78"/>
  </r>
  <r>
    <s v="FL250348"/>
    <x v="346"/>
    <x v="1"/>
    <n v="23"/>
    <x v="1"/>
    <x v="1"/>
    <x v="8"/>
    <n v="1"/>
    <s v="$ 20"/>
    <n v="4"/>
    <n v="1"/>
    <n v="1"/>
  </r>
  <r>
    <s v="FL250349"/>
    <x v="347"/>
    <x v="1"/>
    <n v="55"/>
    <x v="0"/>
    <x v="0"/>
    <x v="8"/>
    <n v="15"/>
    <n v="40"/>
    <n v="4.5"/>
    <n v="1"/>
    <n v="0.16"/>
  </r>
  <r>
    <s v="FL250350"/>
    <x v="348"/>
    <x v="0"/>
    <n v="50"/>
    <x v="11"/>
    <x v="9"/>
    <x v="1"/>
    <n v="18"/>
    <n v="75"/>
    <n v="3.8"/>
    <n v="0"/>
    <n v="0.67"/>
  </r>
  <r>
    <s v="FL250351"/>
    <x v="349"/>
    <x v="1"/>
    <n v="48"/>
    <x v="5"/>
    <x v="1"/>
    <x v="9"/>
    <n v="21"/>
    <n v="50"/>
    <n v="4"/>
    <n v="0"/>
    <n v="0.78"/>
  </r>
  <r>
    <s v="FL250352"/>
    <x v="350"/>
    <x v="1"/>
    <n v="23"/>
    <x v="3"/>
    <x v="3"/>
    <x v="8"/>
    <n v="1"/>
    <n v="40"/>
    <n v="4.9000000000000004"/>
    <n v="1"/>
    <n v="0.78"/>
  </r>
  <r>
    <s v="FL250353"/>
    <x v="351"/>
    <x v="0"/>
    <n v="49"/>
    <x v="14"/>
    <x v="1"/>
    <x v="3"/>
    <n v="25"/>
    <n v="30"/>
    <n v="3.4"/>
    <n v="0"/>
    <n v="0.75"/>
  </r>
  <r>
    <s v="FL250354"/>
    <x v="352"/>
    <x v="0"/>
    <n v="47"/>
    <x v="0"/>
    <x v="0"/>
    <x v="7"/>
    <n v="12"/>
    <n v="50"/>
    <n v="2.1"/>
    <n v="1"/>
    <n v="0.67"/>
  </r>
  <r>
    <s v="FL250355"/>
    <x v="353"/>
    <x v="0"/>
    <n v="56"/>
    <x v="9"/>
    <x v="7"/>
    <x v="2"/>
    <n v="32"/>
    <s v="$ 40"/>
    <n v="0"/>
    <n v="1"/>
    <n v="0.86"/>
  </r>
  <r>
    <s v="FL250356"/>
    <x v="354"/>
    <x v="1"/>
    <n v="58"/>
    <x v="8"/>
    <x v="6"/>
    <x v="6"/>
    <n v="11"/>
    <n v="100"/>
    <n v="4.5"/>
    <n v="1"/>
    <n v="0.77"/>
  </r>
  <r>
    <s v="FL250357"/>
    <x v="355"/>
    <x v="1"/>
    <n v="32"/>
    <x v="12"/>
    <x v="10"/>
    <x v="6"/>
    <n v="10"/>
    <n v="30"/>
    <n v="3.8"/>
    <n v="0"/>
    <n v="0.61"/>
  </r>
  <r>
    <s v="FL250358"/>
    <x v="356"/>
    <x v="0"/>
    <n v="52"/>
    <x v="10"/>
    <x v="8"/>
    <x v="6"/>
    <n v="11"/>
    <n v="40"/>
    <n v="4.3"/>
    <n v="0"/>
    <n v="0.9"/>
  </r>
  <r>
    <s v="FL250359"/>
    <x v="357"/>
    <x v="0"/>
    <n v="22"/>
    <x v="18"/>
    <x v="15"/>
    <x v="5"/>
    <n v="1"/>
    <n v="50"/>
    <n v="0"/>
    <n v="1"/>
    <n v="0.98"/>
  </r>
  <r>
    <s v="FL250360"/>
    <x v="358"/>
    <x v="1"/>
    <n v="20"/>
    <x v="10"/>
    <x v="8"/>
    <x v="7"/>
    <n v="2"/>
    <n v="30"/>
    <n v="3"/>
    <n v="1"/>
    <n v="0.99"/>
  </r>
  <r>
    <s v="FL250361"/>
    <x v="359"/>
    <x v="1"/>
    <n v="56"/>
    <x v="3"/>
    <x v="3"/>
    <x v="5"/>
    <n v="9"/>
    <s v="$ 40"/>
    <n v="2.6"/>
    <n v="0"/>
    <n v="0.61"/>
  </r>
  <r>
    <s v="FL250362"/>
    <x v="360"/>
    <x v="1"/>
    <n v="41"/>
    <x v="9"/>
    <x v="7"/>
    <x v="5"/>
    <n v="22"/>
    <s v="$ 50"/>
    <n v="1.6"/>
    <n v="1"/>
    <n v="0.61"/>
  </r>
  <r>
    <s v="FL250363"/>
    <x v="361"/>
    <x v="1"/>
    <n v="25"/>
    <x v="8"/>
    <x v="6"/>
    <x v="0"/>
    <n v="5"/>
    <n v="30"/>
    <n v="2.2999999999999998"/>
    <n v="0"/>
    <n v="0.91"/>
  </r>
  <r>
    <s v="FL250364"/>
    <x v="362"/>
    <x v="0"/>
    <n v="44"/>
    <x v="14"/>
    <x v="1"/>
    <x v="7"/>
    <n v="6"/>
    <n v="75"/>
    <n v="4.5999999999999996"/>
    <n v="1"/>
    <n v="0.72"/>
  </r>
  <r>
    <s v="FL250365"/>
    <x v="363"/>
    <x v="0"/>
    <n v="46"/>
    <x v="1"/>
    <x v="1"/>
    <x v="3"/>
    <n v="26"/>
    <n v="100"/>
    <n v="2.1"/>
    <n v="1"/>
    <n v="0.16"/>
  </r>
  <r>
    <s v="FL250366"/>
    <x v="364"/>
    <x v="0"/>
    <n v="40"/>
    <x v="12"/>
    <x v="10"/>
    <x v="0"/>
    <n v="11"/>
    <n v="40"/>
    <n v="1.5"/>
    <n v="0"/>
    <n v="0.96"/>
  </r>
  <r>
    <s v="FL250367"/>
    <x v="365"/>
    <x v="1"/>
    <n v="41"/>
    <x v="18"/>
    <x v="15"/>
    <x v="4"/>
    <n v="9"/>
    <s v="$ 40"/>
    <n v="1.7"/>
    <n v="1"/>
    <n v="0.72"/>
  </r>
  <r>
    <s v="FL250368"/>
    <x v="366"/>
    <x v="1"/>
    <n v="31"/>
    <x v="9"/>
    <x v="7"/>
    <x v="5"/>
    <n v="11"/>
    <n v="40"/>
    <n v="3.3"/>
    <n v="0"/>
    <n v="0.16"/>
  </r>
  <r>
    <s v="FL250369"/>
    <x v="367"/>
    <x v="1"/>
    <n v="33"/>
    <x v="12"/>
    <x v="10"/>
    <x v="9"/>
    <n v="11"/>
    <n v="40"/>
    <n v="4.3"/>
    <n v="1"/>
    <n v="0.63"/>
  </r>
  <r>
    <s v="FL250370"/>
    <x v="368"/>
    <x v="0"/>
    <n v="31"/>
    <x v="11"/>
    <x v="9"/>
    <x v="9"/>
    <n v="3"/>
    <n v="20"/>
    <n v="3"/>
    <n v="0"/>
    <n v="0.16"/>
  </r>
  <r>
    <s v="FL250371"/>
    <x v="369"/>
    <x v="0"/>
    <n v="49"/>
    <x v="0"/>
    <x v="0"/>
    <x v="5"/>
    <n v="15"/>
    <s v="$ 75"/>
    <n v="2.6"/>
    <n v="0"/>
    <n v="0.83"/>
  </r>
  <r>
    <s v="FL250372"/>
    <x v="370"/>
    <x v="1"/>
    <n v="35"/>
    <x v="19"/>
    <x v="6"/>
    <x v="2"/>
    <n v="12"/>
    <s v="$ 20"/>
    <n v="4.0999999999999996"/>
    <n v="1"/>
    <n v="0.94"/>
  </r>
  <r>
    <s v="FL250373"/>
    <x v="371"/>
    <x v="1"/>
    <n v="45"/>
    <x v="10"/>
    <x v="8"/>
    <x v="5"/>
    <n v="19"/>
    <n v="40"/>
    <n v="2.2000000000000002"/>
    <n v="1"/>
    <n v="0.78"/>
  </r>
  <r>
    <s v="FL250374"/>
    <x v="372"/>
    <x v="0"/>
    <n v="39"/>
    <x v="3"/>
    <x v="3"/>
    <x v="5"/>
    <n v="13"/>
    <n v="30"/>
    <n v="1.1000000000000001"/>
    <n v="1"/>
    <n v="0.16"/>
  </r>
  <r>
    <s v="FL250375"/>
    <x v="373"/>
    <x v="1"/>
    <n v="41"/>
    <x v="8"/>
    <x v="6"/>
    <x v="0"/>
    <n v="11"/>
    <n v="50"/>
    <n v="2.1"/>
    <n v="1"/>
    <n v="0.82"/>
  </r>
  <r>
    <s v="FL250376"/>
    <x v="374"/>
    <x v="1"/>
    <n v="24"/>
    <x v="2"/>
    <x v="2"/>
    <x v="7"/>
    <n v="3"/>
    <n v="30"/>
    <n v="2.2999999999999998"/>
    <n v="0"/>
    <n v="0.66"/>
  </r>
  <r>
    <s v="FL250377"/>
    <x v="375"/>
    <x v="1"/>
    <n v="50"/>
    <x v="1"/>
    <x v="1"/>
    <x v="2"/>
    <n v="26"/>
    <n v="40"/>
    <n v="3.6"/>
    <n v="1"/>
    <n v="0.82"/>
  </r>
  <r>
    <s v="FL250378"/>
    <x v="376"/>
    <x v="0"/>
    <n v="23"/>
    <x v="2"/>
    <x v="2"/>
    <x v="9"/>
    <n v="4"/>
    <s v="$ 20"/>
    <n v="4.7"/>
    <n v="1"/>
    <n v="0.84"/>
  </r>
  <r>
    <s v="FL250379"/>
    <x v="377"/>
    <x v="1"/>
    <n v="27"/>
    <x v="14"/>
    <x v="1"/>
    <x v="7"/>
    <n v="8"/>
    <n v="20"/>
    <n v="4.8"/>
    <n v="0"/>
    <n v="0.81"/>
  </r>
  <r>
    <s v="FL250380"/>
    <x v="378"/>
    <x v="1"/>
    <n v="58"/>
    <x v="17"/>
    <x v="14"/>
    <x v="4"/>
    <n v="10"/>
    <n v="75"/>
    <n v="4.2"/>
    <n v="0"/>
    <n v="0.71"/>
  </r>
  <r>
    <s v="FL250381"/>
    <x v="379"/>
    <x v="1"/>
    <n v="37"/>
    <x v="0"/>
    <x v="0"/>
    <x v="9"/>
    <n v="5"/>
    <n v="40"/>
    <n v="4.8"/>
    <n v="1"/>
    <n v="0.61"/>
  </r>
  <r>
    <s v="FL250382"/>
    <x v="380"/>
    <x v="1"/>
    <n v="39"/>
    <x v="20"/>
    <x v="6"/>
    <x v="0"/>
    <n v="18"/>
    <n v="75"/>
    <n v="4"/>
    <n v="1"/>
    <n v="0.66"/>
  </r>
  <r>
    <s v="FL250383"/>
    <x v="381"/>
    <x v="0"/>
    <n v="46"/>
    <x v="16"/>
    <x v="13"/>
    <x v="5"/>
    <n v="10"/>
    <n v="20"/>
    <n v="2.5"/>
    <n v="1"/>
    <n v="0.97"/>
  </r>
  <r>
    <s v="FL250384"/>
    <x v="382"/>
    <x v="0"/>
    <n v="41"/>
    <x v="7"/>
    <x v="1"/>
    <x v="6"/>
    <n v="11"/>
    <s v="$ 20"/>
    <n v="4.8"/>
    <n v="0"/>
    <n v="0.74"/>
  </r>
  <r>
    <s v="FL250385"/>
    <x v="383"/>
    <x v="0"/>
    <n v="39"/>
    <x v="19"/>
    <x v="6"/>
    <x v="0"/>
    <n v="21"/>
    <n v="30"/>
    <n v="4.7"/>
    <n v="0"/>
    <n v="0.61"/>
  </r>
  <r>
    <s v="FL250386"/>
    <x v="384"/>
    <x v="1"/>
    <n v="59"/>
    <x v="16"/>
    <x v="13"/>
    <x v="0"/>
    <n v="25"/>
    <n v="20"/>
    <n v="4"/>
    <n v="0"/>
    <n v="0.9"/>
  </r>
  <r>
    <s v="FL250387"/>
    <x v="385"/>
    <x v="1"/>
    <n v="21"/>
    <x v="3"/>
    <x v="3"/>
    <x v="8"/>
    <n v="11"/>
    <n v="40"/>
    <n v="4.0999999999999996"/>
    <n v="1"/>
    <n v="0.97"/>
  </r>
  <r>
    <s v="FL250388"/>
    <x v="386"/>
    <x v="0"/>
    <n v="23"/>
    <x v="14"/>
    <x v="1"/>
    <x v="8"/>
    <n v="5"/>
    <n v="100"/>
    <n v="3.2"/>
    <n v="1"/>
    <n v="0.16"/>
  </r>
  <r>
    <s v="FL250389"/>
    <x v="387"/>
    <x v="1"/>
    <n v="27"/>
    <x v="16"/>
    <x v="13"/>
    <x v="3"/>
    <n v="1"/>
    <n v="20"/>
    <n v="4.3"/>
    <n v="0"/>
    <n v="0.76"/>
  </r>
  <r>
    <s v="FL250390"/>
    <x v="388"/>
    <x v="1"/>
    <n v="27"/>
    <x v="18"/>
    <x v="15"/>
    <x v="7"/>
    <n v="4"/>
    <n v="40"/>
    <n v="4.4000000000000004"/>
    <n v="0"/>
    <n v="0.92"/>
  </r>
  <r>
    <s v="FL250391"/>
    <x v="389"/>
    <x v="0"/>
    <n v="48"/>
    <x v="17"/>
    <x v="14"/>
    <x v="5"/>
    <n v="21"/>
    <n v="40"/>
    <n v="2.2999999999999998"/>
    <n v="0"/>
    <n v="0.16"/>
  </r>
  <r>
    <s v="FL250392"/>
    <x v="390"/>
    <x v="1"/>
    <n v="21"/>
    <x v="17"/>
    <x v="14"/>
    <x v="4"/>
    <n v="1"/>
    <n v="20"/>
    <n v="2.4"/>
    <n v="1"/>
    <n v="0.66"/>
  </r>
  <r>
    <s v="FL250393"/>
    <x v="391"/>
    <x v="1"/>
    <n v="37"/>
    <x v="0"/>
    <x v="0"/>
    <x v="8"/>
    <n v="11"/>
    <n v="50"/>
    <n v="4.5999999999999996"/>
    <n v="0"/>
    <n v="0.83"/>
  </r>
  <r>
    <s v="FL250394"/>
    <x v="392"/>
    <x v="0"/>
    <n v="31"/>
    <x v="2"/>
    <x v="2"/>
    <x v="6"/>
    <n v="10"/>
    <n v="50"/>
    <n v="0"/>
    <n v="1"/>
    <n v="0.16"/>
  </r>
  <r>
    <s v="FL250395"/>
    <x v="393"/>
    <x v="0"/>
    <n v="41"/>
    <x v="16"/>
    <x v="13"/>
    <x v="0"/>
    <n v="21"/>
    <n v="40"/>
    <n v="0"/>
    <n v="1"/>
    <n v="0.16"/>
  </r>
  <r>
    <s v="FL250396"/>
    <x v="394"/>
    <x v="1"/>
    <n v="31"/>
    <x v="13"/>
    <x v="11"/>
    <x v="7"/>
    <n v="11"/>
    <n v="20"/>
    <n v="4.2"/>
    <n v="1"/>
    <n v="0.82"/>
  </r>
  <r>
    <s v="FL250397"/>
    <x v="395"/>
    <x v="0"/>
    <n v="58"/>
    <x v="8"/>
    <x v="6"/>
    <x v="5"/>
    <n v="11"/>
    <n v="50"/>
    <n v="2.2999999999999998"/>
    <n v="0"/>
    <n v="0.77"/>
  </r>
  <r>
    <s v="FL250398"/>
    <x v="396"/>
    <x v="0"/>
    <n v="45"/>
    <x v="3"/>
    <x v="3"/>
    <x v="5"/>
    <n v="17"/>
    <n v="50"/>
    <n v="4.7"/>
    <n v="1"/>
    <n v="0.73"/>
  </r>
  <r>
    <s v="FL250399"/>
    <x v="397"/>
    <x v="1"/>
    <n v="51"/>
    <x v="12"/>
    <x v="10"/>
    <x v="7"/>
    <n v="5"/>
    <n v="40"/>
    <n v="3"/>
    <n v="1"/>
    <n v="0.88"/>
  </r>
  <r>
    <s v="FL250400"/>
    <x v="398"/>
    <x v="1"/>
    <n v="54"/>
    <x v="5"/>
    <x v="1"/>
    <x v="6"/>
    <n v="3"/>
    <s v="$ 30"/>
    <n v="2.4"/>
    <n v="0"/>
    <n v="0.81"/>
  </r>
  <r>
    <s v="FL250401"/>
    <x v="399"/>
    <x v="1"/>
    <n v="22"/>
    <x v="13"/>
    <x v="11"/>
    <x v="5"/>
    <n v="1"/>
    <n v="20"/>
    <n v="1.7"/>
    <n v="0"/>
    <n v="0.78"/>
  </r>
  <r>
    <s v="FL250402"/>
    <x v="400"/>
    <x v="1"/>
    <n v="36"/>
    <x v="6"/>
    <x v="5"/>
    <x v="7"/>
    <n v="2"/>
    <n v="75"/>
    <n v="0"/>
    <n v="0"/>
    <n v="0.92"/>
  </r>
  <r>
    <s v="FL250403"/>
    <x v="401"/>
    <x v="1"/>
    <n v="50"/>
    <x v="2"/>
    <x v="2"/>
    <x v="8"/>
    <n v="32"/>
    <n v="30"/>
    <n v="3"/>
    <n v="0"/>
    <n v="0.64"/>
  </r>
  <r>
    <s v="FL250404"/>
    <x v="402"/>
    <x v="0"/>
    <n v="41"/>
    <x v="1"/>
    <x v="1"/>
    <x v="0"/>
    <n v="14"/>
    <n v="30"/>
    <n v="0"/>
    <n v="1"/>
    <n v="0.78"/>
  </r>
  <r>
    <s v="FL250405"/>
    <x v="403"/>
    <x v="1"/>
    <n v="41"/>
    <x v="17"/>
    <x v="14"/>
    <x v="3"/>
    <n v="10"/>
    <n v="20"/>
    <n v="1.8"/>
    <n v="1"/>
    <n v="0.85"/>
  </r>
  <r>
    <s v="FL250406"/>
    <x v="404"/>
    <x v="0"/>
    <n v="51"/>
    <x v="3"/>
    <x v="3"/>
    <x v="7"/>
    <n v="27"/>
    <n v="50"/>
    <n v="0"/>
    <n v="1"/>
    <n v="0.78"/>
  </r>
  <r>
    <s v="FL250407"/>
    <x v="405"/>
    <x v="1"/>
    <n v="21"/>
    <x v="15"/>
    <x v="12"/>
    <x v="4"/>
    <n v="2"/>
    <n v="30"/>
    <n v="3.8"/>
    <n v="1"/>
    <n v="0.98"/>
  </r>
  <r>
    <s v="FL250408"/>
    <x v="406"/>
    <x v="1"/>
    <n v="51"/>
    <x v="9"/>
    <x v="7"/>
    <x v="4"/>
    <n v="33"/>
    <s v="$ 40"/>
    <n v="0"/>
    <n v="1"/>
    <n v="0.63"/>
  </r>
  <r>
    <s v="FL250409"/>
    <x v="407"/>
    <x v="0"/>
    <n v="37"/>
    <x v="4"/>
    <x v="4"/>
    <x v="2"/>
    <n v="11"/>
    <s v="$ 40"/>
    <n v="3.6"/>
    <n v="0"/>
    <n v="0.73"/>
  </r>
  <r>
    <s v="FL250410"/>
    <x v="408"/>
    <x v="0"/>
    <n v="20"/>
    <x v="20"/>
    <x v="6"/>
    <x v="2"/>
    <n v="2"/>
    <n v="30"/>
    <n v="0"/>
    <n v="0"/>
    <n v="0.94"/>
  </r>
  <r>
    <s v="FL250411"/>
    <x v="409"/>
    <x v="0"/>
    <n v="50"/>
    <x v="1"/>
    <x v="1"/>
    <x v="3"/>
    <n v="31"/>
    <n v="50"/>
    <n v="4.0999999999999996"/>
    <n v="1"/>
    <n v="0.81"/>
  </r>
  <r>
    <s v="FL250412"/>
    <x v="410"/>
    <x v="0"/>
    <n v="58"/>
    <x v="6"/>
    <x v="5"/>
    <x v="2"/>
    <n v="17"/>
    <n v="50"/>
    <n v="2.6"/>
    <n v="1"/>
    <n v="0.61"/>
  </r>
  <r>
    <s v="FL250413"/>
    <x v="411"/>
    <x v="0"/>
    <n v="40"/>
    <x v="11"/>
    <x v="9"/>
    <x v="6"/>
    <n v="2"/>
    <n v="100"/>
    <n v="0"/>
    <n v="0"/>
    <n v="0.16"/>
  </r>
  <r>
    <s v="FL250414"/>
    <x v="412"/>
    <x v="0"/>
    <n v="26"/>
    <x v="16"/>
    <x v="13"/>
    <x v="3"/>
    <n v="2"/>
    <n v="20"/>
    <n v="1.3"/>
    <n v="1"/>
    <n v="0.83"/>
  </r>
  <r>
    <s v="FL250415"/>
    <x v="413"/>
    <x v="0"/>
    <n v="44"/>
    <x v="12"/>
    <x v="10"/>
    <x v="7"/>
    <n v="22"/>
    <n v="30"/>
    <n v="4.0999999999999996"/>
    <n v="1"/>
    <n v="0.16"/>
  </r>
  <r>
    <s v="FL250416"/>
    <x v="414"/>
    <x v="1"/>
    <n v="42"/>
    <x v="19"/>
    <x v="6"/>
    <x v="9"/>
    <n v="8"/>
    <n v="50"/>
    <n v="2.4"/>
    <n v="1"/>
    <n v="0.68"/>
  </r>
  <r>
    <s v="FL250417"/>
    <x v="125"/>
    <x v="1"/>
    <n v="38"/>
    <x v="19"/>
    <x v="6"/>
    <x v="5"/>
    <n v="9"/>
    <n v="50"/>
    <n v="0"/>
    <n v="0"/>
    <n v="0.74"/>
  </r>
  <r>
    <s v="FL250418"/>
    <x v="415"/>
    <x v="1"/>
    <n v="51"/>
    <x v="16"/>
    <x v="13"/>
    <x v="3"/>
    <n v="32"/>
    <n v="100"/>
    <n v="4.4000000000000004"/>
    <n v="0"/>
    <n v="0.91"/>
  </r>
  <r>
    <s v="FL250419"/>
    <x v="416"/>
    <x v="0"/>
    <n v="36"/>
    <x v="15"/>
    <x v="12"/>
    <x v="4"/>
    <n v="8"/>
    <s v="$ 100"/>
    <n v="2.2000000000000002"/>
    <n v="1"/>
    <n v="0.97"/>
  </r>
  <r>
    <s v="FL250420"/>
    <x v="417"/>
    <x v="0"/>
    <n v="37"/>
    <x v="1"/>
    <x v="1"/>
    <x v="1"/>
    <n v="10"/>
    <n v="30"/>
    <n v="0"/>
    <n v="0"/>
    <n v="0.96"/>
  </r>
  <r>
    <s v="FL250421"/>
    <x v="418"/>
    <x v="1"/>
    <n v="31"/>
    <x v="17"/>
    <x v="14"/>
    <x v="8"/>
    <n v="11"/>
    <n v="50"/>
    <n v="1.1000000000000001"/>
    <n v="1"/>
    <n v="0.73"/>
  </r>
  <r>
    <s v="FL250422"/>
    <x v="419"/>
    <x v="0"/>
    <n v="47"/>
    <x v="10"/>
    <x v="8"/>
    <x v="7"/>
    <n v="22"/>
    <n v="40"/>
    <n v="1.4"/>
    <n v="1"/>
    <n v="0.72"/>
  </r>
  <r>
    <s v="FL250423"/>
    <x v="420"/>
    <x v="0"/>
    <n v="60"/>
    <x v="19"/>
    <x v="6"/>
    <x v="6"/>
    <n v="34"/>
    <n v="100"/>
    <n v="0"/>
    <n v="1"/>
    <n v="0.74"/>
  </r>
  <r>
    <s v="FL250424"/>
    <x v="421"/>
    <x v="0"/>
    <n v="48"/>
    <x v="8"/>
    <x v="6"/>
    <x v="1"/>
    <n v="5"/>
    <n v="30"/>
    <n v="1.5"/>
    <n v="0"/>
    <n v="0.16"/>
  </r>
  <r>
    <s v="FL250425"/>
    <x v="422"/>
    <x v="0"/>
    <n v="24"/>
    <x v="10"/>
    <x v="8"/>
    <x v="4"/>
    <n v="3"/>
    <n v="20"/>
    <n v="0"/>
    <n v="1"/>
    <n v="0.16"/>
  </r>
  <r>
    <s v="FL250426"/>
    <x v="423"/>
    <x v="0"/>
    <n v="35"/>
    <x v="3"/>
    <x v="3"/>
    <x v="9"/>
    <n v="10"/>
    <n v="75"/>
    <n v="0"/>
    <n v="1"/>
    <n v="0.74"/>
  </r>
  <r>
    <s v="FL250427"/>
    <x v="424"/>
    <x v="1"/>
    <n v="35"/>
    <x v="5"/>
    <x v="1"/>
    <x v="8"/>
    <n v="11"/>
    <n v="100"/>
    <n v="3.5"/>
    <n v="1"/>
    <n v="0.71"/>
  </r>
  <r>
    <s v="FL250428"/>
    <x v="425"/>
    <x v="0"/>
    <n v="29"/>
    <x v="3"/>
    <x v="3"/>
    <x v="6"/>
    <n v="6"/>
    <n v="40"/>
    <n v="4.8"/>
    <n v="0"/>
    <n v="0.83"/>
  </r>
  <r>
    <s v="FL250429"/>
    <x v="426"/>
    <x v="0"/>
    <n v="36"/>
    <x v="0"/>
    <x v="0"/>
    <x v="9"/>
    <n v="1"/>
    <n v="75"/>
    <n v="3"/>
    <n v="1"/>
    <n v="0.63"/>
  </r>
  <r>
    <s v="FL250430"/>
    <x v="427"/>
    <x v="0"/>
    <n v="44"/>
    <x v="14"/>
    <x v="1"/>
    <x v="4"/>
    <n v="11"/>
    <n v="40"/>
    <n v="4.8"/>
    <n v="1"/>
    <n v="0.84"/>
  </r>
  <r>
    <s v="FL250431"/>
    <x v="428"/>
    <x v="1"/>
    <n v="44"/>
    <x v="17"/>
    <x v="14"/>
    <x v="3"/>
    <n v="11"/>
    <n v="40"/>
    <n v="1.4"/>
    <n v="0"/>
    <n v="0.93"/>
  </r>
  <r>
    <s v="FL250432"/>
    <x v="429"/>
    <x v="1"/>
    <n v="40"/>
    <x v="10"/>
    <x v="8"/>
    <x v="4"/>
    <n v="13"/>
    <s v="$ 100"/>
    <n v="1.1000000000000001"/>
    <n v="1"/>
    <n v="0.16"/>
  </r>
  <r>
    <s v="FL250433"/>
    <x v="430"/>
    <x v="0"/>
    <n v="53"/>
    <x v="3"/>
    <x v="3"/>
    <x v="9"/>
    <n v="13"/>
    <n v="50"/>
    <n v="3.3"/>
    <n v="1"/>
    <n v="0.93"/>
  </r>
  <r>
    <s v="FL250434"/>
    <x v="431"/>
    <x v="0"/>
    <n v="35"/>
    <x v="2"/>
    <x v="2"/>
    <x v="0"/>
    <n v="11"/>
    <s v="$ 30"/>
    <n v="4.5999999999999996"/>
    <n v="1"/>
    <n v="0.97"/>
  </r>
  <r>
    <s v="FL250435"/>
    <x v="432"/>
    <x v="0"/>
    <n v="27"/>
    <x v="8"/>
    <x v="6"/>
    <x v="9"/>
    <n v="7"/>
    <s v="$ 75"/>
    <n v="2.8"/>
    <n v="1"/>
    <n v="0.92"/>
  </r>
  <r>
    <s v="FL250436"/>
    <x v="433"/>
    <x v="1"/>
    <n v="34"/>
    <x v="1"/>
    <x v="1"/>
    <x v="8"/>
    <n v="6"/>
    <n v="50"/>
    <n v="5"/>
    <n v="1"/>
    <n v="0.92"/>
  </r>
  <r>
    <s v="FL250437"/>
    <x v="434"/>
    <x v="1"/>
    <n v="24"/>
    <x v="10"/>
    <x v="8"/>
    <x v="7"/>
    <n v="2"/>
    <n v="75"/>
    <n v="4.7"/>
    <n v="1"/>
    <n v="0.68"/>
  </r>
  <r>
    <s v="FL250438"/>
    <x v="435"/>
    <x v="1"/>
    <n v="57"/>
    <x v="5"/>
    <x v="1"/>
    <x v="6"/>
    <n v="13"/>
    <n v="100"/>
    <n v="3.5"/>
    <n v="1"/>
    <n v="0.95"/>
  </r>
  <r>
    <s v="FL250439"/>
    <x v="436"/>
    <x v="1"/>
    <n v="28"/>
    <x v="12"/>
    <x v="10"/>
    <x v="6"/>
    <n v="7"/>
    <n v="100"/>
    <n v="4.3"/>
    <n v="0"/>
    <n v="0.76"/>
  </r>
  <r>
    <s v="FL250440"/>
    <x v="437"/>
    <x v="0"/>
    <n v="26"/>
    <x v="0"/>
    <x v="0"/>
    <x v="8"/>
    <n v="7"/>
    <s v="$ 100"/>
    <n v="3.3"/>
    <n v="1"/>
    <n v="0.66"/>
  </r>
  <r>
    <s v="FL250441"/>
    <x v="438"/>
    <x v="1"/>
    <n v="34"/>
    <x v="8"/>
    <x v="6"/>
    <x v="1"/>
    <n v="15"/>
    <n v="75"/>
    <n v="3"/>
    <n v="0"/>
    <n v="0.73"/>
  </r>
  <r>
    <s v="FL250442"/>
    <x v="439"/>
    <x v="1"/>
    <n v="43"/>
    <x v="9"/>
    <x v="7"/>
    <x v="4"/>
    <n v="11"/>
    <s v="$ 20"/>
    <n v="2.8"/>
    <n v="1"/>
    <n v="0.99"/>
  </r>
  <r>
    <s v="FL250443"/>
    <x v="440"/>
    <x v="1"/>
    <n v="31"/>
    <x v="18"/>
    <x v="15"/>
    <x v="2"/>
    <n v="5"/>
    <n v="40"/>
    <n v="2.7"/>
    <n v="1"/>
    <n v="0.94"/>
  </r>
  <r>
    <s v="FL250444"/>
    <x v="441"/>
    <x v="0"/>
    <n v="34"/>
    <x v="18"/>
    <x v="15"/>
    <x v="0"/>
    <n v="11"/>
    <n v="50"/>
    <n v="0"/>
    <n v="0"/>
    <n v="0.84"/>
  </r>
  <r>
    <s v="FL250445"/>
    <x v="442"/>
    <x v="0"/>
    <n v="32"/>
    <x v="13"/>
    <x v="11"/>
    <x v="7"/>
    <n v="10"/>
    <n v="20"/>
    <n v="3"/>
    <n v="1"/>
    <n v="0.92"/>
  </r>
  <r>
    <s v="FL250446"/>
    <x v="443"/>
    <x v="1"/>
    <n v="24"/>
    <x v="16"/>
    <x v="13"/>
    <x v="8"/>
    <n v="6"/>
    <n v="75"/>
    <n v="4.3"/>
    <n v="1"/>
    <n v="0.16"/>
  </r>
  <r>
    <s v="FL250447"/>
    <x v="444"/>
    <x v="1"/>
    <n v="35"/>
    <x v="7"/>
    <x v="1"/>
    <x v="4"/>
    <n v="8"/>
    <s v="$ 50"/>
    <n v="3"/>
    <n v="1"/>
    <n v="0.9"/>
  </r>
  <r>
    <s v="FL250448"/>
    <x v="445"/>
    <x v="0"/>
    <n v="22"/>
    <x v="1"/>
    <x v="1"/>
    <x v="1"/>
    <n v="4"/>
    <n v="20"/>
    <n v="3"/>
    <n v="0"/>
    <n v="0.73"/>
  </r>
  <r>
    <s v="FL250449"/>
    <x v="446"/>
    <x v="0"/>
    <n v="55"/>
    <x v="16"/>
    <x v="13"/>
    <x v="4"/>
    <n v="3"/>
    <n v="100"/>
    <n v="3"/>
    <n v="1"/>
    <n v="0.73"/>
  </r>
  <r>
    <s v="FL250450"/>
    <x v="447"/>
    <x v="0"/>
    <n v="54"/>
    <x v="8"/>
    <x v="6"/>
    <x v="9"/>
    <n v="11"/>
    <n v="30"/>
    <n v="2.9"/>
    <n v="1"/>
    <n v="0.78"/>
  </r>
  <r>
    <s v="FL250451"/>
    <x v="448"/>
    <x v="0"/>
    <n v="36"/>
    <x v="3"/>
    <x v="3"/>
    <x v="7"/>
    <n v="11"/>
    <n v="30"/>
    <n v="0"/>
    <n v="1"/>
    <n v="0.63"/>
  </r>
  <r>
    <s v="FL250452"/>
    <x v="449"/>
    <x v="0"/>
    <n v="36"/>
    <x v="3"/>
    <x v="3"/>
    <x v="4"/>
    <n v="17"/>
    <n v="50"/>
    <n v="1.3"/>
    <n v="1"/>
    <n v="0.64"/>
  </r>
  <r>
    <s v="FL250453"/>
    <x v="450"/>
    <x v="0"/>
    <n v="25"/>
    <x v="8"/>
    <x v="6"/>
    <x v="3"/>
    <n v="1"/>
    <n v="75"/>
    <n v="0"/>
    <n v="1"/>
    <n v="0.16"/>
  </r>
  <r>
    <s v="FL250454"/>
    <x v="451"/>
    <x v="1"/>
    <n v="46"/>
    <x v="4"/>
    <x v="4"/>
    <x v="4"/>
    <n v="16"/>
    <n v="20"/>
    <n v="4.8"/>
    <n v="1"/>
    <n v="0.86"/>
  </r>
  <r>
    <s v="FL250455"/>
    <x v="452"/>
    <x v="1"/>
    <n v="41"/>
    <x v="8"/>
    <x v="6"/>
    <x v="9"/>
    <n v="11"/>
    <n v="40"/>
    <n v="2.4"/>
    <n v="0"/>
    <n v="0.16"/>
  </r>
  <r>
    <s v="FL250456"/>
    <x v="453"/>
    <x v="0"/>
    <n v="21"/>
    <x v="13"/>
    <x v="11"/>
    <x v="1"/>
    <n v="3"/>
    <n v="100"/>
    <n v="4.7"/>
    <n v="0"/>
    <n v="0.96"/>
  </r>
  <r>
    <s v="FL250457"/>
    <x v="454"/>
    <x v="1"/>
    <n v="29"/>
    <x v="5"/>
    <x v="1"/>
    <x v="2"/>
    <n v="11"/>
    <n v="75"/>
    <n v="2"/>
    <n v="0"/>
    <n v="0.16"/>
  </r>
  <r>
    <s v="FL250458"/>
    <x v="455"/>
    <x v="0"/>
    <n v="44"/>
    <x v="5"/>
    <x v="1"/>
    <x v="1"/>
    <n v="3"/>
    <n v="50"/>
    <n v="2.2000000000000002"/>
    <n v="0"/>
    <n v="0.77"/>
  </r>
  <r>
    <s v="FL250459"/>
    <x v="456"/>
    <x v="1"/>
    <n v="40"/>
    <x v="14"/>
    <x v="1"/>
    <x v="9"/>
    <n v="1"/>
    <n v="100"/>
    <n v="2.1"/>
    <n v="1"/>
    <n v="0.16"/>
  </r>
  <r>
    <s v="FL250460"/>
    <x v="457"/>
    <x v="0"/>
    <n v="27"/>
    <x v="16"/>
    <x v="13"/>
    <x v="5"/>
    <n v="1"/>
    <n v="30"/>
    <n v="1.7"/>
    <n v="0"/>
    <n v="0.65"/>
  </r>
  <r>
    <s v="FL250461"/>
    <x v="458"/>
    <x v="1"/>
    <n v="53"/>
    <x v="15"/>
    <x v="12"/>
    <x v="1"/>
    <n v="35"/>
    <n v="40"/>
    <n v="5"/>
    <n v="1"/>
    <n v="0.62"/>
  </r>
  <r>
    <s v="FL250462"/>
    <x v="459"/>
    <x v="1"/>
    <n v="20"/>
    <x v="6"/>
    <x v="5"/>
    <x v="5"/>
    <n v="1"/>
    <n v="50"/>
    <n v="2.9"/>
    <n v="1"/>
    <n v="0.81"/>
  </r>
  <r>
    <s v="FL250463"/>
    <x v="460"/>
    <x v="0"/>
    <n v="41"/>
    <x v="9"/>
    <x v="7"/>
    <x v="8"/>
    <n v="12"/>
    <n v="50"/>
    <n v="4.0999999999999996"/>
    <n v="1"/>
    <n v="0.62"/>
  </r>
  <r>
    <s v="FL250464"/>
    <x v="461"/>
    <x v="1"/>
    <n v="26"/>
    <x v="19"/>
    <x v="6"/>
    <x v="3"/>
    <n v="8"/>
    <n v="40"/>
    <n v="4.9000000000000004"/>
    <n v="0"/>
    <n v="0.87"/>
  </r>
  <r>
    <s v="FL250465"/>
    <x v="462"/>
    <x v="0"/>
    <n v="49"/>
    <x v="11"/>
    <x v="9"/>
    <x v="9"/>
    <n v="13"/>
    <n v="100"/>
    <n v="2.5"/>
    <n v="0"/>
    <n v="0.16"/>
  </r>
  <r>
    <s v="FL250466"/>
    <x v="463"/>
    <x v="0"/>
    <n v="20"/>
    <x v="16"/>
    <x v="13"/>
    <x v="5"/>
    <n v="11"/>
    <s v="$ 30"/>
    <n v="0"/>
    <n v="1"/>
    <n v="0.76"/>
  </r>
  <r>
    <s v="FL250467"/>
    <x v="464"/>
    <x v="0"/>
    <n v="39"/>
    <x v="18"/>
    <x v="15"/>
    <x v="0"/>
    <n v="11"/>
    <n v="100"/>
    <n v="2.8"/>
    <n v="1"/>
    <n v="0.7"/>
  </r>
  <r>
    <s v="FL250468"/>
    <x v="465"/>
    <x v="0"/>
    <n v="41"/>
    <x v="18"/>
    <x v="15"/>
    <x v="9"/>
    <n v="19"/>
    <n v="100"/>
    <n v="3.8"/>
    <n v="1"/>
    <n v="0.71"/>
  </r>
  <r>
    <s v="FL250469"/>
    <x v="466"/>
    <x v="1"/>
    <n v="59"/>
    <x v="14"/>
    <x v="1"/>
    <x v="1"/>
    <n v="30"/>
    <s v="$ 30"/>
    <n v="4.3"/>
    <n v="1"/>
    <n v="0.83"/>
  </r>
  <r>
    <s v="FL250470"/>
    <x v="467"/>
    <x v="0"/>
    <n v="45"/>
    <x v="1"/>
    <x v="1"/>
    <x v="0"/>
    <n v="8"/>
    <n v="40"/>
    <n v="0"/>
    <n v="0"/>
    <n v="0.78"/>
  </r>
  <r>
    <s v="FL250471"/>
    <x v="468"/>
    <x v="1"/>
    <n v="22"/>
    <x v="4"/>
    <x v="4"/>
    <x v="7"/>
    <n v="11"/>
    <n v="40"/>
    <n v="1.3"/>
    <n v="1"/>
    <n v="0.78"/>
  </r>
  <r>
    <s v="FL250472"/>
    <x v="469"/>
    <x v="0"/>
    <n v="48"/>
    <x v="10"/>
    <x v="8"/>
    <x v="1"/>
    <n v="7"/>
    <n v="50"/>
    <n v="4.7"/>
    <n v="1"/>
    <n v="0.6"/>
  </r>
  <r>
    <s v="FL250473"/>
    <x v="470"/>
    <x v="1"/>
    <n v="36"/>
    <x v="15"/>
    <x v="12"/>
    <x v="0"/>
    <n v="11"/>
    <n v="40"/>
    <n v="1.3"/>
    <n v="1"/>
    <n v="0.16"/>
  </r>
  <r>
    <s v="FL250474"/>
    <x v="471"/>
    <x v="0"/>
    <n v="57"/>
    <x v="18"/>
    <x v="15"/>
    <x v="0"/>
    <n v="11"/>
    <n v="75"/>
    <n v="4.8"/>
    <n v="1"/>
    <n v="0.16"/>
  </r>
  <r>
    <s v="FL250475"/>
    <x v="472"/>
    <x v="1"/>
    <n v="42"/>
    <x v="5"/>
    <x v="1"/>
    <x v="6"/>
    <n v="14"/>
    <n v="30"/>
    <n v="1.3"/>
    <n v="0"/>
    <n v="0.94"/>
  </r>
  <r>
    <s v="FL250476"/>
    <x v="473"/>
    <x v="1"/>
    <n v="31"/>
    <x v="4"/>
    <x v="4"/>
    <x v="7"/>
    <n v="11"/>
    <n v="50"/>
    <n v="4.3"/>
    <n v="0"/>
    <n v="0.62"/>
  </r>
  <r>
    <s v="FL250477"/>
    <x v="474"/>
    <x v="1"/>
    <n v="52"/>
    <x v="20"/>
    <x v="6"/>
    <x v="7"/>
    <n v="31"/>
    <n v="30"/>
    <n v="3"/>
    <n v="1"/>
    <n v="0.16"/>
  </r>
  <r>
    <s v="FL250478"/>
    <x v="475"/>
    <x v="1"/>
    <n v="56"/>
    <x v="3"/>
    <x v="3"/>
    <x v="8"/>
    <n v="16"/>
    <s v="$ 30"/>
    <n v="0"/>
    <n v="1"/>
    <n v="0.16"/>
  </r>
  <r>
    <s v="FL250479"/>
    <x v="476"/>
    <x v="0"/>
    <n v="24"/>
    <x v="3"/>
    <x v="3"/>
    <x v="8"/>
    <n v="6"/>
    <n v="30"/>
    <n v="0"/>
    <n v="1"/>
    <n v="0.84"/>
  </r>
  <r>
    <s v="FL250480"/>
    <x v="477"/>
    <x v="1"/>
    <n v="48"/>
    <x v="14"/>
    <x v="1"/>
    <x v="8"/>
    <n v="21"/>
    <n v="75"/>
    <n v="2.7"/>
    <n v="1"/>
    <n v="0.16"/>
  </r>
  <r>
    <s v="FL250481"/>
    <x v="478"/>
    <x v="1"/>
    <n v="59"/>
    <x v="15"/>
    <x v="12"/>
    <x v="7"/>
    <n v="13"/>
    <n v="40"/>
    <n v="2.4"/>
    <n v="1"/>
    <n v="0.65"/>
  </r>
  <r>
    <s v="FL250482"/>
    <x v="479"/>
    <x v="1"/>
    <n v="41"/>
    <x v="7"/>
    <x v="1"/>
    <x v="3"/>
    <n v="11"/>
    <n v="40"/>
    <n v="1.9"/>
    <n v="1"/>
    <n v="0.94"/>
  </r>
  <r>
    <s v="FL250483"/>
    <x v="480"/>
    <x v="0"/>
    <n v="41"/>
    <x v="3"/>
    <x v="3"/>
    <x v="1"/>
    <n v="11"/>
    <n v="20"/>
    <n v="3.6"/>
    <n v="1"/>
    <n v="0.69"/>
  </r>
  <r>
    <s v="FL250484"/>
    <x v="481"/>
    <x v="1"/>
    <n v="25"/>
    <x v="3"/>
    <x v="3"/>
    <x v="1"/>
    <n v="11"/>
    <n v="50"/>
    <n v="2.9"/>
    <n v="1"/>
    <n v="0.65"/>
  </r>
  <r>
    <s v="FL250485"/>
    <x v="482"/>
    <x v="1"/>
    <n v="31"/>
    <x v="16"/>
    <x v="13"/>
    <x v="1"/>
    <n v="2"/>
    <n v="75"/>
    <n v="2.8"/>
    <n v="0"/>
    <n v="0.6"/>
  </r>
  <r>
    <s v="FL250486"/>
    <x v="483"/>
    <x v="1"/>
    <n v="40"/>
    <x v="6"/>
    <x v="5"/>
    <x v="8"/>
    <n v="12"/>
    <n v="75"/>
    <n v="2.6"/>
    <n v="0"/>
    <n v="0.16"/>
  </r>
  <r>
    <s v="FL250487"/>
    <x v="294"/>
    <x v="0"/>
    <n v="48"/>
    <x v="13"/>
    <x v="11"/>
    <x v="0"/>
    <n v="13"/>
    <n v="100"/>
    <n v="2.7"/>
    <n v="1"/>
    <n v="0.62"/>
  </r>
  <r>
    <s v="FL250488"/>
    <x v="484"/>
    <x v="0"/>
    <n v="24"/>
    <x v="17"/>
    <x v="14"/>
    <x v="1"/>
    <n v="6"/>
    <n v="30"/>
    <n v="1.1000000000000001"/>
    <n v="1"/>
    <n v="0.16"/>
  </r>
  <r>
    <s v="FL250489"/>
    <x v="485"/>
    <x v="1"/>
    <n v="33"/>
    <x v="4"/>
    <x v="4"/>
    <x v="3"/>
    <n v="10"/>
    <s v="$ 30"/>
    <n v="0"/>
    <n v="1"/>
    <n v="0.89"/>
  </r>
  <r>
    <s v="FL250490"/>
    <x v="486"/>
    <x v="0"/>
    <n v="43"/>
    <x v="11"/>
    <x v="9"/>
    <x v="6"/>
    <n v="2"/>
    <n v="40"/>
    <n v="0"/>
    <n v="1"/>
    <n v="0.89"/>
  </r>
  <r>
    <s v="FL250491"/>
    <x v="487"/>
    <x v="1"/>
    <n v="43"/>
    <x v="20"/>
    <x v="6"/>
    <x v="0"/>
    <n v="4"/>
    <n v="50"/>
    <n v="0"/>
    <n v="1"/>
    <n v="0.01"/>
  </r>
  <r>
    <s v="FL250492"/>
    <x v="488"/>
    <x v="0"/>
    <n v="33"/>
    <x v="1"/>
    <x v="1"/>
    <x v="3"/>
    <n v="11"/>
    <n v="40"/>
    <n v="4.5999999999999996"/>
    <n v="1"/>
    <n v="0.16"/>
  </r>
  <r>
    <s v="FL250493"/>
    <x v="489"/>
    <x v="0"/>
    <n v="49"/>
    <x v="13"/>
    <x v="11"/>
    <x v="6"/>
    <n v="14"/>
    <n v="40"/>
    <n v="1.5"/>
    <n v="1"/>
    <n v="0.6"/>
  </r>
  <r>
    <s v="FL250494"/>
    <x v="490"/>
    <x v="1"/>
    <n v="55"/>
    <x v="14"/>
    <x v="1"/>
    <x v="6"/>
    <n v="10"/>
    <n v="40"/>
    <n v="2"/>
    <n v="1"/>
    <n v="0.85"/>
  </r>
  <r>
    <s v="FL250495"/>
    <x v="491"/>
    <x v="0"/>
    <n v="33"/>
    <x v="12"/>
    <x v="10"/>
    <x v="2"/>
    <n v="3"/>
    <n v="40"/>
    <n v="1.6"/>
    <n v="1"/>
    <n v="0.83"/>
  </r>
  <r>
    <s v="FL250496"/>
    <x v="492"/>
    <x v="1"/>
    <n v="32"/>
    <x v="8"/>
    <x v="6"/>
    <x v="4"/>
    <n v="3"/>
    <n v="30"/>
    <n v="1.5"/>
    <n v="0"/>
    <n v="0.96"/>
  </r>
  <r>
    <s v="FL250497"/>
    <x v="493"/>
    <x v="1"/>
    <n v="58"/>
    <x v="3"/>
    <x v="3"/>
    <x v="0"/>
    <n v="33"/>
    <n v="40"/>
    <n v="4.0999999999999996"/>
    <n v="1"/>
    <n v="0.83"/>
  </r>
  <r>
    <s v="FL250498"/>
    <x v="494"/>
    <x v="1"/>
    <n v="49"/>
    <x v="4"/>
    <x v="4"/>
    <x v="5"/>
    <n v="24"/>
    <n v="100"/>
    <n v="4.7"/>
    <n v="0"/>
    <n v="0.6"/>
  </r>
  <r>
    <s v="FL250499"/>
    <x v="495"/>
    <x v="0"/>
    <n v="22"/>
    <x v="13"/>
    <x v="11"/>
    <x v="6"/>
    <n v="3"/>
    <s v="$ 100"/>
    <n v="3.6"/>
    <n v="1"/>
    <n v="0.78"/>
  </r>
  <r>
    <s v="FL250500"/>
    <x v="496"/>
    <x v="0"/>
    <n v="40"/>
    <x v="16"/>
    <x v="13"/>
    <x v="3"/>
    <n v="11"/>
    <n v="20"/>
    <n v="1.8"/>
    <n v="1"/>
    <n v="0.9"/>
  </r>
  <r>
    <s v="FL250501"/>
    <x v="497"/>
    <x v="1"/>
    <n v="55"/>
    <x v="1"/>
    <x v="1"/>
    <x v="5"/>
    <n v="7"/>
    <s v="$ 100"/>
    <n v="2.1"/>
    <n v="0"/>
    <n v="0.66"/>
  </r>
  <r>
    <s v="FL250502"/>
    <x v="498"/>
    <x v="1"/>
    <n v="32"/>
    <x v="19"/>
    <x v="6"/>
    <x v="8"/>
    <n v="1"/>
    <n v="50"/>
    <n v="3"/>
    <n v="1"/>
    <n v="0.7"/>
  </r>
  <r>
    <s v="FL250503"/>
    <x v="499"/>
    <x v="0"/>
    <n v="21"/>
    <x v="9"/>
    <x v="7"/>
    <x v="6"/>
    <n v="11"/>
    <s v="$ 30"/>
    <n v="4.2"/>
    <n v="1"/>
    <n v="0.79"/>
  </r>
  <r>
    <s v="FL250504"/>
    <x v="500"/>
    <x v="1"/>
    <n v="23"/>
    <x v="12"/>
    <x v="10"/>
    <x v="0"/>
    <n v="1"/>
    <n v="40"/>
    <n v="0"/>
    <n v="0"/>
    <n v="0.64"/>
  </r>
  <r>
    <s v="FL250505"/>
    <x v="501"/>
    <x v="1"/>
    <n v="21"/>
    <x v="7"/>
    <x v="1"/>
    <x v="1"/>
    <n v="1"/>
    <s v="$ 30"/>
    <n v="1"/>
    <n v="0"/>
    <n v="0.81"/>
  </r>
  <r>
    <s v="FL250506"/>
    <x v="502"/>
    <x v="1"/>
    <n v="31"/>
    <x v="8"/>
    <x v="6"/>
    <x v="4"/>
    <n v="7"/>
    <n v="75"/>
    <n v="4.4000000000000004"/>
    <n v="0"/>
    <n v="0.83"/>
  </r>
  <r>
    <s v="FL250507"/>
    <x v="503"/>
    <x v="1"/>
    <n v="21"/>
    <x v="19"/>
    <x v="6"/>
    <x v="0"/>
    <n v="11"/>
    <n v="40"/>
    <n v="4"/>
    <n v="0"/>
    <n v="0.91"/>
  </r>
  <r>
    <s v="FL250508"/>
    <x v="504"/>
    <x v="1"/>
    <n v="33"/>
    <x v="7"/>
    <x v="1"/>
    <x v="7"/>
    <n v="6"/>
    <s v="$ 50"/>
    <n v="3.1"/>
    <n v="0"/>
    <n v="0.16"/>
  </r>
  <r>
    <s v="FL250509"/>
    <x v="505"/>
    <x v="1"/>
    <n v="57"/>
    <x v="11"/>
    <x v="9"/>
    <x v="3"/>
    <n v="5"/>
    <n v="75"/>
    <n v="1.1000000000000001"/>
    <n v="1"/>
    <n v="0.77"/>
  </r>
  <r>
    <s v="FL250510"/>
    <x v="506"/>
    <x v="1"/>
    <n v="52"/>
    <x v="5"/>
    <x v="1"/>
    <x v="8"/>
    <n v="17"/>
    <s v="$ 75"/>
    <n v="0"/>
    <n v="0"/>
    <n v="0.94"/>
  </r>
  <r>
    <s v="FL250511"/>
    <x v="507"/>
    <x v="0"/>
    <n v="21"/>
    <x v="2"/>
    <x v="2"/>
    <x v="3"/>
    <n v="11"/>
    <n v="20"/>
    <n v="3.8"/>
    <n v="1"/>
    <n v="0.61"/>
  </r>
  <r>
    <s v="FL250512"/>
    <x v="508"/>
    <x v="0"/>
    <n v="36"/>
    <x v="8"/>
    <x v="6"/>
    <x v="6"/>
    <n v="8"/>
    <n v="100"/>
    <n v="1.7"/>
    <n v="0"/>
    <n v="0.68"/>
  </r>
  <r>
    <s v="FL250513"/>
    <x v="509"/>
    <x v="1"/>
    <n v="33"/>
    <x v="20"/>
    <x v="6"/>
    <x v="9"/>
    <n v="13"/>
    <n v="50"/>
    <n v="2.2000000000000002"/>
    <n v="0"/>
    <n v="0.7"/>
  </r>
  <r>
    <s v="FL250514"/>
    <x v="510"/>
    <x v="0"/>
    <n v="54"/>
    <x v="7"/>
    <x v="1"/>
    <x v="5"/>
    <n v="15"/>
    <n v="40"/>
    <n v="4.0999999999999996"/>
    <n v="1"/>
    <n v="0.71"/>
  </r>
  <r>
    <s v="FL250515"/>
    <x v="511"/>
    <x v="0"/>
    <n v="33"/>
    <x v="5"/>
    <x v="1"/>
    <x v="0"/>
    <n v="2"/>
    <s v="$ 100"/>
    <n v="3.8"/>
    <n v="0"/>
    <n v="0.16"/>
  </r>
  <r>
    <s v="FL250516"/>
    <x v="512"/>
    <x v="0"/>
    <n v="36"/>
    <x v="9"/>
    <x v="7"/>
    <x v="9"/>
    <n v="9"/>
    <n v="30"/>
    <n v="0"/>
    <n v="1"/>
    <n v="0.78"/>
  </r>
  <r>
    <s v="FL250517"/>
    <x v="513"/>
    <x v="0"/>
    <n v="36"/>
    <x v="6"/>
    <x v="5"/>
    <x v="4"/>
    <n v="3"/>
    <s v="$ 50"/>
    <n v="0"/>
    <n v="1"/>
    <n v="0.75"/>
  </r>
  <r>
    <s v="FL250518"/>
    <x v="514"/>
    <x v="0"/>
    <n v="43"/>
    <x v="18"/>
    <x v="15"/>
    <x v="4"/>
    <n v="15"/>
    <n v="20"/>
    <n v="4.2"/>
    <n v="1"/>
    <n v="0.91"/>
  </r>
  <r>
    <s v="FL250519"/>
    <x v="515"/>
    <x v="1"/>
    <n v="52"/>
    <x v="7"/>
    <x v="1"/>
    <x v="5"/>
    <n v="21"/>
    <s v="$ 75"/>
    <n v="2.2000000000000002"/>
    <n v="1"/>
    <n v="0.66"/>
  </r>
  <r>
    <s v="FL250520"/>
    <x v="516"/>
    <x v="0"/>
    <n v="28"/>
    <x v="4"/>
    <x v="4"/>
    <x v="7"/>
    <n v="2"/>
    <s v="$ 75"/>
    <n v="1.5"/>
    <n v="1"/>
    <n v="0.68"/>
  </r>
  <r>
    <s v="FL250521"/>
    <x v="517"/>
    <x v="0"/>
    <n v="47"/>
    <x v="18"/>
    <x v="15"/>
    <x v="7"/>
    <n v="21"/>
    <n v="100"/>
    <n v="0"/>
    <n v="0"/>
    <n v="0.16"/>
  </r>
  <r>
    <s v="FL250522"/>
    <x v="518"/>
    <x v="0"/>
    <n v="30"/>
    <x v="15"/>
    <x v="12"/>
    <x v="8"/>
    <n v="11"/>
    <s v="$ 100"/>
    <n v="4.0999999999999996"/>
    <n v="0"/>
    <n v="0.62"/>
  </r>
  <r>
    <s v="FL250523"/>
    <x v="519"/>
    <x v="1"/>
    <n v="36"/>
    <x v="16"/>
    <x v="13"/>
    <x v="0"/>
    <n v="4"/>
    <n v="40"/>
    <n v="2.6"/>
    <n v="1"/>
    <n v="0.9"/>
  </r>
  <r>
    <s v="FL250524"/>
    <x v="520"/>
    <x v="0"/>
    <n v="45"/>
    <x v="5"/>
    <x v="1"/>
    <x v="6"/>
    <n v="23"/>
    <n v="100"/>
    <n v="2.4"/>
    <n v="0"/>
    <n v="0.96"/>
  </r>
  <r>
    <s v="FL250525"/>
    <x v="521"/>
    <x v="0"/>
    <n v="51"/>
    <x v="5"/>
    <x v="1"/>
    <x v="0"/>
    <n v="25"/>
    <n v="50"/>
    <n v="1.4"/>
    <n v="1"/>
    <n v="0.6"/>
  </r>
  <r>
    <s v="FL250526"/>
    <x v="522"/>
    <x v="1"/>
    <n v="46"/>
    <x v="6"/>
    <x v="5"/>
    <x v="1"/>
    <n v="10"/>
    <n v="40"/>
    <n v="4.5999999999999996"/>
    <n v="1"/>
    <n v="0.62"/>
  </r>
  <r>
    <s v="FL250527"/>
    <x v="523"/>
    <x v="0"/>
    <n v="38"/>
    <x v="0"/>
    <x v="0"/>
    <x v="5"/>
    <n v="18"/>
    <s v="$ 40"/>
    <n v="4.9000000000000004"/>
    <n v="0"/>
    <n v="0.74"/>
  </r>
  <r>
    <s v="FL250528"/>
    <x v="524"/>
    <x v="1"/>
    <n v="26"/>
    <x v="20"/>
    <x v="6"/>
    <x v="0"/>
    <n v="1"/>
    <n v="20"/>
    <n v="0"/>
    <n v="1"/>
    <n v="0.16"/>
  </r>
  <r>
    <s v="FL250529"/>
    <x v="525"/>
    <x v="0"/>
    <n v="40"/>
    <x v="7"/>
    <x v="1"/>
    <x v="8"/>
    <n v="12"/>
    <n v="30"/>
    <n v="3.5"/>
    <n v="1"/>
    <n v="0.98"/>
  </r>
  <r>
    <s v="FL250530"/>
    <x v="526"/>
    <x v="1"/>
    <n v="37"/>
    <x v="2"/>
    <x v="2"/>
    <x v="9"/>
    <n v="11"/>
    <n v="40"/>
    <n v="1.7"/>
    <n v="1"/>
    <n v="0.63"/>
  </r>
  <r>
    <s v="FL250531"/>
    <x v="527"/>
    <x v="1"/>
    <n v="28"/>
    <x v="14"/>
    <x v="1"/>
    <x v="0"/>
    <n v="5"/>
    <n v="50"/>
    <n v="0"/>
    <n v="1"/>
    <n v="0.96"/>
  </r>
  <r>
    <s v="FL250532"/>
    <x v="528"/>
    <x v="0"/>
    <n v="48"/>
    <x v="10"/>
    <x v="8"/>
    <x v="1"/>
    <n v="28"/>
    <s v="$ 20"/>
    <n v="0"/>
    <n v="0"/>
    <n v="0.88"/>
  </r>
  <r>
    <s v="FL250533"/>
    <x v="529"/>
    <x v="1"/>
    <n v="22"/>
    <x v="10"/>
    <x v="8"/>
    <x v="4"/>
    <n v="11"/>
    <n v="40"/>
    <n v="4.5999999999999996"/>
    <n v="0"/>
    <n v="0.16"/>
  </r>
  <r>
    <s v="FL250534"/>
    <x v="530"/>
    <x v="0"/>
    <n v="41"/>
    <x v="2"/>
    <x v="2"/>
    <x v="3"/>
    <n v="14"/>
    <n v="40"/>
    <n v="1.1000000000000001"/>
    <n v="1"/>
    <n v="0.73"/>
  </r>
  <r>
    <s v="FL250535"/>
    <x v="531"/>
    <x v="1"/>
    <n v="38"/>
    <x v="5"/>
    <x v="1"/>
    <x v="2"/>
    <n v="15"/>
    <n v="40"/>
    <n v="4.2"/>
    <n v="0"/>
    <n v="0.88"/>
  </r>
  <r>
    <s v="FL250536"/>
    <x v="532"/>
    <x v="0"/>
    <n v="31"/>
    <x v="17"/>
    <x v="14"/>
    <x v="6"/>
    <n v="9"/>
    <n v="40"/>
    <n v="0"/>
    <n v="0"/>
    <n v="0.91"/>
  </r>
  <r>
    <s v="FL250537"/>
    <x v="533"/>
    <x v="0"/>
    <n v="30"/>
    <x v="18"/>
    <x v="15"/>
    <x v="1"/>
    <n v="9"/>
    <n v="30"/>
    <n v="3.9"/>
    <n v="1"/>
    <n v="0.65"/>
  </r>
  <r>
    <s v="FL250538"/>
    <x v="534"/>
    <x v="1"/>
    <n v="51"/>
    <x v="19"/>
    <x v="6"/>
    <x v="6"/>
    <n v="22"/>
    <n v="20"/>
    <n v="3.4"/>
    <n v="1"/>
    <n v="0.9"/>
  </r>
  <r>
    <s v="FL250539"/>
    <x v="535"/>
    <x v="0"/>
    <n v="21"/>
    <x v="2"/>
    <x v="2"/>
    <x v="8"/>
    <n v="11"/>
    <n v="20"/>
    <n v="2.6"/>
    <n v="0"/>
    <n v="0.72"/>
  </r>
  <r>
    <s v="FL250540"/>
    <x v="536"/>
    <x v="0"/>
    <n v="20"/>
    <x v="0"/>
    <x v="0"/>
    <x v="8"/>
    <n v="1"/>
    <s v="$ 40"/>
    <n v="2.2999999999999998"/>
    <n v="1"/>
    <n v="0.72"/>
  </r>
  <r>
    <s v="FL250541"/>
    <x v="537"/>
    <x v="1"/>
    <n v="30"/>
    <x v="9"/>
    <x v="7"/>
    <x v="0"/>
    <n v="5"/>
    <n v="30"/>
    <n v="4.8"/>
    <n v="0"/>
    <n v="0.16"/>
  </r>
  <r>
    <s v="FL250542"/>
    <x v="538"/>
    <x v="1"/>
    <n v="41"/>
    <x v="18"/>
    <x v="15"/>
    <x v="5"/>
    <n v="11"/>
    <s v="$ 40"/>
    <n v="4.5"/>
    <n v="0"/>
    <n v="0.68"/>
  </r>
  <r>
    <s v="FL250543"/>
    <x v="539"/>
    <x v="1"/>
    <n v="22"/>
    <x v="20"/>
    <x v="6"/>
    <x v="0"/>
    <n v="11"/>
    <n v="30"/>
    <n v="0"/>
    <n v="0"/>
    <n v="0.87"/>
  </r>
  <r>
    <s v="FL250544"/>
    <x v="540"/>
    <x v="1"/>
    <n v="45"/>
    <x v="19"/>
    <x v="6"/>
    <x v="7"/>
    <n v="19"/>
    <n v="75"/>
    <n v="0"/>
    <n v="1"/>
    <n v="0.72"/>
  </r>
  <r>
    <s v="FL250545"/>
    <x v="541"/>
    <x v="0"/>
    <n v="22"/>
    <x v="1"/>
    <x v="1"/>
    <x v="5"/>
    <n v="2"/>
    <n v="40"/>
    <n v="1.1000000000000001"/>
    <n v="1"/>
    <n v="0.76"/>
  </r>
  <r>
    <s v="FL250546"/>
    <x v="542"/>
    <x v="0"/>
    <n v="20"/>
    <x v="6"/>
    <x v="5"/>
    <x v="1"/>
    <n v="11"/>
    <n v="100"/>
    <n v="0"/>
    <n v="0"/>
    <n v="0.63"/>
  </r>
  <r>
    <s v="FL250547"/>
    <x v="543"/>
    <x v="0"/>
    <n v="20"/>
    <x v="14"/>
    <x v="1"/>
    <x v="5"/>
    <n v="2"/>
    <n v="40"/>
    <n v="3"/>
    <n v="1"/>
    <n v="0.91"/>
  </r>
  <r>
    <s v="FL250548"/>
    <x v="544"/>
    <x v="1"/>
    <n v="21"/>
    <x v="7"/>
    <x v="1"/>
    <x v="4"/>
    <n v="11"/>
    <n v="100"/>
    <n v="3"/>
    <n v="0"/>
    <n v="0.73"/>
  </r>
  <r>
    <s v="FL250549"/>
    <x v="545"/>
    <x v="1"/>
    <n v="22"/>
    <x v="3"/>
    <x v="3"/>
    <x v="7"/>
    <n v="1"/>
    <n v="40"/>
    <n v="0"/>
    <n v="0"/>
    <n v="0.63"/>
  </r>
  <r>
    <s v="FL250550"/>
    <x v="546"/>
    <x v="0"/>
    <n v="28"/>
    <x v="7"/>
    <x v="1"/>
    <x v="8"/>
    <n v="3"/>
    <s v="$ 20"/>
    <n v="3"/>
    <n v="1"/>
    <n v="0.79"/>
  </r>
  <r>
    <s v="FL250551"/>
    <x v="547"/>
    <x v="0"/>
    <n v="59"/>
    <x v="8"/>
    <x v="6"/>
    <x v="4"/>
    <n v="11"/>
    <n v="20"/>
    <n v="4.0999999999999996"/>
    <n v="0"/>
    <n v="0.75"/>
  </r>
  <r>
    <s v="FL250552"/>
    <x v="548"/>
    <x v="0"/>
    <n v="28"/>
    <x v="15"/>
    <x v="12"/>
    <x v="3"/>
    <n v="1"/>
    <n v="40"/>
    <n v="0"/>
    <n v="0"/>
    <n v="0.7"/>
  </r>
  <r>
    <s v="FL250553"/>
    <x v="549"/>
    <x v="0"/>
    <n v="40"/>
    <x v="1"/>
    <x v="1"/>
    <x v="8"/>
    <n v="11"/>
    <n v="100"/>
    <n v="1.2"/>
    <n v="1"/>
    <n v="0.87"/>
  </r>
  <r>
    <s v="FL250554"/>
    <x v="550"/>
    <x v="1"/>
    <n v="57"/>
    <x v="0"/>
    <x v="0"/>
    <x v="0"/>
    <n v="7"/>
    <n v="30"/>
    <n v="1.6"/>
    <n v="1"/>
    <n v="0.16"/>
  </r>
  <r>
    <s v="FL250555"/>
    <x v="551"/>
    <x v="1"/>
    <n v="47"/>
    <x v="6"/>
    <x v="5"/>
    <x v="8"/>
    <n v="1"/>
    <n v="50"/>
    <n v="3.9"/>
    <n v="1"/>
    <n v="0.88"/>
  </r>
  <r>
    <s v="FL250556"/>
    <x v="552"/>
    <x v="1"/>
    <n v="48"/>
    <x v="12"/>
    <x v="10"/>
    <x v="7"/>
    <n v="21"/>
    <n v="40"/>
    <n v="0"/>
    <n v="1"/>
    <n v="0.16"/>
  </r>
  <r>
    <s v="FL250557"/>
    <x v="553"/>
    <x v="1"/>
    <n v="28"/>
    <x v="5"/>
    <x v="1"/>
    <x v="6"/>
    <n v="1"/>
    <s v="$ 20"/>
    <n v="4.7"/>
    <n v="0"/>
    <n v="0.93"/>
  </r>
  <r>
    <s v="FL250558"/>
    <x v="554"/>
    <x v="1"/>
    <n v="41"/>
    <x v="6"/>
    <x v="5"/>
    <x v="2"/>
    <n v="15"/>
    <n v="40"/>
    <n v="3.8"/>
    <n v="1"/>
    <n v="0.16"/>
  </r>
  <r>
    <s v="FL250559"/>
    <x v="555"/>
    <x v="0"/>
    <n v="57"/>
    <x v="17"/>
    <x v="14"/>
    <x v="7"/>
    <n v="33"/>
    <n v="100"/>
    <n v="3.5"/>
    <n v="1"/>
    <n v="0.74"/>
  </r>
  <r>
    <s v="FL250560"/>
    <x v="556"/>
    <x v="1"/>
    <n v="60"/>
    <x v="8"/>
    <x v="6"/>
    <x v="2"/>
    <n v="39"/>
    <s v="$ 75"/>
    <n v="4"/>
    <n v="1"/>
    <n v="0.7"/>
  </r>
  <r>
    <s v="FL250561"/>
    <x v="557"/>
    <x v="0"/>
    <n v="48"/>
    <x v="16"/>
    <x v="13"/>
    <x v="2"/>
    <n v="21"/>
    <n v="30"/>
    <n v="1.6"/>
    <n v="1"/>
    <n v="0.67"/>
  </r>
  <r>
    <s v="FL250562"/>
    <x v="558"/>
    <x v="0"/>
    <n v="24"/>
    <x v="15"/>
    <x v="12"/>
    <x v="7"/>
    <n v="5"/>
    <n v="40"/>
    <n v="3"/>
    <n v="1"/>
    <n v="0.86"/>
  </r>
  <r>
    <s v="FL250563"/>
    <x v="559"/>
    <x v="0"/>
    <n v="33"/>
    <x v="19"/>
    <x v="6"/>
    <x v="8"/>
    <n v="11"/>
    <n v="50"/>
    <n v="5"/>
    <n v="1"/>
    <n v="0.69"/>
  </r>
  <r>
    <s v="FL250564"/>
    <x v="560"/>
    <x v="0"/>
    <n v="20"/>
    <x v="6"/>
    <x v="5"/>
    <x v="2"/>
    <n v="11"/>
    <n v="30"/>
    <n v="4.8"/>
    <n v="1"/>
    <n v="0.68"/>
  </r>
  <r>
    <s v="FL250565"/>
    <x v="561"/>
    <x v="1"/>
    <n v="59"/>
    <x v="7"/>
    <x v="1"/>
    <x v="8"/>
    <n v="15"/>
    <n v="50"/>
    <n v="3"/>
    <n v="1"/>
    <n v="0.16"/>
  </r>
  <r>
    <s v="FL250566"/>
    <x v="562"/>
    <x v="0"/>
    <n v="42"/>
    <x v="18"/>
    <x v="15"/>
    <x v="8"/>
    <n v="22"/>
    <n v="40"/>
    <n v="2.9"/>
    <n v="0"/>
    <n v="0.61"/>
  </r>
  <r>
    <s v="FL250567"/>
    <x v="563"/>
    <x v="0"/>
    <n v="22"/>
    <x v="6"/>
    <x v="5"/>
    <x v="6"/>
    <n v="3"/>
    <n v="40"/>
    <n v="3"/>
    <n v="1"/>
    <n v="0.96"/>
  </r>
  <r>
    <s v="FL250568"/>
    <x v="564"/>
    <x v="1"/>
    <n v="41"/>
    <x v="14"/>
    <x v="1"/>
    <x v="7"/>
    <n v="11"/>
    <n v="50"/>
    <n v="3.5"/>
    <n v="1"/>
    <n v="0.68"/>
  </r>
  <r>
    <s v="FL250569"/>
    <x v="565"/>
    <x v="0"/>
    <n v="25"/>
    <x v="8"/>
    <x v="6"/>
    <x v="3"/>
    <n v="5"/>
    <n v="40"/>
    <n v="3"/>
    <n v="1"/>
    <n v="0.75"/>
  </r>
  <r>
    <s v="FL250570"/>
    <x v="566"/>
    <x v="0"/>
    <n v="38"/>
    <x v="14"/>
    <x v="1"/>
    <x v="6"/>
    <n v="3"/>
    <n v="40"/>
    <n v="4.7"/>
    <n v="0"/>
    <n v="0.69"/>
  </r>
  <r>
    <s v="FL250571"/>
    <x v="567"/>
    <x v="0"/>
    <n v="43"/>
    <x v="5"/>
    <x v="1"/>
    <x v="8"/>
    <n v="1"/>
    <n v="40"/>
    <n v="2.9"/>
    <n v="1"/>
    <n v="0.78"/>
  </r>
  <r>
    <s v="FL250572"/>
    <x v="568"/>
    <x v="0"/>
    <n v="54"/>
    <x v="19"/>
    <x v="6"/>
    <x v="4"/>
    <n v="1"/>
    <n v="75"/>
    <n v="4.4000000000000004"/>
    <n v="1"/>
    <n v="0.16"/>
  </r>
  <r>
    <s v="FL250573"/>
    <x v="569"/>
    <x v="0"/>
    <n v="31"/>
    <x v="4"/>
    <x v="4"/>
    <x v="1"/>
    <n v="2"/>
    <n v="40"/>
    <n v="2.2999999999999998"/>
    <n v="0"/>
    <n v="0.98"/>
  </r>
  <r>
    <s v="FL250574"/>
    <x v="570"/>
    <x v="0"/>
    <n v="56"/>
    <x v="19"/>
    <x v="6"/>
    <x v="4"/>
    <n v="3"/>
    <n v="30"/>
    <n v="3.7"/>
    <n v="1"/>
    <n v="0.83"/>
  </r>
  <r>
    <s v="FL250575"/>
    <x v="571"/>
    <x v="1"/>
    <n v="46"/>
    <x v="19"/>
    <x v="6"/>
    <x v="2"/>
    <n v="11"/>
    <n v="40"/>
    <n v="1.8"/>
    <n v="1"/>
    <n v="0.91"/>
  </r>
  <r>
    <s v="FL250576"/>
    <x v="572"/>
    <x v="1"/>
    <n v="60"/>
    <x v="16"/>
    <x v="13"/>
    <x v="4"/>
    <n v="11"/>
    <n v="100"/>
    <n v="0"/>
    <n v="1"/>
    <n v="0.96"/>
  </r>
  <r>
    <s v="FL250577"/>
    <x v="573"/>
    <x v="0"/>
    <n v="28"/>
    <x v="12"/>
    <x v="10"/>
    <x v="2"/>
    <n v="2"/>
    <s v="$ 50"/>
    <n v="3"/>
    <n v="1"/>
    <n v="0.85"/>
  </r>
  <r>
    <s v="FL250578"/>
    <x v="574"/>
    <x v="0"/>
    <n v="43"/>
    <x v="4"/>
    <x v="4"/>
    <x v="3"/>
    <n v="20"/>
    <s v="$ 30"/>
    <n v="2.7"/>
    <n v="0"/>
    <n v="0.72"/>
  </r>
  <r>
    <s v="FL250579"/>
    <x v="575"/>
    <x v="1"/>
    <n v="41"/>
    <x v="15"/>
    <x v="12"/>
    <x v="3"/>
    <n v="11"/>
    <n v="20"/>
    <n v="4.7"/>
    <n v="1"/>
    <n v="0.69"/>
  </r>
  <r>
    <s v="FL250580"/>
    <x v="576"/>
    <x v="1"/>
    <n v="41"/>
    <x v="7"/>
    <x v="1"/>
    <x v="8"/>
    <n v="11"/>
    <n v="20"/>
    <n v="3.1"/>
    <n v="0"/>
    <n v="0.9"/>
  </r>
  <r>
    <s v="FL250581"/>
    <x v="577"/>
    <x v="0"/>
    <n v="40"/>
    <x v="7"/>
    <x v="1"/>
    <x v="1"/>
    <n v="20"/>
    <n v="20"/>
    <n v="2.2999999999999998"/>
    <n v="0"/>
    <n v="0.92"/>
  </r>
  <r>
    <s v="FL250582"/>
    <x v="578"/>
    <x v="1"/>
    <n v="45"/>
    <x v="2"/>
    <x v="2"/>
    <x v="8"/>
    <n v="3"/>
    <s v="$ 20"/>
    <n v="1.3"/>
    <n v="1"/>
    <n v="0.91"/>
  </r>
  <r>
    <s v="FL250583"/>
    <x v="579"/>
    <x v="1"/>
    <n v="47"/>
    <x v="16"/>
    <x v="13"/>
    <x v="8"/>
    <n v="28"/>
    <s v="$ 50"/>
    <n v="2.9"/>
    <n v="1"/>
    <n v="0.16"/>
  </r>
  <r>
    <s v="FL250584"/>
    <x v="580"/>
    <x v="1"/>
    <n v="34"/>
    <x v="10"/>
    <x v="8"/>
    <x v="5"/>
    <n v="11"/>
    <n v="40"/>
    <n v="3.3"/>
    <n v="0"/>
    <n v="0.98"/>
  </r>
  <r>
    <s v="FL250585"/>
    <x v="581"/>
    <x v="1"/>
    <n v="47"/>
    <x v="5"/>
    <x v="1"/>
    <x v="6"/>
    <n v="4"/>
    <s v="$ 20"/>
    <n v="4.2"/>
    <n v="1"/>
    <n v="0.82"/>
  </r>
  <r>
    <s v="FL250586"/>
    <x v="582"/>
    <x v="1"/>
    <n v="32"/>
    <x v="19"/>
    <x v="6"/>
    <x v="6"/>
    <n v="9"/>
    <s v="$ 40"/>
    <n v="1.3"/>
    <n v="1"/>
    <n v="0.83"/>
  </r>
  <r>
    <s v="FL250587"/>
    <x v="583"/>
    <x v="1"/>
    <n v="28"/>
    <x v="7"/>
    <x v="1"/>
    <x v="1"/>
    <n v="2"/>
    <n v="100"/>
    <n v="4.4000000000000004"/>
    <n v="1"/>
    <n v="0.16"/>
  </r>
  <r>
    <s v="FL250588"/>
    <x v="584"/>
    <x v="1"/>
    <n v="32"/>
    <x v="1"/>
    <x v="1"/>
    <x v="8"/>
    <n v="1"/>
    <n v="100"/>
    <n v="3.4"/>
    <n v="1"/>
    <n v="0.16"/>
  </r>
  <r>
    <s v="FL250589"/>
    <x v="585"/>
    <x v="0"/>
    <n v="49"/>
    <x v="3"/>
    <x v="3"/>
    <x v="4"/>
    <n v="2"/>
    <n v="100"/>
    <n v="3.4"/>
    <n v="1"/>
    <n v="0.85"/>
  </r>
  <r>
    <s v="FL250590"/>
    <x v="586"/>
    <x v="0"/>
    <n v="36"/>
    <x v="8"/>
    <x v="6"/>
    <x v="1"/>
    <n v="16"/>
    <s v="$ 20"/>
    <n v="3.2"/>
    <n v="1"/>
    <n v="0.16"/>
  </r>
  <r>
    <s v="FL250591"/>
    <x v="587"/>
    <x v="1"/>
    <n v="59"/>
    <x v="19"/>
    <x v="6"/>
    <x v="0"/>
    <n v="22"/>
    <s v="$ 20"/>
    <n v="3.6"/>
    <n v="0"/>
    <n v="0.63"/>
  </r>
  <r>
    <s v="FL250592"/>
    <x v="588"/>
    <x v="0"/>
    <n v="52"/>
    <x v="14"/>
    <x v="1"/>
    <x v="7"/>
    <n v="22"/>
    <n v="20"/>
    <n v="0"/>
    <n v="0"/>
    <n v="0.16"/>
  </r>
  <r>
    <s v="FL250593"/>
    <x v="589"/>
    <x v="0"/>
    <n v="24"/>
    <x v="18"/>
    <x v="15"/>
    <x v="0"/>
    <n v="5"/>
    <n v="40"/>
    <n v="1.8"/>
    <n v="1"/>
    <n v="0.86"/>
  </r>
  <r>
    <s v="FL250594"/>
    <x v="590"/>
    <x v="0"/>
    <n v="26"/>
    <x v="1"/>
    <x v="1"/>
    <x v="2"/>
    <n v="2"/>
    <s v="$ 75"/>
    <n v="2.5"/>
    <n v="1"/>
    <n v="0.6"/>
  </r>
  <r>
    <s v="FL250595"/>
    <x v="591"/>
    <x v="1"/>
    <n v="55"/>
    <x v="14"/>
    <x v="1"/>
    <x v="7"/>
    <n v="24"/>
    <n v="40"/>
    <n v="2"/>
    <n v="1"/>
    <n v="0.88"/>
  </r>
  <r>
    <s v="FL250596"/>
    <x v="592"/>
    <x v="0"/>
    <n v="56"/>
    <x v="0"/>
    <x v="0"/>
    <x v="1"/>
    <n v="37"/>
    <n v="40"/>
    <n v="0"/>
    <n v="0"/>
    <n v="0.7"/>
  </r>
  <r>
    <s v="FL250597"/>
    <x v="593"/>
    <x v="1"/>
    <n v="36"/>
    <x v="15"/>
    <x v="12"/>
    <x v="2"/>
    <n v="3"/>
    <s v="$ 50"/>
    <n v="1.3"/>
    <n v="1"/>
    <n v="0.77"/>
  </r>
  <r>
    <s v="FL250598"/>
    <x v="594"/>
    <x v="1"/>
    <n v="48"/>
    <x v="8"/>
    <x v="6"/>
    <x v="3"/>
    <n v="18"/>
    <n v="75"/>
    <n v="0"/>
    <n v="0"/>
    <n v="0.8"/>
  </r>
  <r>
    <s v="FL250599"/>
    <x v="595"/>
    <x v="1"/>
    <n v="55"/>
    <x v="16"/>
    <x v="13"/>
    <x v="9"/>
    <n v="6"/>
    <n v="40"/>
    <n v="3.6"/>
    <n v="1"/>
    <n v="0.16"/>
  </r>
  <r>
    <s v="FL250600"/>
    <x v="596"/>
    <x v="0"/>
    <n v="56"/>
    <x v="20"/>
    <x v="6"/>
    <x v="8"/>
    <n v="17"/>
    <n v="40"/>
    <n v="1.3"/>
    <n v="1"/>
    <n v="0.87"/>
  </r>
  <r>
    <s v="FL250601"/>
    <x v="597"/>
    <x v="0"/>
    <n v="28"/>
    <x v="14"/>
    <x v="1"/>
    <x v="0"/>
    <n v="1"/>
    <n v="75"/>
    <n v="2.7"/>
    <n v="1"/>
    <n v="0.93"/>
  </r>
  <r>
    <s v="FL250602"/>
    <x v="598"/>
    <x v="1"/>
    <n v="60"/>
    <x v="5"/>
    <x v="1"/>
    <x v="4"/>
    <n v="39"/>
    <s v="$ 100"/>
    <n v="1.5"/>
    <n v="1"/>
    <n v="0.88"/>
  </r>
  <r>
    <s v="FL250603"/>
    <x v="599"/>
    <x v="1"/>
    <n v="34"/>
    <x v="12"/>
    <x v="10"/>
    <x v="0"/>
    <n v="15"/>
    <n v="20"/>
    <n v="0"/>
    <n v="0"/>
    <n v="0.01"/>
  </r>
  <r>
    <s v="FL250604"/>
    <x v="600"/>
    <x v="0"/>
    <n v="38"/>
    <x v="4"/>
    <x v="4"/>
    <x v="4"/>
    <n v="13"/>
    <n v="40"/>
    <n v="0"/>
    <n v="1"/>
    <n v="0.61"/>
  </r>
  <r>
    <s v="FL250605"/>
    <x v="601"/>
    <x v="0"/>
    <n v="51"/>
    <x v="12"/>
    <x v="10"/>
    <x v="3"/>
    <n v="17"/>
    <n v="100"/>
    <n v="3"/>
    <n v="0"/>
    <n v="0.79"/>
  </r>
  <r>
    <s v="FL250606"/>
    <x v="602"/>
    <x v="0"/>
    <n v="21"/>
    <x v="9"/>
    <x v="7"/>
    <x v="1"/>
    <n v="1"/>
    <n v="30"/>
    <n v="1.2"/>
    <n v="1"/>
    <n v="0.73"/>
  </r>
  <r>
    <s v="FL250607"/>
    <x v="603"/>
    <x v="1"/>
    <n v="35"/>
    <x v="0"/>
    <x v="0"/>
    <x v="6"/>
    <n v="16"/>
    <n v="40"/>
    <n v="1.3"/>
    <n v="1"/>
    <n v="0.64"/>
  </r>
  <r>
    <s v="FL250608"/>
    <x v="604"/>
    <x v="1"/>
    <n v="27"/>
    <x v="11"/>
    <x v="9"/>
    <x v="3"/>
    <n v="9"/>
    <n v="100"/>
    <n v="3"/>
    <n v="1"/>
    <n v="0.16"/>
  </r>
  <r>
    <s v="FL250609"/>
    <x v="605"/>
    <x v="0"/>
    <n v="42"/>
    <x v="6"/>
    <x v="5"/>
    <x v="1"/>
    <n v="20"/>
    <s v="$ 50"/>
    <n v="3.8"/>
    <n v="0"/>
    <n v="0.93"/>
  </r>
  <r>
    <s v="FL250610"/>
    <x v="606"/>
    <x v="0"/>
    <n v="52"/>
    <x v="14"/>
    <x v="1"/>
    <x v="0"/>
    <n v="29"/>
    <n v="30"/>
    <n v="3.8"/>
    <n v="0"/>
    <n v="0.68"/>
  </r>
  <r>
    <s v="FL250611"/>
    <x v="607"/>
    <x v="1"/>
    <n v="53"/>
    <x v="12"/>
    <x v="10"/>
    <x v="3"/>
    <n v="21"/>
    <n v="40"/>
    <n v="4.7"/>
    <n v="1"/>
    <n v="0.62"/>
  </r>
  <r>
    <s v="FL250612"/>
    <x v="608"/>
    <x v="0"/>
    <n v="54"/>
    <x v="0"/>
    <x v="0"/>
    <x v="1"/>
    <n v="28"/>
    <s v="$ 40"/>
    <n v="1.1000000000000001"/>
    <n v="1"/>
    <n v="0.16"/>
  </r>
  <r>
    <s v="FL250613"/>
    <x v="609"/>
    <x v="1"/>
    <n v="51"/>
    <x v="9"/>
    <x v="7"/>
    <x v="2"/>
    <n v="5"/>
    <n v="50"/>
    <n v="4.2"/>
    <n v="1"/>
    <n v="0.82"/>
  </r>
  <r>
    <s v="FL250614"/>
    <x v="610"/>
    <x v="0"/>
    <n v="30"/>
    <x v="12"/>
    <x v="10"/>
    <x v="3"/>
    <n v="11"/>
    <n v="40"/>
    <n v="0"/>
    <n v="0"/>
    <n v="0.16"/>
  </r>
  <r>
    <s v="FL250615"/>
    <x v="611"/>
    <x v="0"/>
    <n v="45"/>
    <x v="3"/>
    <x v="3"/>
    <x v="9"/>
    <n v="27"/>
    <s v="$ 75"/>
    <n v="0"/>
    <n v="1"/>
    <n v="0.85"/>
  </r>
  <r>
    <s v="FL250616"/>
    <x v="612"/>
    <x v="1"/>
    <n v="57"/>
    <x v="4"/>
    <x v="4"/>
    <x v="2"/>
    <n v="26"/>
    <s v="$ 100"/>
    <n v="2.4"/>
    <n v="1"/>
    <n v="0.78"/>
  </r>
  <r>
    <s v="FL250617"/>
    <x v="613"/>
    <x v="1"/>
    <n v="38"/>
    <x v="6"/>
    <x v="5"/>
    <x v="0"/>
    <n v="19"/>
    <n v="40"/>
    <n v="0"/>
    <n v="1"/>
    <n v="0.86"/>
  </r>
  <r>
    <s v="FL250618"/>
    <x v="614"/>
    <x v="0"/>
    <n v="42"/>
    <x v="13"/>
    <x v="11"/>
    <x v="8"/>
    <n v="24"/>
    <s v="$ 40"/>
    <n v="3"/>
    <n v="0"/>
    <n v="0.88"/>
  </r>
  <r>
    <s v="FL250619"/>
    <x v="615"/>
    <x v="0"/>
    <n v="30"/>
    <x v="17"/>
    <x v="14"/>
    <x v="8"/>
    <n v="7"/>
    <n v="30"/>
    <n v="3.3"/>
    <n v="1"/>
    <n v="0.68"/>
  </r>
  <r>
    <s v="FL250620"/>
    <x v="616"/>
    <x v="0"/>
    <n v="43"/>
    <x v="1"/>
    <x v="1"/>
    <x v="3"/>
    <n v="13"/>
    <n v="100"/>
    <n v="1.4"/>
    <n v="1"/>
    <n v="0.97"/>
  </r>
  <r>
    <s v="FL250621"/>
    <x v="617"/>
    <x v="1"/>
    <n v="22"/>
    <x v="16"/>
    <x v="13"/>
    <x v="6"/>
    <n v="2"/>
    <n v="75"/>
    <n v="1.7"/>
    <n v="1"/>
    <n v="0.91"/>
  </r>
  <r>
    <s v="FL250622"/>
    <x v="618"/>
    <x v="1"/>
    <n v="57"/>
    <x v="19"/>
    <x v="6"/>
    <x v="9"/>
    <n v="37"/>
    <n v="30"/>
    <n v="4.8"/>
    <n v="0"/>
    <n v="0.16"/>
  </r>
  <r>
    <s v="FL250623"/>
    <x v="619"/>
    <x v="1"/>
    <n v="44"/>
    <x v="7"/>
    <x v="1"/>
    <x v="2"/>
    <n v="1"/>
    <n v="40"/>
    <n v="4.8"/>
    <n v="0"/>
    <n v="0.97"/>
  </r>
  <r>
    <s v="FL250624"/>
    <x v="620"/>
    <x v="0"/>
    <n v="46"/>
    <x v="18"/>
    <x v="15"/>
    <x v="8"/>
    <n v="5"/>
    <s v="$ 30"/>
    <n v="2"/>
    <n v="1"/>
    <n v="0.64"/>
  </r>
  <r>
    <s v="FL250625"/>
    <x v="621"/>
    <x v="1"/>
    <n v="41"/>
    <x v="20"/>
    <x v="6"/>
    <x v="0"/>
    <n v="1"/>
    <s v="$ 50"/>
    <n v="2.8"/>
    <n v="1"/>
    <n v="0.87"/>
  </r>
  <r>
    <s v="FL250626"/>
    <x v="622"/>
    <x v="0"/>
    <n v="34"/>
    <x v="1"/>
    <x v="1"/>
    <x v="5"/>
    <n v="2"/>
    <n v="100"/>
    <n v="0"/>
    <n v="0"/>
    <n v="0.86"/>
  </r>
  <r>
    <s v="FL250627"/>
    <x v="623"/>
    <x v="0"/>
    <n v="46"/>
    <x v="0"/>
    <x v="0"/>
    <x v="1"/>
    <n v="11"/>
    <n v="100"/>
    <n v="4.4000000000000004"/>
    <n v="1"/>
    <n v="0.97"/>
  </r>
  <r>
    <s v="FL250628"/>
    <x v="624"/>
    <x v="0"/>
    <n v="22"/>
    <x v="15"/>
    <x v="12"/>
    <x v="0"/>
    <n v="11"/>
    <s v="$ 30"/>
    <n v="4.9000000000000004"/>
    <n v="0"/>
    <n v="0.73"/>
  </r>
  <r>
    <s v="FL250629"/>
    <x v="625"/>
    <x v="0"/>
    <n v="23"/>
    <x v="17"/>
    <x v="14"/>
    <x v="4"/>
    <n v="11"/>
    <s v="$ 75"/>
    <n v="2.2999999999999998"/>
    <n v="1"/>
    <n v="0.6"/>
  </r>
  <r>
    <s v="FL250630"/>
    <x v="626"/>
    <x v="0"/>
    <n v="60"/>
    <x v="6"/>
    <x v="5"/>
    <x v="3"/>
    <n v="41"/>
    <n v="40"/>
    <n v="4.9000000000000004"/>
    <n v="1"/>
    <n v="0.66"/>
  </r>
  <r>
    <s v="FL250631"/>
    <x v="627"/>
    <x v="1"/>
    <n v="20"/>
    <x v="14"/>
    <x v="1"/>
    <x v="8"/>
    <n v="11"/>
    <n v="75"/>
    <n v="4.3"/>
    <n v="0"/>
    <n v="0.9"/>
  </r>
  <r>
    <s v="FL250632"/>
    <x v="628"/>
    <x v="0"/>
    <n v="41"/>
    <x v="12"/>
    <x v="10"/>
    <x v="6"/>
    <n v="23"/>
    <n v="75"/>
    <n v="1.4"/>
    <n v="0"/>
    <n v="0.16"/>
  </r>
  <r>
    <s v="FL250633"/>
    <x v="629"/>
    <x v="1"/>
    <n v="24"/>
    <x v="15"/>
    <x v="12"/>
    <x v="1"/>
    <n v="11"/>
    <n v="100"/>
    <n v="3"/>
    <n v="1"/>
    <n v="0.16"/>
  </r>
  <r>
    <s v="FL250634"/>
    <x v="630"/>
    <x v="1"/>
    <n v="44"/>
    <x v="3"/>
    <x v="3"/>
    <x v="9"/>
    <n v="4"/>
    <n v="40"/>
    <n v="1.3"/>
    <n v="1"/>
    <n v="0.77"/>
  </r>
  <r>
    <s v="FL250635"/>
    <x v="631"/>
    <x v="1"/>
    <n v="52"/>
    <x v="18"/>
    <x v="15"/>
    <x v="6"/>
    <n v="4"/>
    <n v="75"/>
    <n v="2.2999999999999998"/>
    <n v="1"/>
    <n v="0.79"/>
  </r>
  <r>
    <s v="FL250636"/>
    <x v="632"/>
    <x v="1"/>
    <n v="35"/>
    <x v="20"/>
    <x v="6"/>
    <x v="9"/>
    <n v="13"/>
    <n v="40"/>
    <n v="3.6"/>
    <n v="0"/>
    <n v="0.83"/>
  </r>
  <r>
    <s v="FL250637"/>
    <x v="633"/>
    <x v="0"/>
    <n v="24"/>
    <x v="3"/>
    <x v="3"/>
    <x v="8"/>
    <n v="2"/>
    <n v="50"/>
    <n v="3"/>
    <n v="0"/>
    <n v="0.64"/>
  </r>
  <r>
    <s v="FL250638"/>
    <x v="634"/>
    <x v="0"/>
    <n v="46"/>
    <x v="1"/>
    <x v="1"/>
    <x v="7"/>
    <n v="25"/>
    <n v="100"/>
    <n v="1.3"/>
    <n v="1"/>
    <n v="0.8"/>
  </r>
  <r>
    <s v="FL250639"/>
    <x v="635"/>
    <x v="1"/>
    <n v="57"/>
    <x v="19"/>
    <x v="6"/>
    <x v="1"/>
    <n v="18"/>
    <s v="$ 30"/>
    <n v="1.1000000000000001"/>
    <n v="0"/>
    <n v="0.9"/>
  </r>
  <r>
    <s v="FL250640"/>
    <x v="636"/>
    <x v="0"/>
    <n v="49"/>
    <x v="19"/>
    <x v="6"/>
    <x v="3"/>
    <n v="24"/>
    <n v="50"/>
    <n v="0"/>
    <n v="0"/>
    <n v="0.94"/>
  </r>
  <r>
    <s v="FL250641"/>
    <x v="637"/>
    <x v="1"/>
    <n v="41"/>
    <x v="9"/>
    <x v="7"/>
    <x v="4"/>
    <n v="7"/>
    <n v="40"/>
    <n v="1.8"/>
    <n v="0"/>
    <n v="0.7"/>
  </r>
  <r>
    <s v="FL250642"/>
    <x v="638"/>
    <x v="1"/>
    <n v="22"/>
    <x v="19"/>
    <x v="6"/>
    <x v="9"/>
    <n v="1"/>
    <s v="$ 20"/>
    <n v="3"/>
    <n v="1"/>
    <n v="0.75"/>
  </r>
  <r>
    <s v="FL250643"/>
    <x v="639"/>
    <x v="1"/>
    <n v="50"/>
    <x v="1"/>
    <x v="1"/>
    <x v="0"/>
    <n v="17"/>
    <n v="75"/>
    <n v="3.3"/>
    <n v="1"/>
    <n v="0.69"/>
  </r>
  <r>
    <s v="FL250644"/>
    <x v="640"/>
    <x v="1"/>
    <n v="57"/>
    <x v="2"/>
    <x v="2"/>
    <x v="2"/>
    <n v="4"/>
    <s v="$ 30"/>
    <n v="4.2"/>
    <n v="0"/>
    <n v="0.16"/>
  </r>
  <r>
    <s v="FL250645"/>
    <x v="641"/>
    <x v="0"/>
    <n v="47"/>
    <x v="19"/>
    <x v="6"/>
    <x v="4"/>
    <n v="29"/>
    <n v="50"/>
    <n v="3"/>
    <n v="1"/>
    <n v="0.79"/>
  </r>
  <r>
    <s v="FL250646"/>
    <x v="642"/>
    <x v="1"/>
    <n v="24"/>
    <x v="17"/>
    <x v="14"/>
    <x v="5"/>
    <n v="2"/>
    <n v="100"/>
    <n v="3.8"/>
    <n v="1"/>
    <n v="0.71"/>
  </r>
  <r>
    <s v="FL250647"/>
    <x v="643"/>
    <x v="1"/>
    <n v="41"/>
    <x v="10"/>
    <x v="8"/>
    <x v="7"/>
    <n v="9"/>
    <n v="100"/>
    <n v="4.8"/>
    <n v="1"/>
    <n v="0.72"/>
  </r>
  <r>
    <s v="FL250648"/>
    <x v="644"/>
    <x v="0"/>
    <n v="50"/>
    <x v="2"/>
    <x v="2"/>
    <x v="8"/>
    <n v="10"/>
    <n v="100"/>
    <n v="4.3"/>
    <n v="0"/>
    <n v="0.93"/>
  </r>
  <r>
    <s v="FL250649"/>
    <x v="645"/>
    <x v="1"/>
    <n v="46"/>
    <x v="11"/>
    <x v="9"/>
    <x v="9"/>
    <n v="20"/>
    <n v="40"/>
    <n v="4.8"/>
    <n v="1"/>
    <n v="0.82"/>
  </r>
  <r>
    <s v="FL250650"/>
    <x v="646"/>
    <x v="1"/>
    <n v="51"/>
    <x v="1"/>
    <x v="1"/>
    <x v="7"/>
    <n v="9"/>
    <n v="40"/>
    <n v="3"/>
    <n v="0"/>
    <n v="0.6"/>
  </r>
  <r>
    <s v="FL250651"/>
    <x v="647"/>
    <x v="1"/>
    <n v="51"/>
    <x v="7"/>
    <x v="1"/>
    <x v="4"/>
    <n v="12"/>
    <n v="20"/>
    <n v="4"/>
    <n v="0"/>
    <n v="0.93"/>
  </r>
  <r>
    <s v="FL250652"/>
    <x v="648"/>
    <x v="1"/>
    <n v="27"/>
    <x v="7"/>
    <x v="1"/>
    <x v="4"/>
    <n v="3"/>
    <s v="$ 50"/>
    <n v="3"/>
    <n v="0"/>
    <n v="0.16"/>
  </r>
  <r>
    <s v="FL250653"/>
    <x v="649"/>
    <x v="1"/>
    <n v="42"/>
    <x v="20"/>
    <x v="6"/>
    <x v="3"/>
    <n v="13"/>
    <n v="30"/>
    <n v="0"/>
    <n v="0"/>
    <n v="0.74"/>
  </r>
  <r>
    <s v="FL250654"/>
    <x v="650"/>
    <x v="1"/>
    <n v="25"/>
    <x v="2"/>
    <x v="2"/>
    <x v="6"/>
    <n v="4"/>
    <n v="40"/>
    <n v="2.2999999999999998"/>
    <n v="1"/>
    <n v="0.73"/>
  </r>
  <r>
    <s v="FL250655"/>
    <x v="651"/>
    <x v="0"/>
    <n v="32"/>
    <x v="2"/>
    <x v="2"/>
    <x v="5"/>
    <n v="9"/>
    <n v="75"/>
    <n v="3"/>
    <n v="0"/>
    <n v="0.96"/>
  </r>
  <r>
    <s v="FL250656"/>
    <x v="652"/>
    <x v="0"/>
    <n v="59"/>
    <x v="14"/>
    <x v="1"/>
    <x v="2"/>
    <n v="14"/>
    <n v="30"/>
    <n v="3.8"/>
    <n v="1"/>
    <n v="0.66"/>
  </r>
  <r>
    <s v="FL250657"/>
    <x v="653"/>
    <x v="0"/>
    <n v="59"/>
    <x v="15"/>
    <x v="12"/>
    <x v="7"/>
    <n v="37"/>
    <n v="30"/>
    <n v="4"/>
    <n v="0"/>
    <n v="0.62"/>
  </r>
  <r>
    <s v="FL250658"/>
    <x v="654"/>
    <x v="1"/>
    <n v="29"/>
    <x v="2"/>
    <x v="2"/>
    <x v="2"/>
    <n v="2"/>
    <s v="$ 75"/>
    <n v="2.2000000000000002"/>
    <n v="1"/>
    <n v="0.85"/>
  </r>
  <r>
    <s v="FL250659"/>
    <x v="655"/>
    <x v="1"/>
    <n v="58"/>
    <x v="18"/>
    <x v="15"/>
    <x v="4"/>
    <n v="11"/>
    <n v="100"/>
    <n v="4.3"/>
    <n v="0"/>
    <n v="0.66"/>
  </r>
  <r>
    <s v="FL250660"/>
    <x v="656"/>
    <x v="0"/>
    <n v="56"/>
    <x v="14"/>
    <x v="1"/>
    <x v="7"/>
    <n v="19"/>
    <n v="20"/>
    <n v="0"/>
    <n v="0"/>
    <n v="0.87"/>
  </r>
  <r>
    <s v="FL250661"/>
    <x v="657"/>
    <x v="0"/>
    <n v="36"/>
    <x v="5"/>
    <x v="1"/>
    <x v="9"/>
    <n v="9"/>
    <n v="20"/>
    <n v="0"/>
    <n v="1"/>
    <n v="0.68"/>
  </r>
  <r>
    <s v="FL250662"/>
    <x v="658"/>
    <x v="0"/>
    <n v="52"/>
    <x v="14"/>
    <x v="1"/>
    <x v="6"/>
    <n v="16"/>
    <n v="100"/>
    <n v="4"/>
    <n v="1"/>
    <n v="0.16"/>
  </r>
  <r>
    <s v="FL250663"/>
    <x v="659"/>
    <x v="0"/>
    <n v="42"/>
    <x v="3"/>
    <x v="3"/>
    <x v="1"/>
    <n v="8"/>
    <s v="$ 50"/>
    <n v="3"/>
    <n v="1"/>
    <n v="0.16"/>
  </r>
  <r>
    <s v="FL250664"/>
    <x v="660"/>
    <x v="0"/>
    <n v="59"/>
    <x v="10"/>
    <x v="8"/>
    <x v="1"/>
    <n v="34"/>
    <n v="100"/>
    <n v="2"/>
    <n v="1"/>
    <n v="0.79"/>
  </r>
  <r>
    <s v="FL250665"/>
    <x v="661"/>
    <x v="1"/>
    <n v="33"/>
    <x v="3"/>
    <x v="3"/>
    <x v="1"/>
    <n v="5"/>
    <n v="50"/>
    <n v="4.7"/>
    <n v="1"/>
    <n v="0.88"/>
  </r>
  <r>
    <s v="FL250666"/>
    <x v="662"/>
    <x v="0"/>
    <n v="55"/>
    <x v="14"/>
    <x v="1"/>
    <x v="3"/>
    <n v="14"/>
    <s v="$ 50"/>
    <n v="3.6"/>
    <n v="1"/>
    <n v="0.81"/>
  </r>
  <r>
    <s v="FL250667"/>
    <x v="663"/>
    <x v="1"/>
    <n v="47"/>
    <x v="12"/>
    <x v="10"/>
    <x v="6"/>
    <n v="17"/>
    <n v="50"/>
    <n v="1.2"/>
    <n v="0"/>
    <n v="0.16"/>
  </r>
  <r>
    <s v="FL250668"/>
    <x v="664"/>
    <x v="0"/>
    <n v="29"/>
    <x v="19"/>
    <x v="6"/>
    <x v="4"/>
    <n v="10"/>
    <n v="40"/>
    <n v="4.4000000000000004"/>
    <n v="1"/>
    <n v="0.67"/>
  </r>
  <r>
    <s v="FL250669"/>
    <x v="665"/>
    <x v="0"/>
    <n v="30"/>
    <x v="7"/>
    <x v="1"/>
    <x v="8"/>
    <n v="8"/>
    <n v="100"/>
    <n v="1.4"/>
    <n v="1"/>
    <n v="0.62"/>
  </r>
  <r>
    <s v="FL250670"/>
    <x v="666"/>
    <x v="0"/>
    <n v="25"/>
    <x v="14"/>
    <x v="1"/>
    <x v="8"/>
    <n v="1"/>
    <s v="$ 30"/>
    <n v="3.2"/>
    <n v="0"/>
    <n v="0.87"/>
  </r>
  <r>
    <s v="FL250671"/>
    <x v="667"/>
    <x v="0"/>
    <n v="28"/>
    <x v="16"/>
    <x v="13"/>
    <x v="7"/>
    <n v="10"/>
    <n v="40"/>
    <n v="3.8"/>
    <n v="1"/>
    <n v="0.98"/>
  </r>
  <r>
    <s v="FL250672"/>
    <x v="668"/>
    <x v="1"/>
    <n v="29"/>
    <x v="12"/>
    <x v="10"/>
    <x v="0"/>
    <n v="11"/>
    <n v="75"/>
    <n v="1.5"/>
    <n v="1"/>
    <n v="0.64"/>
  </r>
  <r>
    <s v="FL250673"/>
    <x v="669"/>
    <x v="1"/>
    <n v="30"/>
    <x v="20"/>
    <x v="6"/>
    <x v="2"/>
    <n v="4"/>
    <n v="40"/>
    <n v="2.8"/>
    <n v="1"/>
    <n v="0.71"/>
  </r>
  <r>
    <s v="FL250674"/>
    <x v="670"/>
    <x v="1"/>
    <n v="47"/>
    <x v="16"/>
    <x v="13"/>
    <x v="4"/>
    <n v="2"/>
    <n v="50"/>
    <n v="2.7"/>
    <n v="1"/>
    <n v="0.96"/>
  </r>
  <r>
    <s v="FL250675"/>
    <x v="671"/>
    <x v="1"/>
    <n v="34"/>
    <x v="1"/>
    <x v="1"/>
    <x v="0"/>
    <n v="10"/>
    <n v="30"/>
    <n v="3.9"/>
    <n v="1"/>
    <n v="0.16"/>
  </r>
  <r>
    <s v="FL250676"/>
    <x v="672"/>
    <x v="1"/>
    <n v="45"/>
    <x v="5"/>
    <x v="1"/>
    <x v="2"/>
    <n v="16"/>
    <n v="100"/>
    <n v="4.5999999999999996"/>
    <n v="0"/>
    <n v="0.78"/>
  </r>
  <r>
    <s v="FL250677"/>
    <x v="673"/>
    <x v="0"/>
    <n v="56"/>
    <x v="20"/>
    <x v="6"/>
    <x v="7"/>
    <n v="27"/>
    <n v="20"/>
    <n v="2.2000000000000002"/>
    <n v="0"/>
    <n v="0.7"/>
  </r>
  <r>
    <s v="FL250678"/>
    <x v="674"/>
    <x v="0"/>
    <n v="49"/>
    <x v="18"/>
    <x v="15"/>
    <x v="8"/>
    <n v="20"/>
    <n v="50"/>
    <n v="2.5"/>
    <n v="0"/>
    <n v="0.82"/>
  </r>
  <r>
    <s v="FL250679"/>
    <x v="675"/>
    <x v="1"/>
    <n v="48"/>
    <x v="15"/>
    <x v="12"/>
    <x v="4"/>
    <n v="10"/>
    <n v="40"/>
    <n v="3.1"/>
    <n v="0"/>
    <n v="0.16"/>
  </r>
  <r>
    <s v="FL250680"/>
    <x v="676"/>
    <x v="0"/>
    <n v="29"/>
    <x v="12"/>
    <x v="10"/>
    <x v="2"/>
    <n v="11"/>
    <n v="20"/>
    <n v="3"/>
    <n v="1"/>
    <n v="0.99"/>
  </r>
  <r>
    <s v="FL250681"/>
    <x v="677"/>
    <x v="0"/>
    <n v="49"/>
    <x v="3"/>
    <x v="3"/>
    <x v="3"/>
    <n v="11"/>
    <n v="75"/>
    <n v="3.8"/>
    <n v="1"/>
    <n v="0.93"/>
  </r>
  <r>
    <s v="FL250682"/>
    <x v="678"/>
    <x v="0"/>
    <n v="22"/>
    <x v="18"/>
    <x v="15"/>
    <x v="0"/>
    <n v="1"/>
    <n v="100"/>
    <n v="4.8"/>
    <n v="1"/>
    <n v="0.75"/>
  </r>
  <r>
    <s v="FL250683"/>
    <x v="679"/>
    <x v="1"/>
    <n v="52"/>
    <x v="19"/>
    <x v="6"/>
    <x v="2"/>
    <n v="30"/>
    <s v="$ 100"/>
    <n v="2.5"/>
    <n v="1"/>
    <n v="0.61"/>
  </r>
  <r>
    <s v="FL250684"/>
    <x v="680"/>
    <x v="1"/>
    <n v="60"/>
    <x v="14"/>
    <x v="1"/>
    <x v="0"/>
    <n v="7"/>
    <s v="$ 30"/>
    <n v="0"/>
    <n v="1"/>
    <n v="0.97"/>
  </r>
  <r>
    <s v="FL250685"/>
    <x v="681"/>
    <x v="0"/>
    <n v="33"/>
    <x v="9"/>
    <x v="7"/>
    <x v="6"/>
    <n v="11"/>
    <n v="100"/>
    <n v="1.7"/>
    <n v="1"/>
    <n v="0.95"/>
  </r>
  <r>
    <s v="FL250686"/>
    <x v="682"/>
    <x v="1"/>
    <n v="52"/>
    <x v="12"/>
    <x v="10"/>
    <x v="2"/>
    <n v="21"/>
    <s v="$ 40"/>
    <n v="4"/>
    <n v="1"/>
    <n v="0.69"/>
  </r>
  <r>
    <s v="FL250687"/>
    <x v="683"/>
    <x v="0"/>
    <n v="25"/>
    <x v="2"/>
    <x v="2"/>
    <x v="8"/>
    <n v="7"/>
    <s v="$ 100"/>
    <n v="1.9"/>
    <n v="0"/>
    <n v="0.63"/>
  </r>
  <r>
    <s v="FL250688"/>
    <x v="684"/>
    <x v="1"/>
    <n v="33"/>
    <x v="9"/>
    <x v="7"/>
    <x v="7"/>
    <n v="11"/>
    <s v="$ 30"/>
    <n v="4.4000000000000004"/>
    <n v="1"/>
    <n v="0.65"/>
  </r>
  <r>
    <s v="FL250689"/>
    <x v="685"/>
    <x v="0"/>
    <n v="33"/>
    <x v="18"/>
    <x v="15"/>
    <x v="1"/>
    <n v="11"/>
    <n v="40"/>
    <n v="4.2"/>
    <n v="1"/>
    <n v="0.9"/>
  </r>
  <r>
    <s v="FL250690"/>
    <x v="5"/>
    <x v="0"/>
    <n v="52"/>
    <x v="14"/>
    <x v="1"/>
    <x v="6"/>
    <n v="25"/>
    <n v="100"/>
    <n v="4.8"/>
    <n v="0"/>
    <n v="0.16"/>
  </r>
  <r>
    <s v="FL250691"/>
    <x v="686"/>
    <x v="0"/>
    <n v="20"/>
    <x v="4"/>
    <x v="4"/>
    <x v="3"/>
    <n v="1"/>
    <s v="$ 30"/>
    <n v="2"/>
    <n v="1"/>
    <n v="0.89"/>
  </r>
  <r>
    <s v="FL250692"/>
    <x v="687"/>
    <x v="0"/>
    <n v="43"/>
    <x v="13"/>
    <x v="11"/>
    <x v="5"/>
    <n v="7"/>
    <s v="$ 50"/>
    <n v="3"/>
    <n v="1"/>
    <n v="0.8"/>
  </r>
  <r>
    <s v="FL250693"/>
    <x v="666"/>
    <x v="0"/>
    <n v="31"/>
    <x v="15"/>
    <x v="12"/>
    <x v="1"/>
    <n v="11"/>
    <n v="50"/>
    <n v="1.4"/>
    <n v="1"/>
    <n v="0.8"/>
  </r>
  <r>
    <s v="FL250694"/>
    <x v="688"/>
    <x v="0"/>
    <n v="29"/>
    <x v="2"/>
    <x v="2"/>
    <x v="5"/>
    <n v="6"/>
    <n v="100"/>
    <n v="1.8"/>
    <n v="0"/>
    <n v="0.16"/>
  </r>
  <r>
    <s v="FL250695"/>
    <x v="376"/>
    <x v="0"/>
    <n v="53"/>
    <x v="17"/>
    <x v="14"/>
    <x v="2"/>
    <n v="35"/>
    <n v="40"/>
    <n v="0"/>
    <n v="1"/>
    <n v="0.67"/>
  </r>
  <r>
    <s v="FL250696"/>
    <x v="689"/>
    <x v="1"/>
    <n v="38"/>
    <x v="10"/>
    <x v="8"/>
    <x v="1"/>
    <n v="1"/>
    <s v="$ 40"/>
    <n v="0"/>
    <n v="0"/>
    <n v="0.96"/>
  </r>
  <r>
    <s v="FL250697"/>
    <x v="690"/>
    <x v="1"/>
    <n v="29"/>
    <x v="20"/>
    <x v="6"/>
    <x v="2"/>
    <n v="11"/>
    <n v="20"/>
    <n v="0"/>
    <n v="0"/>
    <n v="0.9"/>
  </r>
  <r>
    <s v="FL250698"/>
    <x v="691"/>
    <x v="1"/>
    <n v="42"/>
    <x v="12"/>
    <x v="10"/>
    <x v="6"/>
    <n v="11"/>
    <n v="40"/>
    <n v="3.9"/>
    <n v="0"/>
    <n v="0.62"/>
  </r>
  <r>
    <s v="FL250699"/>
    <x v="692"/>
    <x v="0"/>
    <n v="54"/>
    <x v="5"/>
    <x v="1"/>
    <x v="9"/>
    <n v="9"/>
    <n v="100"/>
    <n v="3"/>
    <n v="0"/>
    <n v="0.72"/>
  </r>
  <r>
    <s v="FL250700"/>
    <x v="693"/>
    <x v="1"/>
    <n v="56"/>
    <x v="18"/>
    <x v="15"/>
    <x v="6"/>
    <n v="18"/>
    <s v="$ 50"/>
    <n v="4.4000000000000004"/>
    <n v="1"/>
    <n v="0.83"/>
  </r>
  <r>
    <s v="FL250701"/>
    <x v="694"/>
    <x v="0"/>
    <n v="47"/>
    <x v="6"/>
    <x v="5"/>
    <x v="2"/>
    <n v="22"/>
    <n v="100"/>
    <n v="4.4000000000000004"/>
    <n v="1"/>
    <n v="0.7"/>
  </r>
  <r>
    <s v="FL250702"/>
    <x v="695"/>
    <x v="1"/>
    <n v="45"/>
    <x v="13"/>
    <x v="11"/>
    <x v="0"/>
    <n v="25"/>
    <n v="50"/>
    <n v="0"/>
    <n v="1"/>
    <n v="0.99"/>
  </r>
  <r>
    <s v="FL250703"/>
    <x v="696"/>
    <x v="1"/>
    <n v="45"/>
    <x v="18"/>
    <x v="15"/>
    <x v="5"/>
    <n v="6"/>
    <n v="50"/>
    <n v="1.4"/>
    <n v="1"/>
    <n v="0.97"/>
  </r>
  <r>
    <s v="FL250704"/>
    <x v="697"/>
    <x v="1"/>
    <n v="35"/>
    <x v="14"/>
    <x v="1"/>
    <x v="9"/>
    <n v="10"/>
    <n v="20"/>
    <n v="3.2"/>
    <n v="1"/>
    <n v="0.77"/>
  </r>
  <r>
    <s v="FL250705"/>
    <x v="698"/>
    <x v="1"/>
    <n v="51"/>
    <x v="14"/>
    <x v="1"/>
    <x v="8"/>
    <n v="4"/>
    <s v="$ 50"/>
    <n v="2"/>
    <n v="1"/>
    <n v="0.92"/>
  </r>
  <r>
    <s v="FL250706"/>
    <x v="699"/>
    <x v="0"/>
    <n v="34"/>
    <x v="20"/>
    <x v="6"/>
    <x v="1"/>
    <n v="11"/>
    <n v="50"/>
    <n v="3.3"/>
    <n v="1"/>
    <n v="0.76"/>
  </r>
  <r>
    <s v="FL250707"/>
    <x v="700"/>
    <x v="0"/>
    <n v="51"/>
    <x v="4"/>
    <x v="4"/>
    <x v="2"/>
    <n v="1"/>
    <n v="50"/>
    <n v="0"/>
    <n v="1"/>
    <n v="0.97"/>
  </r>
  <r>
    <s v="FL250708"/>
    <x v="701"/>
    <x v="1"/>
    <n v="58"/>
    <x v="16"/>
    <x v="13"/>
    <x v="2"/>
    <n v="35"/>
    <s v="$ 100"/>
    <n v="2.2999999999999998"/>
    <n v="1"/>
    <n v="0.16"/>
  </r>
  <r>
    <s v="FL250709"/>
    <x v="702"/>
    <x v="0"/>
    <n v="36"/>
    <x v="3"/>
    <x v="3"/>
    <x v="3"/>
    <n v="17"/>
    <n v="20"/>
    <n v="0"/>
    <n v="1"/>
    <n v="0.99"/>
  </r>
  <r>
    <s v="FL250710"/>
    <x v="703"/>
    <x v="1"/>
    <n v="41"/>
    <x v="13"/>
    <x v="11"/>
    <x v="4"/>
    <n v="12"/>
    <n v="30"/>
    <n v="2.6"/>
    <n v="1"/>
    <n v="0.16"/>
  </r>
  <r>
    <s v="FL250711"/>
    <x v="704"/>
    <x v="1"/>
    <n v="56"/>
    <x v="17"/>
    <x v="14"/>
    <x v="9"/>
    <n v="30"/>
    <n v="40"/>
    <n v="3.3"/>
    <n v="1"/>
    <n v="0.82"/>
  </r>
  <r>
    <s v="FL250712"/>
    <x v="705"/>
    <x v="0"/>
    <n v="58"/>
    <x v="14"/>
    <x v="1"/>
    <x v="7"/>
    <n v="20"/>
    <n v="75"/>
    <n v="3.6"/>
    <n v="1"/>
    <n v="0.78"/>
  </r>
  <r>
    <s v="FL250713"/>
    <x v="706"/>
    <x v="0"/>
    <n v="58"/>
    <x v="5"/>
    <x v="1"/>
    <x v="7"/>
    <n v="22"/>
    <n v="100"/>
    <n v="3.7"/>
    <n v="0"/>
    <n v="0.16"/>
  </r>
  <r>
    <s v="FL250714"/>
    <x v="707"/>
    <x v="0"/>
    <n v="54"/>
    <x v="7"/>
    <x v="1"/>
    <x v="4"/>
    <n v="32"/>
    <n v="20"/>
    <n v="3.4"/>
    <n v="1"/>
    <n v="0.16"/>
  </r>
  <r>
    <s v="FL250715"/>
    <x v="708"/>
    <x v="1"/>
    <n v="53"/>
    <x v="1"/>
    <x v="1"/>
    <x v="6"/>
    <n v="9"/>
    <n v="50"/>
    <n v="4"/>
    <n v="1"/>
    <n v="0.72"/>
  </r>
  <r>
    <s v="FL250716"/>
    <x v="709"/>
    <x v="0"/>
    <n v="43"/>
    <x v="1"/>
    <x v="1"/>
    <x v="3"/>
    <n v="22"/>
    <n v="40"/>
    <n v="4.5"/>
    <n v="1"/>
    <n v="0.16"/>
  </r>
  <r>
    <s v="FL250717"/>
    <x v="710"/>
    <x v="1"/>
    <n v="44"/>
    <x v="12"/>
    <x v="10"/>
    <x v="9"/>
    <n v="1"/>
    <n v="75"/>
    <n v="4.3"/>
    <n v="1"/>
    <n v="0.16"/>
  </r>
  <r>
    <s v="FL250718"/>
    <x v="711"/>
    <x v="1"/>
    <n v="34"/>
    <x v="14"/>
    <x v="1"/>
    <x v="7"/>
    <n v="4"/>
    <n v="75"/>
    <n v="4"/>
    <n v="1"/>
    <n v="0.16"/>
  </r>
  <r>
    <s v="FL250719"/>
    <x v="712"/>
    <x v="0"/>
    <n v="27"/>
    <x v="11"/>
    <x v="9"/>
    <x v="1"/>
    <n v="8"/>
    <n v="50"/>
    <n v="1.6"/>
    <n v="1"/>
    <n v="0.16"/>
  </r>
  <r>
    <s v="FL250720"/>
    <x v="713"/>
    <x v="1"/>
    <n v="50"/>
    <x v="9"/>
    <x v="7"/>
    <x v="5"/>
    <n v="3"/>
    <n v="100"/>
    <n v="0"/>
    <n v="1"/>
    <n v="0.16"/>
  </r>
  <r>
    <s v="FL250721"/>
    <x v="714"/>
    <x v="0"/>
    <n v="52"/>
    <x v="12"/>
    <x v="10"/>
    <x v="6"/>
    <n v="30"/>
    <n v="75"/>
    <n v="3"/>
    <n v="1"/>
    <n v="0.94"/>
  </r>
  <r>
    <s v="FL250722"/>
    <x v="715"/>
    <x v="1"/>
    <n v="57"/>
    <x v="20"/>
    <x v="6"/>
    <x v="0"/>
    <n v="11"/>
    <s v="$ 20"/>
    <n v="4.9000000000000004"/>
    <n v="1"/>
    <n v="0.16"/>
  </r>
  <r>
    <s v="FL250723"/>
    <x v="716"/>
    <x v="0"/>
    <n v="53"/>
    <x v="19"/>
    <x v="6"/>
    <x v="8"/>
    <n v="8"/>
    <n v="20"/>
    <n v="2.8"/>
    <n v="1"/>
    <n v="0.16"/>
  </r>
  <r>
    <s v="FL250724"/>
    <x v="717"/>
    <x v="1"/>
    <n v="51"/>
    <x v="6"/>
    <x v="5"/>
    <x v="6"/>
    <n v="11"/>
    <s v="$ 30"/>
    <n v="3.6"/>
    <n v="1"/>
    <n v="0.77"/>
  </r>
  <r>
    <s v="FL250725"/>
    <x v="718"/>
    <x v="0"/>
    <n v="37"/>
    <x v="14"/>
    <x v="1"/>
    <x v="7"/>
    <n v="9"/>
    <n v="50"/>
    <n v="3"/>
    <n v="1"/>
    <n v="0.84"/>
  </r>
  <r>
    <s v="FL250726"/>
    <x v="719"/>
    <x v="1"/>
    <n v="40"/>
    <x v="20"/>
    <x v="6"/>
    <x v="3"/>
    <n v="7"/>
    <n v="40"/>
    <n v="4.5"/>
    <n v="1"/>
    <n v="0.79"/>
  </r>
  <r>
    <s v="FL250727"/>
    <x v="720"/>
    <x v="1"/>
    <n v="60"/>
    <x v="9"/>
    <x v="7"/>
    <x v="5"/>
    <n v="24"/>
    <s v="$ 40"/>
    <n v="3.1"/>
    <n v="0"/>
    <n v="0.69"/>
  </r>
  <r>
    <s v="FL250728"/>
    <x v="721"/>
    <x v="1"/>
    <n v="60"/>
    <x v="15"/>
    <x v="12"/>
    <x v="6"/>
    <n v="11"/>
    <n v="40"/>
    <n v="4.9000000000000004"/>
    <n v="1"/>
    <n v="0.68"/>
  </r>
  <r>
    <s v="FL250729"/>
    <x v="722"/>
    <x v="0"/>
    <n v="53"/>
    <x v="12"/>
    <x v="10"/>
    <x v="6"/>
    <n v="21"/>
    <n v="30"/>
    <n v="4.2"/>
    <n v="1"/>
    <n v="0.73"/>
  </r>
  <r>
    <s v="FL250730"/>
    <x v="723"/>
    <x v="0"/>
    <n v="20"/>
    <x v="19"/>
    <x v="6"/>
    <x v="0"/>
    <n v="11"/>
    <n v="75"/>
    <n v="3.2"/>
    <n v="1"/>
    <n v="0.74"/>
  </r>
  <r>
    <s v="FL250731"/>
    <x v="724"/>
    <x v="1"/>
    <n v="42"/>
    <x v="13"/>
    <x v="11"/>
    <x v="3"/>
    <n v="7"/>
    <s v="$ 20"/>
    <n v="3"/>
    <n v="0"/>
    <n v="0.01"/>
  </r>
  <r>
    <s v="FL250732"/>
    <x v="725"/>
    <x v="1"/>
    <n v="21"/>
    <x v="7"/>
    <x v="1"/>
    <x v="1"/>
    <n v="3"/>
    <n v="40"/>
    <n v="0"/>
    <n v="0"/>
    <n v="0.87"/>
  </r>
  <r>
    <s v="FL250733"/>
    <x v="726"/>
    <x v="1"/>
    <n v="39"/>
    <x v="2"/>
    <x v="2"/>
    <x v="3"/>
    <n v="21"/>
    <n v="100"/>
    <n v="2.2000000000000002"/>
    <n v="0"/>
    <n v="0.79"/>
  </r>
  <r>
    <s v="FL250734"/>
    <x v="727"/>
    <x v="1"/>
    <n v="32"/>
    <x v="10"/>
    <x v="8"/>
    <x v="0"/>
    <n v="11"/>
    <n v="30"/>
    <n v="1.5"/>
    <n v="0"/>
    <n v="0.68"/>
  </r>
  <r>
    <s v="FL250735"/>
    <x v="728"/>
    <x v="1"/>
    <n v="35"/>
    <x v="2"/>
    <x v="2"/>
    <x v="5"/>
    <n v="11"/>
    <s v="$ 100"/>
    <n v="3"/>
    <n v="0"/>
    <n v="0.84"/>
  </r>
  <r>
    <s v="FL250736"/>
    <x v="729"/>
    <x v="0"/>
    <n v="35"/>
    <x v="15"/>
    <x v="12"/>
    <x v="6"/>
    <n v="17"/>
    <n v="50"/>
    <n v="3.1"/>
    <n v="0"/>
    <n v="0.71"/>
  </r>
  <r>
    <s v="FL250737"/>
    <x v="730"/>
    <x v="0"/>
    <n v="23"/>
    <x v="8"/>
    <x v="6"/>
    <x v="6"/>
    <n v="11"/>
    <n v="75"/>
    <n v="0"/>
    <n v="1"/>
    <n v="0.92"/>
  </r>
  <r>
    <s v="FL250738"/>
    <x v="731"/>
    <x v="1"/>
    <n v="26"/>
    <x v="3"/>
    <x v="3"/>
    <x v="4"/>
    <n v="6"/>
    <s v="$ 100"/>
    <n v="3"/>
    <n v="1"/>
    <n v="0.69"/>
  </r>
  <r>
    <s v="FL250739"/>
    <x v="732"/>
    <x v="0"/>
    <n v="34"/>
    <x v="14"/>
    <x v="1"/>
    <x v="9"/>
    <n v="3"/>
    <n v="40"/>
    <n v="0"/>
    <n v="1"/>
    <n v="0.71"/>
  </r>
  <r>
    <s v="FL250740"/>
    <x v="733"/>
    <x v="0"/>
    <n v="34"/>
    <x v="2"/>
    <x v="2"/>
    <x v="0"/>
    <n v="3"/>
    <n v="40"/>
    <n v="3"/>
    <n v="0"/>
    <n v="0.77"/>
  </r>
  <r>
    <s v="FL250741"/>
    <x v="734"/>
    <x v="1"/>
    <n v="57"/>
    <x v="0"/>
    <x v="0"/>
    <x v="3"/>
    <n v="31"/>
    <n v="50"/>
    <n v="3"/>
    <n v="1"/>
    <n v="0.87"/>
  </r>
  <r>
    <s v="FL250742"/>
    <x v="735"/>
    <x v="1"/>
    <n v="46"/>
    <x v="14"/>
    <x v="1"/>
    <x v="3"/>
    <n v="5"/>
    <n v="30"/>
    <n v="2.6"/>
    <n v="1"/>
    <n v="0.76"/>
  </r>
  <r>
    <s v="FL250743"/>
    <x v="736"/>
    <x v="1"/>
    <n v="55"/>
    <x v="10"/>
    <x v="8"/>
    <x v="4"/>
    <n v="37"/>
    <s v="$ 75"/>
    <n v="4.0999999999999996"/>
    <n v="1"/>
    <n v="0.16"/>
  </r>
  <r>
    <s v="FL250744"/>
    <x v="737"/>
    <x v="0"/>
    <n v="32"/>
    <x v="1"/>
    <x v="1"/>
    <x v="8"/>
    <n v="10"/>
    <s v="$ 50"/>
    <n v="1.5"/>
    <n v="0"/>
    <n v="0.65"/>
  </r>
  <r>
    <s v="FL250745"/>
    <x v="738"/>
    <x v="1"/>
    <n v="53"/>
    <x v="4"/>
    <x v="4"/>
    <x v="4"/>
    <n v="28"/>
    <s v="$ 50"/>
    <n v="2.9"/>
    <n v="1"/>
    <n v="0.82"/>
  </r>
  <r>
    <s v="FL250746"/>
    <x v="739"/>
    <x v="1"/>
    <n v="59"/>
    <x v="19"/>
    <x v="6"/>
    <x v="4"/>
    <n v="11"/>
    <n v="100"/>
    <n v="0"/>
    <n v="1"/>
    <n v="0.87"/>
  </r>
  <r>
    <s v="FL250747"/>
    <x v="740"/>
    <x v="0"/>
    <n v="44"/>
    <x v="3"/>
    <x v="3"/>
    <x v="9"/>
    <n v="19"/>
    <n v="40"/>
    <n v="4.9000000000000004"/>
    <n v="0"/>
    <n v="0.01"/>
  </r>
  <r>
    <s v="FL250748"/>
    <x v="741"/>
    <x v="1"/>
    <n v="35"/>
    <x v="16"/>
    <x v="13"/>
    <x v="0"/>
    <n v="9"/>
    <s v="$ 50"/>
    <n v="3"/>
    <n v="0"/>
    <n v="0.71"/>
  </r>
  <r>
    <s v="FL250749"/>
    <x v="742"/>
    <x v="0"/>
    <n v="42"/>
    <x v="18"/>
    <x v="15"/>
    <x v="9"/>
    <n v="5"/>
    <n v="30"/>
    <n v="4.9000000000000004"/>
    <n v="1"/>
    <n v="0.87"/>
  </r>
  <r>
    <s v="FL250750"/>
    <x v="743"/>
    <x v="0"/>
    <n v="58"/>
    <x v="12"/>
    <x v="10"/>
    <x v="0"/>
    <n v="11"/>
    <s v="$ 30"/>
    <n v="4.5999999999999996"/>
    <n v="0"/>
    <n v="0.7"/>
  </r>
  <r>
    <s v="FL250751"/>
    <x v="744"/>
    <x v="1"/>
    <n v="41"/>
    <x v="3"/>
    <x v="3"/>
    <x v="4"/>
    <n v="21"/>
    <s v="$ 100"/>
    <n v="2.2000000000000002"/>
    <n v="1"/>
    <n v="0.83"/>
  </r>
  <r>
    <s v="FL250752"/>
    <x v="745"/>
    <x v="0"/>
    <n v="41"/>
    <x v="8"/>
    <x v="6"/>
    <x v="3"/>
    <n v="11"/>
    <n v="40"/>
    <n v="3"/>
    <n v="1"/>
    <n v="0.74"/>
  </r>
  <r>
    <s v="FL250753"/>
    <x v="746"/>
    <x v="0"/>
    <n v="23"/>
    <x v="14"/>
    <x v="1"/>
    <x v="0"/>
    <n v="11"/>
    <n v="30"/>
    <n v="1.1000000000000001"/>
    <n v="1"/>
    <n v="0.86"/>
  </r>
  <r>
    <s v="FL250754"/>
    <x v="747"/>
    <x v="1"/>
    <n v="51"/>
    <x v="18"/>
    <x v="15"/>
    <x v="0"/>
    <n v="17"/>
    <n v="40"/>
    <n v="4.5"/>
    <n v="1"/>
    <n v="0.72"/>
  </r>
  <r>
    <s v="FL250755"/>
    <x v="748"/>
    <x v="0"/>
    <n v="42"/>
    <x v="15"/>
    <x v="12"/>
    <x v="4"/>
    <n v="21"/>
    <n v="40"/>
    <n v="2.5"/>
    <n v="1"/>
    <n v="0.73"/>
  </r>
  <r>
    <s v="FL250756"/>
    <x v="749"/>
    <x v="1"/>
    <n v="26"/>
    <x v="9"/>
    <x v="7"/>
    <x v="5"/>
    <n v="7"/>
    <s v="$ 75"/>
    <n v="2.9"/>
    <n v="0"/>
    <n v="0.78"/>
  </r>
  <r>
    <s v="FL250757"/>
    <x v="750"/>
    <x v="0"/>
    <n v="49"/>
    <x v="4"/>
    <x v="4"/>
    <x v="4"/>
    <n v="22"/>
    <n v="75"/>
    <n v="0"/>
    <n v="1"/>
    <n v="0.16"/>
  </r>
  <r>
    <s v="FL250758"/>
    <x v="751"/>
    <x v="0"/>
    <n v="37"/>
    <x v="0"/>
    <x v="0"/>
    <x v="8"/>
    <n v="11"/>
    <s v="$ 75"/>
    <n v="3.5"/>
    <n v="0"/>
    <n v="0.75"/>
  </r>
  <r>
    <s v="FL250759"/>
    <x v="752"/>
    <x v="1"/>
    <n v="31"/>
    <x v="1"/>
    <x v="1"/>
    <x v="4"/>
    <n v="1"/>
    <n v="40"/>
    <n v="4.5"/>
    <n v="0"/>
    <n v="0.96"/>
  </r>
  <r>
    <s v="FL250760"/>
    <x v="753"/>
    <x v="1"/>
    <n v="51"/>
    <x v="12"/>
    <x v="10"/>
    <x v="1"/>
    <n v="5"/>
    <s v="$ 40"/>
    <n v="1.7"/>
    <n v="1"/>
    <n v="0.61"/>
  </r>
  <r>
    <s v="FL250761"/>
    <x v="754"/>
    <x v="1"/>
    <n v="60"/>
    <x v="18"/>
    <x v="15"/>
    <x v="8"/>
    <n v="40"/>
    <n v="50"/>
    <n v="4.5999999999999996"/>
    <n v="1"/>
    <n v="0.01"/>
  </r>
  <r>
    <s v="FL250762"/>
    <x v="755"/>
    <x v="1"/>
    <n v="51"/>
    <x v="14"/>
    <x v="1"/>
    <x v="0"/>
    <n v="19"/>
    <n v="50"/>
    <n v="3"/>
    <n v="1"/>
    <n v="0.82"/>
  </r>
  <r>
    <s v="FL250763"/>
    <x v="756"/>
    <x v="1"/>
    <n v="37"/>
    <x v="2"/>
    <x v="2"/>
    <x v="2"/>
    <n v="12"/>
    <n v="40"/>
    <n v="4.9000000000000004"/>
    <n v="1"/>
    <n v="0.8"/>
  </r>
  <r>
    <s v="FL250764"/>
    <x v="757"/>
    <x v="1"/>
    <n v="52"/>
    <x v="10"/>
    <x v="8"/>
    <x v="0"/>
    <n v="7"/>
    <n v="40"/>
    <n v="2.2000000000000002"/>
    <n v="1"/>
    <n v="0.96"/>
  </r>
  <r>
    <s v="FL250765"/>
    <x v="758"/>
    <x v="1"/>
    <n v="27"/>
    <x v="4"/>
    <x v="4"/>
    <x v="0"/>
    <n v="4"/>
    <n v="20"/>
    <n v="3"/>
    <n v="0"/>
    <n v="0.63"/>
  </r>
  <r>
    <s v="FL250766"/>
    <x v="759"/>
    <x v="1"/>
    <n v="48"/>
    <x v="1"/>
    <x v="1"/>
    <x v="2"/>
    <n v="24"/>
    <n v="40"/>
    <n v="2.2000000000000002"/>
    <n v="0"/>
    <n v="0.67"/>
  </r>
  <r>
    <s v="FL250767"/>
    <x v="760"/>
    <x v="0"/>
    <n v="22"/>
    <x v="9"/>
    <x v="7"/>
    <x v="5"/>
    <n v="1"/>
    <s v="$ 30"/>
    <n v="3.3"/>
    <n v="1"/>
    <n v="0.61"/>
  </r>
  <r>
    <s v="FL250768"/>
    <x v="761"/>
    <x v="0"/>
    <n v="48"/>
    <x v="2"/>
    <x v="2"/>
    <x v="1"/>
    <n v="28"/>
    <s v="$ 30"/>
    <n v="4.9000000000000004"/>
    <n v="0"/>
    <n v="0.77"/>
  </r>
  <r>
    <s v="FL250769"/>
    <x v="762"/>
    <x v="0"/>
    <n v="54"/>
    <x v="5"/>
    <x v="1"/>
    <x v="1"/>
    <n v="19"/>
    <n v="75"/>
    <n v="0"/>
    <n v="1"/>
    <n v="0.16"/>
  </r>
  <r>
    <s v="FL250770"/>
    <x v="763"/>
    <x v="0"/>
    <n v="52"/>
    <x v="12"/>
    <x v="10"/>
    <x v="5"/>
    <n v="4"/>
    <n v="50"/>
    <n v="3"/>
    <n v="0"/>
    <n v="0.84"/>
  </r>
  <r>
    <s v="FL250771"/>
    <x v="764"/>
    <x v="0"/>
    <n v="39"/>
    <x v="6"/>
    <x v="5"/>
    <x v="3"/>
    <n v="20"/>
    <s v="$ 100"/>
    <n v="3"/>
    <n v="1"/>
    <n v="0.89"/>
  </r>
  <r>
    <s v="FL250772"/>
    <x v="765"/>
    <x v="0"/>
    <n v="54"/>
    <x v="13"/>
    <x v="11"/>
    <x v="1"/>
    <n v="19"/>
    <s v="$ 30"/>
    <n v="4"/>
    <n v="1"/>
    <n v="0.9"/>
  </r>
  <r>
    <s v="FL250773"/>
    <x v="766"/>
    <x v="0"/>
    <n v="22"/>
    <x v="5"/>
    <x v="1"/>
    <x v="7"/>
    <n v="1"/>
    <n v="20"/>
    <n v="4.8"/>
    <n v="0"/>
    <n v="0.87"/>
  </r>
  <r>
    <s v="FL250774"/>
    <x v="767"/>
    <x v="0"/>
    <n v="29"/>
    <x v="17"/>
    <x v="14"/>
    <x v="1"/>
    <n v="8"/>
    <n v="50"/>
    <n v="0"/>
    <n v="0"/>
    <n v="0.77"/>
  </r>
  <r>
    <s v="FL250775"/>
    <x v="768"/>
    <x v="1"/>
    <n v="23"/>
    <x v="20"/>
    <x v="6"/>
    <x v="8"/>
    <n v="3"/>
    <s v="$ 30"/>
    <n v="1.6"/>
    <n v="1"/>
    <n v="0.72"/>
  </r>
  <r>
    <s v="FL250776"/>
    <x v="769"/>
    <x v="0"/>
    <n v="58"/>
    <x v="19"/>
    <x v="6"/>
    <x v="8"/>
    <n v="30"/>
    <n v="50"/>
    <n v="1.3"/>
    <n v="1"/>
    <n v="0.87"/>
  </r>
  <r>
    <s v="FL250777"/>
    <x v="770"/>
    <x v="0"/>
    <n v="56"/>
    <x v="18"/>
    <x v="15"/>
    <x v="0"/>
    <n v="3"/>
    <n v="40"/>
    <n v="4.0999999999999996"/>
    <n v="1"/>
    <n v="0.89"/>
  </r>
  <r>
    <s v="FL250778"/>
    <x v="771"/>
    <x v="1"/>
    <n v="48"/>
    <x v="6"/>
    <x v="5"/>
    <x v="3"/>
    <n v="19"/>
    <n v="40"/>
    <n v="1.5"/>
    <n v="0"/>
    <n v="0.87"/>
  </r>
  <r>
    <s v="FL250779"/>
    <x v="772"/>
    <x v="0"/>
    <n v="31"/>
    <x v="13"/>
    <x v="11"/>
    <x v="1"/>
    <n v="11"/>
    <s v="$ 40"/>
    <n v="4.3"/>
    <n v="1"/>
    <n v="0.76"/>
  </r>
  <r>
    <s v="FL250780"/>
    <x v="773"/>
    <x v="1"/>
    <n v="44"/>
    <x v="1"/>
    <x v="1"/>
    <x v="9"/>
    <n v="26"/>
    <n v="50"/>
    <n v="1.6"/>
    <n v="1"/>
    <n v="0.01"/>
  </r>
  <r>
    <s v="FL250781"/>
    <x v="774"/>
    <x v="0"/>
    <n v="42"/>
    <x v="16"/>
    <x v="13"/>
    <x v="1"/>
    <n v="10"/>
    <n v="100"/>
    <n v="3.7"/>
    <n v="1"/>
    <n v="0.94"/>
  </r>
  <r>
    <s v="FL250782"/>
    <x v="775"/>
    <x v="1"/>
    <n v="59"/>
    <x v="5"/>
    <x v="1"/>
    <x v="7"/>
    <n v="17"/>
    <n v="50"/>
    <n v="1.4"/>
    <n v="1"/>
    <n v="0.16"/>
  </r>
  <r>
    <s v="FL250783"/>
    <x v="776"/>
    <x v="0"/>
    <n v="41"/>
    <x v="8"/>
    <x v="6"/>
    <x v="0"/>
    <n v="9"/>
    <n v="100"/>
    <n v="4.5"/>
    <n v="1"/>
    <n v="0.83"/>
  </r>
  <r>
    <s v="FL250784"/>
    <x v="777"/>
    <x v="1"/>
    <n v="21"/>
    <x v="18"/>
    <x v="15"/>
    <x v="5"/>
    <n v="11"/>
    <s v="$ 40"/>
    <n v="3.7"/>
    <n v="0"/>
    <n v="0.74"/>
  </r>
  <r>
    <s v="FL250785"/>
    <x v="778"/>
    <x v="1"/>
    <n v="53"/>
    <x v="7"/>
    <x v="1"/>
    <x v="8"/>
    <n v="5"/>
    <n v="75"/>
    <n v="1.1000000000000001"/>
    <n v="0"/>
    <n v="0.92"/>
  </r>
  <r>
    <s v="FL250786"/>
    <x v="779"/>
    <x v="1"/>
    <n v="35"/>
    <x v="8"/>
    <x v="6"/>
    <x v="1"/>
    <n v="15"/>
    <n v="40"/>
    <n v="3.7"/>
    <n v="0"/>
    <n v="0.66"/>
  </r>
  <r>
    <s v="FL250787"/>
    <x v="780"/>
    <x v="0"/>
    <n v="25"/>
    <x v="11"/>
    <x v="9"/>
    <x v="9"/>
    <n v="3"/>
    <n v="50"/>
    <n v="3.2"/>
    <n v="1"/>
    <n v="0.74"/>
  </r>
  <r>
    <s v="FL250788"/>
    <x v="781"/>
    <x v="0"/>
    <n v="23"/>
    <x v="0"/>
    <x v="0"/>
    <x v="6"/>
    <n v="1"/>
    <n v="30"/>
    <n v="5"/>
    <n v="0"/>
    <n v="0.97"/>
  </r>
  <r>
    <s v="FL250789"/>
    <x v="782"/>
    <x v="0"/>
    <n v="56"/>
    <x v="16"/>
    <x v="13"/>
    <x v="2"/>
    <n v="13"/>
    <n v="30"/>
    <n v="0"/>
    <n v="1"/>
    <n v="0.77"/>
  </r>
  <r>
    <s v="FL250790"/>
    <x v="783"/>
    <x v="0"/>
    <n v="31"/>
    <x v="19"/>
    <x v="6"/>
    <x v="6"/>
    <n v="6"/>
    <n v="40"/>
    <n v="3.5"/>
    <n v="1"/>
    <n v="0.86"/>
  </r>
  <r>
    <s v="FL250791"/>
    <x v="784"/>
    <x v="1"/>
    <n v="24"/>
    <x v="5"/>
    <x v="1"/>
    <x v="7"/>
    <n v="4"/>
    <n v="50"/>
    <n v="3.1"/>
    <n v="0"/>
    <n v="0.95"/>
  </r>
  <r>
    <s v="FL250792"/>
    <x v="785"/>
    <x v="0"/>
    <n v="35"/>
    <x v="11"/>
    <x v="9"/>
    <x v="7"/>
    <n v="7"/>
    <n v="40"/>
    <n v="3.9"/>
    <n v="0"/>
    <n v="0.72"/>
  </r>
  <r>
    <s v="FL250793"/>
    <x v="786"/>
    <x v="0"/>
    <n v="20"/>
    <x v="20"/>
    <x v="6"/>
    <x v="4"/>
    <n v="1"/>
    <n v="40"/>
    <n v="3.5"/>
    <n v="0"/>
    <n v="0.71"/>
  </r>
  <r>
    <s v="FL250794"/>
    <x v="787"/>
    <x v="1"/>
    <n v="26"/>
    <x v="1"/>
    <x v="1"/>
    <x v="5"/>
    <n v="5"/>
    <n v="100"/>
    <n v="2.5"/>
    <n v="1"/>
    <n v="0.93"/>
  </r>
  <r>
    <s v="FL250795"/>
    <x v="788"/>
    <x v="1"/>
    <n v="54"/>
    <x v="7"/>
    <x v="1"/>
    <x v="8"/>
    <n v="29"/>
    <s v="$ 40"/>
    <n v="3.1"/>
    <n v="1"/>
    <n v="0.16"/>
  </r>
  <r>
    <s v="FL250796"/>
    <x v="789"/>
    <x v="1"/>
    <n v="53"/>
    <x v="13"/>
    <x v="11"/>
    <x v="7"/>
    <n v="12"/>
    <n v="100"/>
    <n v="4.7"/>
    <n v="1"/>
    <n v="0.87"/>
  </r>
  <r>
    <s v="FL250797"/>
    <x v="790"/>
    <x v="0"/>
    <n v="33"/>
    <x v="14"/>
    <x v="1"/>
    <x v="8"/>
    <n v="4"/>
    <n v="40"/>
    <n v="1.9"/>
    <n v="0"/>
    <n v="0.73"/>
  </r>
  <r>
    <s v="FL250798"/>
    <x v="791"/>
    <x v="1"/>
    <n v="43"/>
    <x v="3"/>
    <x v="3"/>
    <x v="3"/>
    <n v="12"/>
    <n v="40"/>
    <n v="1.6"/>
    <n v="1"/>
    <n v="0.74"/>
  </r>
  <r>
    <s v="FL250799"/>
    <x v="792"/>
    <x v="1"/>
    <n v="37"/>
    <x v="14"/>
    <x v="1"/>
    <x v="8"/>
    <n v="3"/>
    <n v="20"/>
    <n v="2.5"/>
    <n v="0"/>
    <n v="0.62"/>
  </r>
  <r>
    <s v="FL250800"/>
    <x v="793"/>
    <x v="0"/>
    <n v="58"/>
    <x v="15"/>
    <x v="12"/>
    <x v="5"/>
    <n v="15"/>
    <n v="20"/>
    <n v="3.5"/>
    <n v="1"/>
    <n v="0.98"/>
  </r>
  <r>
    <s v="FL250801"/>
    <x v="794"/>
    <x v="0"/>
    <n v="39"/>
    <x v="20"/>
    <x v="6"/>
    <x v="1"/>
    <n v="15"/>
    <n v="50"/>
    <n v="3"/>
    <n v="0"/>
    <n v="0.8"/>
  </r>
  <r>
    <s v="FL250802"/>
    <x v="795"/>
    <x v="1"/>
    <n v="43"/>
    <x v="6"/>
    <x v="5"/>
    <x v="2"/>
    <n v="13"/>
    <s v="$ 20"/>
    <n v="1.2"/>
    <n v="1"/>
    <n v="0.69"/>
  </r>
  <r>
    <s v="FL250803"/>
    <x v="796"/>
    <x v="0"/>
    <n v="40"/>
    <x v="20"/>
    <x v="6"/>
    <x v="0"/>
    <n v="20"/>
    <s v="$ 30"/>
    <n v="3"/>
    <n v="0"/>
    <n v="0.9"/>
  </r>
  <r>
    <s v="FL250804"/>
    <x v="797"/>
    <x v="0"/>
    <n v="51"/>
    <x v="7"/>
    <x v="1"/>
    <x v="9"/>
    <n v="30"/>
    <n v="75"/>
    <n v="3"/>
    <n v="1"/>
    <n v="0.74"/>
  </r>
  <r>
    <s v="FL250805"/>
    <x v="798"/>
    <x v="1"/>
    <n v="23"/>
    <x v="2"/>
    <x v="2"/>
    <x v="4"/>
    <n v="4"/>
    <n v="50"/>
    <n v="4.5"/>
    <n v="0"/>
    <n v="0.98"/>
  </r>
  <r>
    <s v="FL250806"/>
    <x v="799"/>
    <x v="0"/>
    <n v="31"/>
    <x v="4"/>
    <x v="4"/>
    <x v="2"/>
    <n v="11"/>
    <s v="$ 20"/>
    <n v="3"/>
    <n v="1"/>
    <n v="0.84"/>
  </r>
  <r>
    <s v="FL250807"/>
    <x v="800"/>
    <x v="0"/>
    <n v="44"/>
    <x v="13"/>
    <x v="11"/>
    <x v="3"/>
    <n v="3"/>
    <n v="20"/>
    <n v="5"/>
    <n v="1"/>
    <n v="0.75"/>
  </r>
  <r>
    <s v="FL250808"/>
    <x v="801"/>
    <x v="1"/>
    <n v="56"/>
    <x v="2"/>
    <x v="2"/>
    <x v="1"/>
    <n v="23"/>
    <n v="75"/>
    <n v="3.9"/>
    <n v="1"/>
    <n v="0.16"/>
  </r>
  <r>
    <s v="FL250809"/>
    <x v="802"/>
    <x v="0"/>
    <n v="48"/>
    <x v="1"/>
    <x v="1"/>
    <x v="7"/>
    <n v="5"/>
    <n v="100"/>
    <n v="1.8"/>
    <n v="1"/>
    <n v="0.97"/>
  </r>
  <r>
    <s v="FL250810"/>
    <x v="803"/>
    <x v="0"/>
    <n v="46"/>
    <x v="13"/>
    <x v="11"/>
    <x v="3"/>
    <n v="28"/>
    <n v="30"/>
    <n v="4.2"/>
    <n v="1"/>
    <n v="0.16"/>
  </r>
  <r>
    <s v="FL250811"/>
    <x v="804"/>
    <x v="1"/>
    <n v="21"/>
    <x v="16"/>
    <x v="13"/>
    <x v="4"/>
    <n v="11"/>
    <n v="20"/>
    <n v="2.6"/>
    <n v="1"/>
    <n v="0.64"/>
  </r>
  <r>
    <s v="FL250812"/>
    <x v="805"/>
    <x v="1"/>
    <n v="52"/>
    <x v="13"/>
    <x v="11"/>
    <x v="5"/>
    <n v="30"/>
    <n v="30"/>
    <n v="2"/>
    <n v="1"/>
    <n v="0.68"/>
  </r>
  <r>
    <s v="FL250813"/>
    <x v="806"/>
    <x v="0"/>
    <n v="39"/>
    <x v="13"/>
    <x v="11"/>
    <x v="2"/>
    <n v="20"/>
    <n v="75"/>
    <n v="2.7"/>
    <n v="1"/>
    <n v="0.67"/>
  </r>
  <r>
    <s v="FL250814"/>
    <x v="807"/>
    <x v="0"/>
    <n v="31"/>
    <x v="1"/>
    <x v="1"/>
    <x v="1"/>
    <n v="11"/>
    <n v="30"/>
    <n v="2.2999999999999998"/>
    <n v="1"/>
    <n v="0.79"/>
  </r>
  <r>
    <s v="FL250815"/>
    <x v="808"/>
    <x v="1"/>
    <n v="22"/>
    <x v="12"/>
    <x v="10"/>
    <x v="6"/>
    <n v="4"/>
    <n v="40"/>
    <n v="3.8"/>
    <n v="1"/>
    <n v="0.01"/>
  </r>
  <r>
    <s v="FL250816"/>
    <x v="809"/>
    <x v="0"/>
    <n v="38"/>
    <x v="7"/>
    <x v="1"/>
    <x v="6"/>
    <n v="10"/>
    <n v="40"/>
    <n v="3"/>
    <n v="0"/>
    <n v="0.66"/>
  </r>
  <r>
    <s v="FL250817"/>
    <x v="810"/>
    <x v="1"/>
    <n v="44"/>
    <x v="8"/>
    <x v="6"/>
    <x v="2"/>
    <n v="24"/>
    <s v="$ 75"/>
    <n v="4.5999999999999996"/>
    <n v="1"/>
    <n v="0.97"/>
  </r>
  <r>
    <s v="FL250818"/>
    <x v="811"/>
    <x v="1"/>
    <n v="53"/>
    <x v="4"/>
    <x v="4"/>
    <x v="9"/>
    <n v="21"/>
    <n v="100"/>
    <n v="3.4"/>
    <n v="0"/>
    <n v="0.62"/>
  </r>
  <r>
    <s v="FL250819"/>
    <x v="812"/>
    <x v="1"/>
    <n v="22"/>
    <x v="18"/>
    <x v="15"/>
    <x v="5"/>
    <n v="2"/>
    <s v="$ 20"/>
    <n v="3"/>
    <n v="1"/>
    <n v="0.16"/>
  </r>
  <r>
    <s v="FL250820"/>
    <x v="813"/>
    <x v="0"/>
    <n v="40"/>
    <x v="10"/>
    <x v="8"/>
    <x v="0"/>
    <n v="14"/>
    <n v="75"/>
    <n v="0"/>
    <n v="1"/>
    <n v="0.79"/>
  </r>
  <r>
    <s v="FL250821"/>
    <x v="814"/>
    <x v="0"/>
    <n v="49"/>
    <x v="18"/>
    <x v="15"/>
    <x v="1"/>
    <n v="15"/>
    <n v="40"/>
    <n v="3.9"/>
    <n v="0"/>
    <n v="0.86"/>
  </r>
  <r>
    <s v="FL250822"/>
    <x v="815"/>
    <x v="1"/>
    <n v="30"/>
    <x v="1"/>
    <x v="1"/>
    <x v="6"/>
    <n v="11"/>
    <n v="30"/>
    <n v="4.2"/>
    <n v="0"/>
    <n v="0.65"/>
  </r>
  <r>
    <s v="FL250823"/>
    <x v="816"/>
    <x v="0"/>
    <n v="37"/>
    <x v="9"/>
    <x v="7"/>
    <x v="4"/>
    <n v="6"/>
    <n v="20"/>
    <n v="3"/>
    <n v="1"/>
    <n v="0.99"/>
  </r>
  <r>
    <s v="FL250824"/>
    <x v="817"/>
    <x v="1"/>
    <n v="21"/>
    <x v="16"/>
    <x v="13"/>
    <x v="2"/>
    <n v="2"/>
    <n v="100"/>
    <n v="3.6"/>
    <n v="0"/>
    <n v="0.85"/>
  </r>
  <r>
    <s v="FL250825"/>
    <x v="818"/>
    <x v="1"/>
    <n v="20"/>
    <x v="12"/>
    <x v="10"/>
    <x v="4"/>
    <n v="1"/>
    <s v="$ 50"/>
    <n v="3"/>
    <n v="1"/>
    <n v="0.81"/>
  </r>
  <r>
    <s v="FL250826"/>
    <x v="819"/>
    <x v="1"/>
    <n v="20"/>
    <x v="18"/>
    <x v="15"/>
    <x v="5"/>
    <n v="2"/>
    <n v="40"/>
    <n v="2.1"/>
    <n v="0"/>
    <n v="0.64"/>
  </r>
  <r>
    <s v="FL250827"/>
    <x v="820"/>
    <x v="1"/>
    <n v="20"/>
    <x v="8"/>
    <x v="6"/>
    <x v="9"/>
    <n v="2"/>
    <n v="20"/>
    <n v="3.9"/>
    <n v="0"/>
    <n v="0.84"/>
  </r>
  <r>
    <s v="FL250828"/>
    <x v="821"/>
    <x v="0"/>
    <n v="26"/>
    <x v="13"/>
    <x v="11"/>
    <x v="9"/>
    <n v="2"/>
    <n v="40"/>
    <n v="0"/>
    <n v="1"/>
    <n v="0.66"/>
  </r>
  <r>
    <s v="FL250829"/>
    <x v="822"/>
    <x v="0"/>
    <n v="50"/>
    <x v="12"/>
    <x v="10"/>
    <x v="3"/>
    <n v="12"/>
    <n v="75"/>
    <n v="0"/>
    <n v="0"/>
    <n v="0.75"/>
  </r>
  <r>
    <s v="FL250830"/>
    <x v="823"/>
    <x v="1"/>
    <n v="50"/>
    <x v="20"/>
    <x v="6"/>
    <x v="4"/>
    <n v="28"/>
    <n v="30"/>
    <n v="1.8"/>
    <n v="1"/>
    <n v="0.16"/>
  </r>
  <r>
    <s v="FL250831"/>
    <x v="824"/>
    <x v="0"/>
    <n v="54"/>
    <x v="4"/>
    <x v="4"/>
    <x v="4"/>
    <n v="4"/>
    <n v="20"/>
    <n v="1.1000000000000001"/>
    <n v="1"/>
    <n v="0.63"/>
  </r>
  <r>
    <s v="FL250832"/>
    <x v="825"/>
    <x v="1"/>
    <n v="54"/>
    <x v="20"/>
    <x v="6"/>
    <x v="0"/>
    <n v="3"/>
    <n v="20"/>
    <n v="1.6"/>
    <n v="1"/>
    <n v="0.7"/>
  </r>
  <r>
    <s v="FL250833"/>
    <x v="826"/>
    <x v="0"/>
    <n v="34"/>
    <x v="16"/>
    <x v="13"/>
    <x v="9"/>
    <n v="4"/>
    <n v="30"/>
    <n v="3.1"/>
    <n v="1"/>
    <n v="0.9"/>
  </r>
  <r>
    <s v="FL250834"/>
    <x v="827"/>
    <x v="0"/>
    <n v="20"/>
    <x v="0"/>
    <x v="0"/>
    <x v="8"/>
    <n v="1"/>
    <n v="50"/>
    <n v="3.4"/>
    <n v="1"/>
    <n v="0.79"/>
  </r>
  <r>
    <s v="FL250835"/>
    <x v="828"/>
    <x v="1"/>
    <n v="29"/>
    <x v="2"/>
    <x v="2"/>
    <x v="4"/>
    <n v="8"/>
    <n v="40"/>
    <n v="3.1"/>
    <n v="0"/>
    <n v="0.6"/>
  </r>
  <r>
    <s v="FL250836"/>
    <x v="829"/>
    <x v="0"/>
    <n v="57"/>
    <x v="7"/>
    <x v="1"/>
    <x v="8"/>
    <n v="11"/>
    <s v="$ 75"/>
    <n v="2.2999999999999998"/>
    <n v="0"/>
    <n v="0.16"/>
  </r>
  <r>
    <s v="FL250837"/>
    <x v="830"/>
    <x v="0"/>
    <n v="36"/>
    <x v="3"/>
    <x v="3"/>
    <x v="4"/>
    <n v="8"/>
    <s v="$ 40"/>
    <n v="3"/>
    <n v="0"/>
    <n v="0.8"/>
  </r>
  <r>
    <s v="FL250838"/>
    <x v="831"/>
    <x v="1"/>
    <n v="51"/>
    <x v="12"/>
    <x v="10"/>
    <x v="3"/>
    <n v="32"/>
    <n v="50"/>
    <n v="3.2"/>
    <n v="0"/>
    <n v="0.88"/>
  </r>
  <r>
    <s v="FL250839"/>
    <x v="832"/>
    <x v="1"/>
    <n v="44"/>
    <x v="10"/>
    <x v="8"/>
    <x v="6"/>
    <n v="4"/>
    <s v="$ 30"/>
    <n v="0"/>
    <n v="0"/>
    <n v="0.8"/>
  </r>
  <r>
    <s v="FL250840"/>
    <x v="833"/>
    <x v="1"/>
    <n v="58"/>
    <x v="20"/>
    <x v="6"/>
    <x v="7"/>
    <n v="33"/>
    <n v="30"/>
    <n v="3.3"/>
    <n v="1"/>
    <n v="0.71"/>
  </r>
  <r>
    <s v="FL250841"/>
    <x v="834"/>
    <x v="0"/>
    <n v="38"/>
    <x v="17"/>
    <x v="14"/>
    <x v="1"/>
    <n v="14"/>
    <n v="40"/>
    <n v="1.1000000000000001"/>
    <n v="1"/>
    <n v="0.76"/>
  </r>
  <r>
    <s v="FL250842"/>
    <x v="835"/>
    <x v="1"/>
    <n v="24"/>
    <x v="5"/>
    <x v="1"/>
    <x v="6"/>
    <n v="6"/>
    <s v="$ 30"/>
    <n v="4.5999999999999996"/>
    <n v="1"/>
    <n v="0.93"/>
  </r>
  <r>
    <s v="FL250843"/>
    <x v="836"/>
    <x v="0"/>
    <n v="30"/>
    <x v="6"/>
    <x v="5"/>
    <x v="0"/>
    <n v="5"/>
    <s v="$ 30"/>
    <n v="3"/>
    <n v="0"/>
    <n v="0.16"/>
  </r>
  <r>
    <s v="FL250844"/>
    <x v="837"/>
    <x v="1"/>
    <n v="25"/>
    <x v="4"/>
    <x v="4"/>
    <x v="7"/>
    <n v="3"/>
    <n v="75"/>
    <n v="3"/>
    <n v="0"/>
    <n v="0.83"/>
  </r>
  <r>
    <s v="FL250845"/>
    <x v="838"/>
    <x v="1"/>
    <n v="54"/>
    <x v="4"/>
    <x v="4"/>
    <x v="1"/>
    <n v="17"/>
    <n v="100"/>
    <n v="0"/>
    <n v="0"/>
    <n v="0.71"/>
  </r>
  <r>
    <s v="FL250846"/>
    <x v="839"/>
    <x v="1"/>
    <n v="54"/>
    <x v="0"/>
    <x v="0"/>
    <x v="7"/>
    <n v="9"/>
    <s v="$ 20"/>
    <n v="0"/>
    <n v="1"/>
    <n v="0.96"/>
  </r>
  <r>
    <s v="FL250847"/>
    <x v="840"/>
    <x v="0"/>
    <n v="53"/>
    <x v="15"/>
    <x v="12"/>
    <x v="2"/>
    <n v="16"/>
    <n v="40"/>
    <n v="0"/>
    <n v="1"/>
    <n v="0.16"/>
  </r>
  <r>
    <s v="FL250848"/>
    <x v="841"/>
    <x v="1"/>
    <n v="22"/>
    <x v="13"/>
    <x v="11"/>
    <x v="4"/>
    <n v="3"/>
    <n v="75"/>
    <n v="3.4"/>
    <n v="1"/>
    <n v="0.65"/>
  </r>
  <r>
    <s v="FL250849"/>
    <x v="842"/>
    <x v="0"/>
    <n v="23"/>
    <x v="19"/>
    <x v="6"/>
    <x v="5"/>
    <n v="2"/>
    <s v="$ 20"/>
    <n v="1.3"/>
    <n v="0"/>
    <n v="0.16"/>
  </r>
  <r>
    <s v="FL250850"/>
    <x v="843"/>
    <x v="0"/>
    <n v="47"/>
    <x v="15"/>
    <x v="12"/>
    <x v="7"/>
    <n v="16"/>
    <n v="50"/>
    <n v="1.9"/>
    <n v="0"/>
    <n v="0.71"/>
  </r>
  <r>
    <s v="FL250851"/>
    <x v="844"/>
    <x v="1"/>
    <n v="24"/>
    <x v="15"/>
    <x v="12"/>
    <x v="3"/>
    <n v="6"/>
    <n v="50"/>
    <n v="1.4"/>
    <n v="1"/>
    <n v="0.63"/>
  </r>
  <r>
    <s v="FL250852"/>
    <x v="845"/>
    <x v="0"/>
    <n v="57"/>
    <x v="10"/>
    <x v="8"/>
    <x v="6"/>
    <n v="10"/>
    <n v="100"/>
    <n v="4.3"/>
    <n v="0"/>
    <n v="0.16"/>
  </r>
  <r>
    <s v="FL250853"/>
    <x v="846"/>
    <x v="1"/>
    <n v="48"/>
    <x v="20"/>
    <x v="6"/>
    <x v="2"/>
    <n v="16"/>
    <n v="30"/>
    <n v="3"/>
    <n v="1"/>
    <n v="0.97"/>
  </r>
  <r>
    <s v="FL250854"/>
    <x v="847"/>
    <x v="0"/>
    <n v="21"/>
    <x v="6"/>
    <x v="5"/>
    <x v="6"/>
    <n v="11"/>
    <n v="100"/>
    <n v="4.3"/>
    <n v="0"/>
    <n v="0.16"/>
  </r>
  <r>
    <s v="FL250855"/>
    <x v="848"/>
    <x v="1"/>
    <n v="33"/>
    <x v="9"/>
    <x v="7"/>
    <x v="4"/>
    <n v="13"/>
    <s v="$ 75"/>
    <n v="0"/>
    <n v="1"/>
    <n v="0.16"/>
  </r>
  <r>
    <s v="FL250856"/>
    <x v="849"/>
    <x v="1"/>
    <n v="41"/>
    <x v="6"/>
    <x v="5"/>
    <x v="8"/>
    <n v="12"/>
    <n v="40"/>
    <n v="1.3"/>
    <n v="0"/>
    <n v="0.85"/>
  </r>
  <r>
    <s v="FL250857"/>
    <x v="850"/>
    <x v="1"/>
    <n v="40"/>
    <x v="1"/>
    <x v="1"/>
    <x v="7"/>
    <n v="13"/>
    <s v="$ 50"/>
    <n v="2.9"/>
    <n v="1"/>
    <n v="0.82"/>
  </r>
  <r>
    <s v="FL250858"/>
    <x v="851"/>
    <x v="0"/>
    <n v="40"/>
    <x v="19"/>
    <x v="6"/>
    <x v="2"/>
    <n v="22"/>
    <s v="$ 40"/>
    <n v="4.3"/>
    <n v="0"/>
    <n v="0.95"/>
  </r>
  <r>
    <s v="FL250859"/>
    <x v="852"/>
    <x v="0"/>
    <n v="20"/>
    <x v="5"/>
    <x v="1"/>
    <x v="2"/>
    <n v="1"/>
    <n v="40"/>
    <n v="2.7"/>
    <n v="0"/>
    <n v="0.94"/>
  </r>
  <r>
    <s v="FL250860"/>
    <x v="853"/>
    <x v="0"/>
    <n v="42"/>
    <x v="19"/>
    <x v="6"/>
    <x v="3"/>
    <n v="11"/>
    <n v="50"/>
    <n v="4.2"/>
    <n v="1"/>
    <n v="0.96"/>
  </r>
  <r>
    <s v="FL250861"/>
    <x v="854"/>
    <x v="1"/>
    <n v="32"/>
    <x v="14"/>
    <x v="1"/>
    <x v="0"/>
    <n v="12"/>
    <n v="40"/>
    <n v="0"/>
    <n v="1"/>
    <n v="0.63"/>
  </r>
  <r>
    <s v="FL250862"/>
    <x v="855"/>
    <x v="1"/>
    <n v="60"/>
    <x v="9"/>
    <x v="7"/>
    <x v="4"/>
    <n v="11"/>
    <n v="20"/>
    <n v="2.2000000000000002"/>
    <n v="0"/>
    <n v="0.6"/>
  </r>
  <r>
    <s v="FL250863"/>
    <x v="856"/>
    <x v="1"/>
    <n v="46"/>
    <x v="16"/>
    <x v="13"/>
    <x v="9"/>
    <n v="12"/>
    <n v="50"/>
    <n v="4.7"/>
    <n v="1"/>
    <n v="0.77"/>
  </r>
  <r>
    <s v="FL250864"/>
    <x v="857"/>
    <x v="1"/>
    <n v="29"/>
    <x v="18"/>
    <x v="15"/>
    <x v="8"/>
    <n v="11"/>
    <n v="30"/>
    <n v="0"/>
    <n v="0"/>
    <n v="0.63"/>
  </r>
  <r>
    <s v="FL250865"/>
    <x v="858"/>
    <x v="0"/>
    <n v="39"/>
    <x v="11"/>
    <x v="9"/>
    <x v="1"/>
    <n v="18"/>
    <n v="20"/>
    <n v="2.5"/>
    <n v="1"/>
    <n v="0.61"/>
  </r>
  <r>
    <s v="FL250866"/>
    <x v="859"/>
    <x v="1"/>
    <n v="55"/>
    <x v="13"/>
    <x v="11"/>
    <x v="1"/>
    <n v="2"/>
    <n v="50"/>
    <n v="3.9"/>
    <n v="1"/>
    <n v="0.88"/>
  </r>
  <r>
    <s v="FL250867"/>
    <x v="860"/>
    <x v="1"/>
    <n v="55"/>
    <x v="6"/>
    <x v="5"/>
    <x v="7"/>
    <n v="11"/>
    <s v="$ 100"/>
    <n v="1.2"/>
    <n v="1"/>
    <n v="0.69"/>
  </r>
  <r>
    <s v="FL250868"/>
    <x v="861"/>
    <x v="1"/>
    <n v="40"/>
    <x v="4"/>
    <x v="4"/>
    <x v="5"/>
    <n v="2"/>
    <n v="75"/>
    <n v="4.5"/>
    <n v="1"/>
    <n v="0.16"/>
  </r>
  <r>
    <s v="FL250869"/>
    <x v="862"/>
    <x v="0"/>
    <n v="56"/>
    <x v="18"/>
    <x v="15"/>
    <x v="6"/>
    <n v="35"/>
    <n v="40"/>
    <n v="2.7"/>
    <n v="1"/>
    <n v="0.82"/>
  </r>
  <r>
    <s v="FL250870"/>
    <x v="863"/>
    <x v="1"/>
    <n v="57"/>
    <x v="19"/>
    <x v="6"/>
    <x v="1"/>
    <n v="21"/>
    <n v="75"/>
    <n v="2"/>
    <n v="0"/>
    <n v="0.96"/>
  </r>
  <r>
    <s v="FL250871"/>
    <x v="864"/>
    <x v="0"/>
    <n v="56"/>
    <x v="13"/>
    <x v="11"/>
    <x v="8"/>
    <n v="3"/>
    <n v="40"/>
    <n v="1.7"/>
    <n v="0"/>
    <n v="0.71"/>
  </r>
  <r>
    <s v="FL250872"/>
    <x v="865"/>
    <x v="0"/>
    <n v="49"/>
    <x v="2"/>
    <x v="2"/>
    <x v="1"/>
    <n v="24"/>
    <n v="75"/>
    <n v="3"/>
    <n v="1"/>
    <n v="0.77"/>
  </r>
  <r>
    <s v="FL250873"/>
    <x v="866"/>
    <x v="1"/>
    <n v="26"/>
    <x v="20"/>
    <x v="6"/>
    <x v="0"/>
    <n v="11"/>
    <n v="75"/>
    <n v="2.1"/>
    <n v="1"/>
    <n v="0.16"/>
  </r>
  <r>
    <s v="FL250874"/>
    <x v="867"/>
    <x v="0"/>
    <n v="36"/>
    <x v="12"/>
    <x v="10"/>
    <x v="6"/>
    <n v="11"/>
    <n v="75"/>
    <n v="1.5"/>
    <n v="1"/>
    <n v="0.73"/>
  </r>
  <r>
    <s v="FL250875"/>
    <x v="868"/>
    <x v="1"/>
    <n v="20"/>
    <x v="13"/>
    <x v="11"/>
    <x v="3"/>
    <n v="2"/>
    <s v="$ 30"/>
    <n v="1.7"/>
    <n v="1"/>
    <n v="0.6"/>
  </r>
  <r>
    <s v="FL250876"/>
    <x v="869"/>
    <x v="0"/>
    <n v="40"/>
    <x v="20"/>
    <x v="6"/>
    <x v="4"/>
    <n v="11"/>
    <n v="40"/>
    <n v="1.2"/>
    <n v="1"/>
    <n v="0.67"/>
  </r>
  <r>
    <s v="FL250877"/>
    <x v="870"/>
    <x v="0"/>
    <n v="30"/>
    <x v="10"/>
    <x v="8"/>
    <x v="1"/>
    <n v="6"/>
    <n v="75"/>
    <n v="0"/>
    <n v="0"/>
    <n v="0.8"/>
  </r>
  <r>
    <s v="FL250878"/>
    <x v="871"/>
    <x v="1"/>
    <n v="51"/>
    <x v="1"/>
    <x v="1"/>
    <x v="2"/>
    <n v="21"/>
    <n v="20"/>
    <n v="3"/>
    <n v="1"/>
    <n v="0.16"/>
  </r>
  <r>
    <s v="FL250879"/>
    <x v="872"/>
    <x v="1"/>
    <n v="46"/>
    <x v="5"/>
    <x v="1"/>
    <x v="6"/>
    <n v="24"/>
    <n v="40"/>
    <n v="3.3"/>
    <n v="1"/>
    <n v="0.87"/>
  </r>
  <r>
    <s v="FL250880"/>
    <x v="873"/>
    <x v="0"/>
    <n v="25"/>
    <x v="12"/>
    <x v="10"/>
    <x v="4"/>
    <n v="6"/>
    <n v="20"/>
    <n v="2.1"/>
    <n v="1"/>
    <n v="0.16"/>
  </r>
  <r>
    <s v="FL250881"/>
    <x v="874"/>
    <x v="1"/>
    <n v="53"/>
    <x v="3"/>
    <x v="3"/>
    <x v="3"/>
    <n v="32"/>
    <n v="50"/>
    <n v="3"/>
    <n v="1"/>
    <n v="0.16"/>
  </r>
  <r>
    <s v="FL250882"/>
    <x v="875"/>
    <x v="0"/>
    <n v="50"/>
    <x v="16"/>
    <x v="13"/>
    <x v="1"/>
    <n v="31"/>
    <s v="$ 100"/>
    <n v="2.9"/>
    <n v="1"/>
    <n v="0.89"/>
  </r>
  <r>
    <s v="FL250883"/>
    <x v="876"/>
    <x v="1"/>
    <n v="45"/>
    <x v="12"/>
    <x v="10"/>
    <x v="4"/>
    <n v="11"/>
    <s v="$ 20"/>
    <n v="3.3"/>
    <n v="1"/>
    <n v="0.93"/>
  </r>
  <r>
    <s v="FL250884"/>
    <x v="877"/>
    <x v="0"/>
    <n v="48"/>
    <x v="14"/>
    <x v="1"/>
    <x v="7"/>
    <n v="24"/>
    <n v="100"/>
    <n v="4.8"/>
    <n v="1"/>
    <n v="0.84"/>
  </r>
  <r>
    <s v="FL250885"/>
    <x v="878"/>
    <x v="1"/>
    <n v="30"/>
    <x v="4"/>
    <x v="4"/>
    <x v="8"/>
    <n v="11"/>
    <n v="100"/>
    <n v="4.5"/>
    <n v="1"/>
    <n v="0.78"/>
  </r>
  <r>
    <s v="FL250886"/>
    <x v="240"/>
    <x v="0"/>
    <n v="33"/>
    <x v="3"/>
    <x v="3"/>
    <x v="6"/>
    <n v="6"/>
    <n v="50"/>
    <n v="3.1"/>
    <n v="1"/>
    <n v="0.9"/>
  </r>
  <r>
    <s v="FL250887"/>
    <x v="879"/>
    <x v="0"/>
    <n v="50"/>
    <x v="7"/>
    <x v="1"/>
    <x v="8"/>
    <n v="11"/>
    <n v="40"/>
    <n v="4.9000000000000004"/>
    <n v="1"/>
    <n v="0.88"/>
  </r>
  <r>
    <s v="FL250888"/>
    <x v="880"/>
    <x v="0"/>
    <n v="24"/>
    <x v="4"/>
    <x v="4"/>
    <x v="5"/>
    <n v="11"/>
    <n v="20"/>
    <n v="0"/>
    <n v="0"/>
    <n v="0.76"/>
  </r>
  <r>
    <s v="FL250889"/>
    <x v="881"/>
    <x v="1"/>
    <n v="38"/>
    <x v="0"/>
    <x v="0"/>
    <x v="3"/>
    <n v="14"/>
    <n v="75"/>
    <n v="1.5"/>
    <n v="0"/>
    <n v="0.62"/>
  </r>
  <r>
    <s v="FL250890"/>
    <x v="882"/>
    <x v="1"/>
    <n v="56"/>
    <x v="9"/>
    <x v="7"/>
    <x v="8"/>
    <n v="2"/>
    <n v="75"/>
    <n v="2.4"/>
    <n v="0"/>
    <n v="0.16"/>
  </r>
  <r>
    <s v="FL250891"/>
    <x v="883"/>
    <x v="0"/>
    <n v="41"/>
    <x v="13"/>
    <x v="11"/>
    <x v="8"/>
    <n v="2"/>
    <s v="$ 100"/>
    <n v="4.5"/>
    <n v="0"/>
    <n v="0.75"/>
  </r>
  <r>
    <s v="FL250892"/>
    <x v="884"/>
    <x v="1"/>
    <n v="41"/>
    <x v="0"/>
    <x v="0"/>
    <x v="6"/>
    <n v="11"/>
    <s v="$ 100"/>
    <n v="2.5"/>
    <n v="1"/>
    <n v="0.8"/>
  </r>
  <r>
    <s v="FL250893"/>
    <x v="885"/>
    <x v="0"/>
    <n v="42"/>
    <x v="2"/>
    <x v="2"/>
    <x v="2"/>
    <n v="13"/>
    <n v="30"/>
    <n v="3.3"/>
    <n v="1"/>
    <n v="0.63"/>
  </r>
  <r>
    <s v="FL250894"/>
    <x v="886"/>
    <x v="1"/>
    <n v="26"/>
    <x v="10"/>
    <x v="8"/>
    <x v="0"/>
    <n v="7"/>
    <n v="75"/>
    <n v="3"/>
    <n v="1"/>
    <n v="0.84"/>
  </r>
  <r>
    <s v="FL250895"/>
    <x v="887"/>
    <x v="0"/>
    <n v="44"/>
    <x v="14"/>
    <x v="1"/>
    <x v="7"/>
    <n v="25"/>
    <n v="75"/>
    <n v="2.7"/>
    <n v="1"/>
    <n v="0.78"/>
  </r>
  <r>
    <s v="FL250896"/>
    <x v="888"/>
    <x v="1"/>
    <n v="46"/>
    <x v="14"/>
    <x v="1"/>
    <x v="2"/>
    <n v="20"/>
    <n v="20"/>
    <n v="1.2"/>
    <n v="0"/>
    <n v="0.74"/>
  </r>
  <r>
    <s v="FL250897"/>
    <x v="889"/>
    <x v="0"/>
    <n v="36"/>
    <x v="5"/>
    <x v="1"/>
    <x v="6"/>
    <n v="8"/>
    <n v="50"/>
    <n v="4.3"/>
    <n v="0"/>
    <n v="0.9"/>
  </r>
  <r>
    <s v="FL250898"/>
    <x v="890"/>
    <x v="1"/>
    <n v="26"/>
    <x v="3"/>
    <x v="3"/>
    <x v="4"/>
    <n v="6"/>
    <n v="40"/>
    <n v="1.3"/>
    <n v="0"/>
    <n v="0.16"/>
  </r>
  <r>
    <s v="FL250899"/>
    <x v="891"/>
    <x v="1"/>
    <n v="21"/>
    <x v="2"/>
    <x v="2"/>
    <x v="6"/>
    <n v="3"/>
    <n v="50"/>
    <n v="4.5999999999999996"/>
    <n v="1"/>
    <n v="0.16"/>
  </r>
  <r>
    <s v="FL250900"/>
    <x v="892"/>
    <x v="0"/>
    <n v="39"/>
    <x v="4"/>
    <x v="4"/>
    <x v="6"/>
    <n v="18"/>
    <n v="50"/>
    <n v="2.1"/>
    <n v="0"/>
    <n v="0.75"/>
  </r>
  <r>
    <s v="FL250901"/>
    <x v="893"/>
    <x v="0"/>
    <n v="37"/>
    <x v="5"/>
    <x v="1"/>
    <x v="0"/>
    <n v="18"/>
    <n v="40"/>
    <n v="4.5"/>
    <n v="1"/>
    <n v="0.72"/>
  </r>
  <r>
    <s v="FL250902"/>
    <x v="894"/>
    <x v="0"/>
    <n v="47"/>
    <x v="13"/>
    <x v="11"/>
    <x v="6"/>
    <n v="3"/>
    <n v="40"/>
    <n v="4.4000000000000004"/>
    <n v="1"/>
    <n v="0.92"/>
  </r>
  <r>
    <s v="FL250903"/>
    <x v="895"/>
    <x v="0"/>
    <n v="53"/>
    <x v="13"/>
    <x v="11"/>
    <x v="2"/>
    <n v="32"/>
    <s v="$ 20"/>
    <n v="0"/>
    <n v="0"/>
    <n v="0.16"/>
  </r>
  <r>
    <s v="FL250904"/>
    <x v="896"/>
    <x v="0"/>
    <n v="53"/>
    <x v="8"/>
    <x v="6"/>
    <x v="1"/>
    <n v="19"/>
    <s v="$ 20"/>
    <n v="1.3"/>
    <n v="0"/>
    <n v="0.16"/>
  </r>
  <r>
    <s v="FL250905"/>
    <x v="897"/>
    <x v="1"/>
    <n v="21"/>
    <x v="10"/>
    <x v="8"/>
    <x v="5"/>
    <n v="2"/>
    <n v="50"/>
    <n v="2.6"/>
    <n v="0"/>
    <n v="0.86"/>
  </r>
  <r>
    <s v="FL250906"/>
    <x v="898"/>
    <x v="0"/>
    <n v="35"/>
    <x v="7"/>
    <x v="1"/>
    <x v="0"/>
    <n v="11"/>
    <n v="40"/>
    <n v="3"/>
    <n v="1"/>
    <n v="0.85"/>
  </r>
  <r>
    <s v="FL250907"/>
    <x v="899"/>
    <x v="1"/>
    <n v="31"/>
    <x v="8"/>
    <x v="6"/>
    <x v="9"/>
    <n v="13"/>
    <n v="40"/>
    <n v="1.2"/>
    <n v="0"/>
    <n v="0.62"/>
  </r>
  <r>
    <s v="FL250908"/>
    <x v="900"/>
    <x v="0"/>
    <n v="55"/>
    <x v="12"/>
    <x v="10"/>
    <x v="4"/>
    <n v="2"/>
    <s v="$ 30"/>
    <n v="3.1"/>
    <n v="1"/>
    <n v="0.91"/>
  </r>
  <r>
    <s v="FL250909"/>
    <x v="901"/>
    <x v="0"/>
    <n v="59"/>
    <x v="6"/>
    <x v="5"/>
    <x v="3"/>
    <n v="11"/>
    <n v="75"/>
    <n v="2.2999999999999998"/>
    <n v="1"/>
    <n v="0.8"/>
  </r>
  <r>
    <s v="FL250910"/>
    <x v="902"/>
    <x v="1"/>
    <n v="59"/>
    <x v="15"/>
    <x v="12"/>
    <x v="7"/>
    <n v="17"/>
    <n v="100"/>
    <n v="4"/>
    <n v="1"/>
    <n v="0.72"/>
  </r>
  <r>
    <s v="FL250911"/>
    <x v="903"/>
    <x v="1"/>
    <n v="47"/>
    <x v="10"/>
    <x v="8"/>
    <x v="0"/>
    <n v="10"/>
    <n v="75"/>
    <n v="1.9"/>
    <n v="1"/>
    <n v="0.16"/>
  </r>
  <r>
    <s v="FL250912"/>
    <x v="904"/>
    <x v="0"/>
    <n v="53"/>
    <x v="17"/>
    <x v="14"/>
    <x v="9"/>
    <n v="26"/>
    <n v="75"/>
    <n v="2.4"/>
    <n v="1"/>
    <n v="0.16"/>
  </r>
  <r>
    <s v="FL250913"/>
    <x v="216"/>
    <x v="1"/>
    <n v="49"/>
    <x v="17"/>
    <x v="14"/>
    <x v="5"/>
    <n v="11"/>
    <n v="30"/>
    <n v="3"/>
    <n v="1"/>
    <n v="0.74"/>
  </r>
  <r>
    <s v="FL250914"/>
    <x v="905"/>
    <x v="0"/>
    <n v="50"/>
    <x v="17"/>
    <x v="14"/>
    <x v="1"/>
    <n v="8"/>
    <s v="$ 50"/>
    <n v="3.7"/>
    <n v="1"/>
    <n v="0.82"/>
  </r>
  <r>
    <s v="FL250915"/>
    <x v="906"/>
    <x v="0"/>
    <n v="59"/>
    <x v="12"/>
    <x v="10"/>
    <x v="9"/>
    <n v="22"/>
    <s v="$ 100"/>
    <n v="1.1000000000000001"/>
    <n v="1"/>
    <n v="0.85"/>
  </r>
  <r>
    <s v="FL250916"/>
    <x v="907"/>
    <x v="1"/>
    <n v="33"/>
    <x v="6"/>
    <x v="5"/>
    <x v="5"/>
    <n v="8"/>
    <s v="$ 75"/>
    <n v="2.2999999999999998"/>
    <n v="1"/>
    <n v="0.68"/>
  </r>
  <r>
    <s v="FL250917"/>
    <x v="908"/>
    <x v="0"/>
    <n v="45"/>
    <x v="14"/>
    <x v="1"/>
    <x v="3"/>
    <n v="22"/>
    <n v="40"/>
    <n v="3.7"/>
    <n v="1"/>
    <n v="0.99"/>
  </r>
  <r>
    <s v="FL250918"/>
    <x v="909"/>
    <x v="0"/>
    <n v="36"/>
    <x v="0"/>
    <x v="0"/>
    <x v="2"/>
    <n v="14"/>
    <n v="30"/>
    <n v="1.9"/>
    <n v="0"/>
    <n v="0.62"/>
  </r>
  <r>
    <s v="FL250919"/>
    <x v="910"/>
    <x v="1"/>
    <n v="46"/>
    <x v="17"/>
    <x v="14"/>
    <x v="6"/>
    <n v="6"/>
    <n v="30"/>
    <n v="1.5"/>
    <n v="0"/>
    <n v="0.16"/>
  </r>
  <r>
    <s v="FL250920"/>
    <x v="911"/>
    <x v="0"/>
    <n v="53"/>
    <x v="6"/>
    <x v="5"/>
    <x v="2"/>
    <n v="14"/>
    <n v="30"/>
    <n v="0"/>
    <n v="0"/>
    <n v="0.83"/>
  </r>
  <r>
    <s v="FL250921"/>
    <x v="912"/>
    <x v="0"/>
    <n v="24"/>
    <x v="5"/>
    <x v="1"/>
    <x v="3"/>
    <n v="2"/>
    <n v="30"/>
    <n v="3.6"/>
    <n v="1"/>
    <n v="0.92"/>
  </r>
  <r>
    <s v="FL250922"/>
    <x v="913"/>
    <x v="0"/>
    <n v="49"/>
    <x v="20"/>
    <x v="6"/>
    <x v="8"/>
    <n v="4"/>
    <n v="75"/>
    <n v="2.1"/>
    <n v="1"/>
    <n v="0.85"/>
  </r>
  <r>
    <s v="FL250923"/>
    <x v="914"/>
    <x v="0"/>
    <n v="49"/>
    <x v="12"/>
    <x v="10"/>
    <x v="4"/>
    <n v="4"/>
    <n v="75"/>
    <n v="2.9"/>
    <n v="0"/>
    <n v="0.16"/>
  </r>
  <r>
    <s v="FL250924"/>
    <x v="915"/>
    <x v="0"/>
    <n v="49"/>
    <x v="12"/>
    <x v="10"/>
    <x v="1"/>
    <n v="24"/>
    <n v="100"/>
    <n v="3.6"/>
    <n v="1"/>
    <n v="0.16"/>
  </r>
  <r>
    <s v="FL250925"/>
    <x v="916"/>
    <x v="0"/>
    <n v="58"/>
    <x v="11"/>
    <x v="9"/>
    <x v="0"/>
    <n v="29"/>
    <n v="30"/>
    <n v="3.3"/>
    <n v="1"/>
    <n v="0.89"/>
  </r>
  <r>
    <s v="FL250926"/>
    <x v="917"/>
    <x v="1"/>
    <n v="50"/>
    <x v="17"/>
    <x v="14"/>
    <x v="6"/>
    <n v="13"/>
    <n v="40"/>
    <n v="2.5"/>
    <n v="1"/>
    <n v="0.81"/>
  </r>
  <r>
    <s v="FL250927"/>
    <x v="918"/>
    <x v="1"/>
    <n v="27"/>
    <x v="17"/>
    <x v="14"/>
    <x v="8"/>
    <n v="1"/>
    <s v="$ 100"/>
    <n v="3.7"/>
    <n v="1"/>
    <n v="0.61"/>
  </r>
  <r>
    <s v="FL250928"/>
    <x v="919"/>
    <x v="0"/>
    <n v="20"/>
    <x v="12"/>
    <x v="10"/>
    <x v="9"/>
    <n v="11"/>
    <n v="30"/>
    <n v="4.5999999999999996"/>
    <n v="1"/>
    <n v="0.16"/>
  </r>
  <r>
    <s v="FL250929"/>
    <x v="920"/>
    <x v="1"/>
    <n v="52"/>
    <x v="13"/>
    <x v="11"/>
    <x v="0"/>
    <n v="15"/>
    <n v="40"/>
    <n v="0"/>
    <n v="1"/>
    <n v="0.92"/>
  </r>
  <r>
    <s v="FL250930"/>
    <x v="921"/>
    <x v="0"/>
    <n v="22"/>
    <x v="15"/>
    <x v="12"/>
    <x v="9"/>
    <n v="2"/>
    <n v="30"/>
    <n v="2"/>
    <n v="1"/>
    <n v="0.96"/>
  </r>
  <r>
    <s v="FL250931"/>
    <x v="922"/>
    <x v="0"/>
    <n v="38"/>
    <x v="6"/>
    <x v="5"/>
    <x v="3"/>
    <n v="14"/>
    <n v="100"/>
    <n v="1.7"/>
    <n v="0"/>
    <n v="0.66"/>
  </r>
  <r>
    <s v="FL250932"/>
    <x v="923"/>
    <x v="1"/>
    <n v="21"/>
    <x v="14"/>
    <x v="1"/>
    <x v="2"/>
    <n v="11"/>
    <s v="$ 100"/>
    <n v="3"/>
    <n v="0"/>
    <n v="0.64"/>
  </r>
  <r>
    <s v="FL250933"/>
    <x v="924"/>
    <x v="1"/>
    <n v="41"/>
    <x v="1"/>
    <x v="1"/>
    <x v="4"/>
    <n v="15"/>
    <n v="40"/>
    <n v="3.4"/>
    <n v="0"/>
    <n v="0.01"/>
  </r>
  <r>
    <s v="FL250934"/>
    <x v="925"/>
    <x v="0"/>
    <n v="33"/>
    <x v="4"/>
    <x v="4"/>
    <x v="0"/>
    <n v="6"/>
    <n v="40"/>
    <n v="3.2"/>
    <n v="1"/>
    <n v="0.95"/>
  </r>
  <r>
    <s v="FL250935"/>
    <x v="926"/>
    <x v="0"/>
    <n v="38"/>
    <x v="19"/>
    <x v="6"/>
    <x v="1"/>
    <n v="11"/>
    <n v="40"/>
    <n v="2.8"/>
    <n v="1"/>
    <n v="0.91"/>
  </r>
  <r>
    <s v="FL250936"/>
    <x v="927"/>
    <x v="0"/>
    <n v="26"/>
    <x v="13"/>
    <x v="11"/>
    <x v="8"/>
    <n v="8"/>
    <s v="$ 20"/>
    <n v="4.0999999999999996"/>
    <n v="1"/>
    <n v="0.82"/>
  </r>
  <r>
    <s v="FL250937"/>
    <x v="928"/>
    <x v="0"/>
    <n v="43"/>
    <x v="3"/>
    <x v="3"/>
    <x v="4"/>
    <n v="3"/>
    <n v="20"/>
    <n v="0"/>
    <n v="1"/>
    <n v="0.95"/>
  </r>
  <r>
    <s v="FL250938"/>
    <x v="929"/>
    <x v="0"/>
    <n v="21"/>
    <x v="0"/>
    <x v="0"/>
    <x v="7"/>
    <n v="11"/>
    <n v="40"/>
    <n v="0"/>
    <n v="1"/>
    <n v="0.95"/>
  </r>
  <r>
    <s v="FL250939"/>
    <x v="930"/>
    <x v="1"/>
    <n v="47"/>
    <x v="12"/>
    <x v="10"/>
    <x v="1"/>
    <n v="7"/>
    <s v="$ 30"/>
    <n v="3"/>
    <n v="1"/>
    <n v="0.69"/>
  </r>
  <r>
    <s v="FL250940"/>
    <x v="931"/>
    <x v="1"/>
    <n v="35"/>
    <x v="20"/>
    <x v="6"/>
    <x v="2"/>
    <n v="6"/>
    <n v="40"/>
    <n v="3"/>
    <n v="1"/>
    <n v="0.91"/>
  </r>
  <r>
    <s v="FL250941"/>
    <x v="932"/>
    <x v="0"/>
    <n v="37"/>
    <x v="4"/>
    <x v="4"/>
    <x v="1"/>
    <n v="9"/>
    <n v="30"/>
    <n v="2.7"/>
    <n v="1"/>
    <n v="0.16"/>
  </r>
  <r>
    <s v="FL250942"/>
    <x v="933"/>
    <x v="0"/>
    <n v="38"/>
    <x v="11"/>
    <x v="9"/>
    <x v="4"/>
    <n v="15"/>
    <n v="40"/>
    <n v="4"/>
    <n v="1"/>
    <n v="0.62"/>
  </r>
  <r>
    <s v="FL250943"/>
    <x v="934"/>
    <x v="1"/>
    <n v="40"/>
    <x v="14"/>
    <x v="1"/>
    <x v="5"/>
    <n v="20"/>
    <n v="20"/>
    <n v="2.5"/>
    <n v="0"/>
    <n v="0.81"/>
  </r>
  <r>
    <s v="FL250944"/>
    <x v="935"/>
    <x v="0"/>
    <n v="46"/>
    <x v="11"/>
    <x v="9"/>
    <x v="5"/>
    <n v="16"/>
    <n v="75"/>
    <n v="0"/>
    <n v="1"/>
    <n v="0.94"/>
  </r>
  <r>
    <s v="FL250945"/>
    <x v="936"/>
    <x v="1"/>
    <n v="56"/>
    <x v="16"/>
    <x v="13"/>
    <x v="8"/>
    <n v="22"/>
    <s v="$ 30"/>
    <n v="3"/>
    <n v="1"/>
    <n v="0.95"/>
  </r>
  <r>
    <s v="FL250946"/>
    <x v="937"/>
    <x v="1"/>
    <n v="24"/>
    <x v="6"/>
    <x v="5"/>
    <x v="2"/>
    <n v="2"/>
    <n v="40"/>
    <n v="1.6"/>
    <n v="1"/>
    <n v="0.01"/>
  </r>
  <r>
    <s v="FL250947"/>
    <x v="938"/>
    <x v="1"/>
    <n v="41"/>
    <x v="19"/>
    <x v="6"/>
    <x v="4"/>
    <n v="1"/>
    <n v="75"/>
    <n v="0"/>
    <n v="1"/>
    <n v="0.94"/>
  </r>
  <r>
    <s v="FL250948"/>
    <x v="939"/>
    <x v="0"/>
    <n v="38"/>
    <x v="6"/>
    <x v="5"/>
    <x v="1"/>
    <n v="8"/>
    <n v="30"/>
    <n v="4"/>
    <n v="1"/>
    <n v="0.92"/>
  </r>
  <r>
    <s v="FL250949"/>
    <x v="940"/>
    <x v="0"/>
    <n v="28"/>
    <x v="15"/>
    <x v="12"/>
    <x v="8"/>
    <n v="8"/>
    <s v="$ 50"/>
    <n v="2.5"/>
    <n v="1"/>
    <n v="0.95"/>
  </r>
  <r>
    <s v="FL250950"/>
    <x v="941"/>
    <x v="1"/>
    <n v="25"/>
    <x v="11"/>
    <x v="9"/>
    <x v="8"/>
    <n v="7"/>
    <n v="20"/>
    <n v="3.8"/>
    <n v="1"/>
    <n v="0.97"/>
  </r>
  <r>
    <s v="FL250951"/>
    <x v="942"/>
    <x v="1"/>
    <n v="41"/>
    <x v="7"/>
    <x v="1"/>
    <x v="8"/>
    <n v="8"/>
    <n v="50"/>
    <n v="4.8"/>
    <n v="0"/>
    <n v="0.75"/>
  </r>
  <r>
    <s v="FL250952"/>
    <x v="943"/>
    <x v="0"/>
    <n v="45"/>
    <x v="19"/>
    <x v="6"/>
    <x v="5"/>
    <n v="6"/>
    <n v="40"/>
    <n v="2"/>
    <n v="1"/>
    <n v="0.78"/>
  </r>
  <r>
    <s v="FL250953"/>
    <x v="944"/>
    <x v="1"/>
    <n v="47"/>
    <x v="6"/>
    <x v="5"/>
    <x v="8"/>
    <n v="16"/>
    <n v="100"/>
    <n v="3.3"/>
    <n v="0"/>
    <n v="0.65"/>
  </r>
  <r>
    <s v="FL250954"/>
    <x v="945"/>
    <x v="0"/>
    <n v="59"/>
    <x v="7"/>
    <x v="1"/>
    <x v="5"/>
    <n v="40"/>
    <n v="40"/>
    <n v="2.5"/>
    <n v="1"/>
    <n v="0.7"/>
  </r>
  <r>
    <s v="FL250955"/>
    <x v="946"/>
    <x v="0"/>
    <n v="25"/>
    <x v="14"/>
    <x v="1"/>
    <x v="0"/>
    <n v="6"/>
    <n v="100"/>
    <n v="3"/>
    <n v="1"/>
    <n v="0.78"/>
  </r>
  <r>
    <s v="FL250956"/>
    <x v="947"/>
    <x v="1"/>
    <n v="27"/>
    <x v="1"/>
    <x v="1"/>
    <x v="3"/>
    <n v="3"/>
    <s v="$ 50"/>
    <n v="3"/>
    <n v="1"/>
    <n v="0.96"/>
  </r>
  <r>
    <s v="FL250957"/>
    <x v="948"/>
    <x v="0"/>
    <n v="57"/>
    <x v="1"/>
    <x v="1"/>
    <x v="4"/>
    <n v="5"/>
    <s v="$ 100"/>
    <n v="0"/>
    <n v="1"/>
    <n v="0.8"/>
  </r>
  <r>
    <s v="FL250958"/>
    <x v="949"/>
    <x v="0"/>
    <n v="34"/>
    <x v="6"/>
    <x v="5"/>
    <x v="6"/>
    <n v="12"/>
    <n v="20"/>
    <n v="1.6"/>
    <n v="1"/>
    <n v="0.64"/>
  </r>
  <r>
    <s v="FL250959"/>
    <x v="950"/>
    <x v="1"/>
    <n v="55"/>
    <x v="15"/>
    <x v="12"/>
    <x v="6"/>
    <n v="33"/>
    <n v="50"/>
    <n v="0"/>
    <n v="0"/>
    <n v="0.92"/>
  </r>
  <r>
    <s v="FL250960"/>
    <x v="951"/>
    <x v="1"/>
    <n v="21"/>
    <x v="16"/>
    <x v="13"/>
    <x v="0"/>
    <n v="1"/>
    <n v="100"/>
    <n v="0"/>
    <n v="1"/>
    <n v="0.16"/>
  </r>
  <r>
    <s v="FL250961"/>
    <x v="952"/>
    <x v="1"/>
    <n v="53"/>
    <x v="3"/>
    <x v="3"/>
    <x v="8"/>
    <n v="27"/>
    <s v="$ 20"/>
    <n v="4.7"/>
    <n v="1"/>
    <n v="0.71"/>
  </r>
  <r>
    <s v="FL250962"/>
    <x v="953"/>
    <x v="0"/>
    <n v="21"/>
    <x v="2"/>
    <x v="2"/>
    <x v="6"/>
    <n v="1"/>
    <n v="100"/>
    <n v="0"/>
    <n v="1"/>
    <n v="0.95"/>
  </r>
  <r>
    <s v="FL250963"/>
    <x v="954"/>
    <x v="0"/>
    <n v="36"/>
    <x v="11"/>
    <x v="9"/>
    <x v="3"/>
    <n v="11"/>
    <n v="20"/>
    <n v="4.0999999999999996"/>
    <n v="0"/>
    <n v="0.86"/>
  </r>
  <r>
    <s v="FL250964"/>
    <x v="955"/>
    <x v="1"/>
    <n v="40"/>
    <x v="2"/>
    <x v="2"/>
    <x v="4"/>
    <n v="2"/>
    <n v="30"/>
    <n v="1.3"/>
    <n v="1"/>
    <n v="0.77"/>
  </r>
  <r>
    <s v="FL250965"/>
    <x v="956"/>
    <x v="0"/>
    <n v="59"/>
    <x v="7"/>
    <x v="1"/>
    <x v="6"/>
    <n v="40"/>
    <n v="100"/>
    <n v="2.6"/>
    <n v="1"/>
    <n v="0.16"/>
  </r>
  <r>
    <s v="FL250966"/>
    <x v="957"/>
    <x v="1"/>
    <n v="45"/>
    <x v="3"/>
    <x v="3"/>
    <x v="7"/>
    <n v="4"/>
    <n v="20"/>
    <n v="2.7"/>
    <n v="1"/>
    <n v="0.72"/>
  </r>
  <r>
    <s v="FL250967"/>
    <x v="958"/>
    <x v="1"/>
    <n v="44"/>
    <x v="12"/>
    <x v="10"/>
    <x v="9"/>
    <n v="9"/>
    <n v="40"/>
    <n v="3"/>
    <n v="0"/>
    <n v="0.7"/>
  </r>
  <r>
    <s v="FL250968"/>
    <x v="959"/>
    <x v="0"/>
    <n v="36"/>
    <x v="7"/>
    <x v="1"/>
    <x v="7"/>
    <n v="13"/>
    <n v="30"/>
    <n v="3.6"/>
    <n v="0"/>
    <n v="0.86"/>
  </r>
  <r>
    <s v="FL250969"/>
    <x v="960"/>
    <x v="0"/>
    <n v="26"/>
    <x v="10"/>
    <x v="8"/>
    <x v="2"/>
    <n v="1"/>
    <n v="75"/>
    <n v="3"/>
    <n v="1"/>
    <n v="0.16"/>
  </r>
  <r>
    <s v="FL250970"/>
    <x v="961"/>
    <x v="1"/>
    <n v="49"/>
    <x v="10"/>
    <x v="8"/>
    <x v="3"/>
    <n v="1"/>
    <n v="40"/>
    <n v="0"/>
    <n v="0"/>
    <n v="0.82"/>
  </r>
  <r>
    <s v="FL250971"/>
    <x v="962"/>
    <x v="1"/>
    <n v="29"/>
    <x v="15"/>
    <x v="12"/>
    <x v="1"/>
    <n v="3"/>
    <s v="$ 40"/>
    <n v="0"/>
    <n v="1"/>
    <n v="0.81"/>
  </r>
  <r>
    <s v="FL250972"/>
    <x v="963"/>
    <x v="1"/>
    <n v="32"/>
    <x v="15"/>
    <x v="12"/>
    <x v="2"/>
    <n v="1"/>
    <n v="40"/>
    <n v="3.1"/>
    <n v="1"/>
    <n v="0.76"/>
  </r>
  <r>
    <s v="FL250973"/>
    <x v="964"/>
    <x v="1"/>
    <n v="24"/>
    <x v="4"/>
    <x v="4"/>
    <x v="0"/>
    <n v="3"/>
    <s v="$ 30"/>
    <n v="3.9"/>
    <n v="0"/>
    <n v="0.9"/>
  </r>
  <r>
    <s v="FL250974"/>
    <x v="965"/>
    <x v="1"/>
    <n v="35"/>
    <x v="12"/>
    <x v="10"/>
    <x v="8"/>
    <n v="14"/>
    <n v="30"/>
    <n v="1.6"/>
    <n v="1"/>
    <n v="0.67"/>
  </r>
  <r>
    <s v="FL250975"/>
    <x v="966"/>
    <x v="0"/>
    <n v="43"/>
    <x v="20"/>
    <x v="6"/>
    <x v="0"/>
    <n v="2"/>
    <n v="40"/>
    <n v="1.8"/>
    <n v="1"/>
    <n v="0.61"/>
  </r>
  <r>
    <s v="FL250976"/>
    <x v="967"/>
    <x v="1"/>
    <n v="53"/>
    <x v="12"/>
    <x v="10"/>
    <x v="9"/>
    <n v="27"/>
    <n v="100"/>
    <n v="3.7"/>
    <n v="1"/>
    <n v="0.73"/>
  </r>
  <r>
    <s v="FL250977"/>
    <x v="968"/>
    <x v="0"/>
    <n v="38"/>
    <x v="13"/>
    <x v="11"/>
    <x v="8"/>
    <n v="7"/>
    <n v="75"/>
    <n v="3"/>
    <n v="0"/>
    <n v="0.16"/>
  </r>
  <r>
    <s v="FL250978"/>
    <x v="969"/>
    <x v="1"/>
    <n v="57"/>
    <x v="7"/>
    <x v="1"/>
    <x v="7"/>
    <n v="29"/>
    <n v="75"/>
    <n v="4.0999999999999996"/>
    <n v="0"/>
    <n v="0.9"/>
  </r>
  <r>
    <s v="FL250979"/>
    <x v="970"/>
    <x v="1"/>
    <n v="27"/>
    <x v="18"/>
    <x v="15"/>
    <x v="0"/>
    <n v="5"/>
    <n v="75"/>
    <n v="1.4"/>
    <n v="1"/>
    <n v="0.64"/>
  </r>
  <r>
    <s v="FL250980"/>
    <x v="971"/>
    <x v="1"/>
    <n v="43"/>
    <x v="8"/>
    <x v="6"/>
    <x v="3"/>
    <n v="2"/>
    <n v="100"/>
    <n v="1.1000000000000001"/>
    <n v="1"/>
    <n v="0.63"/>
  </r>
  <r>
    <s v="FL250981"/>
    <x v="972"/>
    <x v="1"/>
    <n v="48"/>
    <x v="14"/>
    <x v="1"/>
    <x v="5"/>
    <n v="18"/>
    <n v="40"/>
    <n v="3.9"/>
    <n v="1"/>
    <n v="0.16"/>
  </r>
  <r>
    <s v="FL250982"/>
    <x v="973"/>
    <x v="1"/>
    <n v="26"/>
    <x v="11"/>
    <x v="9"/>
    <x v="7"/>
    <n v="8"/>
    <n v="20"/>
    <n v="3.6"/>
    <n v="0"/>
    <n v="0.67"/>
  </r>
  <r>
    <s v="FL250983"/>
    <x v="974"/>
    <x v="0"/>
    <n v="41"/>
    <x v="17"/>
    <x v="14"/>
    <x v="2"/>
    <n v="11"/>
    <n v="40"/>
    <n v="0"/>
    <n v="1"/>
    <n v="0.97"/>
  </r>
  <r>
    <s v="FL250984"/>
    <x v="975"/>
    <x v="0"/>
    <n v="50"/>
    <x v="0"/>
    <x v="0"/>
    <x v="5"/>
    <n v="16"/>
    <n v="75"/>
    <n v="4.5"/>
    <n v="0"/>
    <n v="0.69"/>
  </r>
  <r>
    <s v="FL250985"/>
    <x v="976"/>
    <x v="1"/>
    <n v="48"/>
    <x v="17"/>
    <x v="14"/>
    <x v="3"/>
    <n v="8"/>
    <n v="50"/>
    <n v="3"/>
    <n v="1"/>
    <n v="0.73"/>
  </r>
  <r>
    <s v="FL250986"/>
    <x v="977"/>
    <x v="1"/>
    <n v="60"/>
    <x v="20"/>
    <x v="6"/>
    <x v="0"/>
    <n v="39"/>
    <n v="20"/>
    <n v="1.4"/>
    <n v="1"/>
    <n v="0.86"/>
  </r>
  <r>
    <s v="FL250987"/>
    <x v="978"/>
    <x v="1"/>
    <n v="26"/>
    <x v="16"/>
    <x v="13"/>
    <x v="9"/>
    <n v="11"/>
    <n v="50"/>
    <n v="0"/>
    <n v="1"/>
    <n v="0.81"/>
  </r>
  <r>
    <s v="FL250988"/>
    <x v="979"/>
    <x v="0"/>
    <n v="35"/>
    <x v="12"/>
    <x v="10"/>
    <x v="2"/>
    <n v="16"/>
    <s v="$ 100"/>
    <n v="4.3"/>
    <n v="1"/>
    <n v="0.74"/>
  </r>
  <r>
    <s v="FL250989"/>
    <x v="980"/>
    <x v="1"/>
    <n v="23"/>
    <x v="5"/>
    <x v="1"/>
    <x v="0"/>
    <n v="4"/>
    <n v="100"/>
    <n v="2.2000000000000002"/>
    <n v="1"/>
    <n v="0.64"/>
  </r>
  <r>
    <s v="FL250990"/>
    <x v="981"/>
    <x v="1"/>
    <n v="37"/>
    <x v="1"/>
    <x v="1"/>
    <x v="2"/>
    <n v="4"/>
    <n v="75"/>
    <n v="3.2"/>
    <n v="0"/>
    <n v="0.76"/>
  </r>
  <r>
    <s v="FL250991"/>
    <x v="982"/>
    <x v="0"/>
    <n v="21"/>
    <x v="8"/>
    <x v="6"/>
    <x v="4"/>
    <n v="2"/>
    <n v="100"/>
    <n v="3.7"/>
    <n v="1"/>
    <n v="0.73"/>
  </r>
  <r>
    <s v="FL250992"/>
    <x v="983"/>
    <x v="0"/>
    <n v="58"/>
    <x v="2"/>
    <x v="2"/>
    <x v="6"/>
    <n v="37"/>
    <s v="$ 50"/>
    <n v="4.9000000000000004"/>
    <n v="0"/>
    <n v="0.69"/>
  </r>
  <r>
    <s v="FL250993"/>
    <x v="984"/>
    <x v="0"/>
    <n v="52"/>
    <x v="4"/>
    <x v="4"/>
    <x v="1"/>
    <n v="32"/>
    <n v="75"/>
    <n v="3.2"/>
    <n v="0"/>
    <n v="0.79"/>
  </r>
  <r>
    <s v="FL250994"/>
    <x v="985"/>
    <x v="1"/>
    <n v="46"/>
    <x v="13"/>
    <x v="11"/>
    <x v="1"/>
    <n v="8"/>
    <n v="20"/>
    <n v="2.2000000000000002"/>
    <n v="1"/>
    <n v="0.89"/>
  </r>
  <r>
    <s v="FL250995"/>
    <x v="986"/>
    <x v="0"/>
    <n v="34"/>
    <x v="17"/>
    <x v="14"/>
    <x v="8"/>
    <n v="8"/>
    <n v="30"/>
    <n v="3.9"/>
    <n v="1"/>
    <n v="0.95"/>
  </r>
  <r>
    <s v="FL250996"/>
    <x v="987"/>
    <x v="1"/>
    <n v="56"/>
    <x v="6"/>
    <x v="5"/>
    <x v="8"/>
    <n v="13"/>
    <n v="100"/>
    <n v="0"/>
    <n v="1"/>
    <n v="0.68"/>
  </r>
  <r>
    <s v="FL250997"/>
    <x v="988"/>
    <x v="0"/>
    <n v="26"/>
    <x v="2"/>
    <x v="2"/>
    <x v="0"/>
    <n v="6"/>
    <s v="$ 40"/>
    <n v="2.8"/>
    <n v="0"/>
    <n v="0.82"/>
  </r>
  <r>
    <s v="FL250998"/>
    <x v="989"/>
    <x v="0"/>
    <n v="37"/>
    <x v="9"/>
    <x v="7"/>
    <x v="5"/>
    <n v="15"/>
    <n v="75"/>
    <n v="3"/>
    <n v="0"/>
    <n v="0.94"/>
  </r>
  <r>
    <s v="FL250999"/>
    <x v="990"/>
    <x v="1"/>
    <n v="46"/>
    <x v="13"/>
    <x v="11"/>
    <x v="9"/>
    <n v="22"/>
    <n v="100"/>
    <n v="2.8"/>
    <n v="1"/>
    <n v="0.97"/>
  </r>
  <r>
    <s v="FL251000"/>
    <x v="991"/>
    <x v="0"/>
    <n v="36"/>
    <x v="19"/>
    <x v="6"/>
    <x v="6"/>
    <n v="18"/>
    <n v="20"/>
    <n v="1.7"/>
    <n v="1"/>
    <n v="0.7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24A6ED2-E708-4D92-937C-35F573FA7930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 rowHeaderCaption="Name">
  <location ref="A3:B14" firstHeaderRow="1" firstDataRow="1" firstDataCol="1"/>
  <pivotFields count="12">
    <pivotField showAll="0"/>
    <pivotField axis="axisRow" showAll="0" measureFilter="1">
      <items count="993">
        <item x="866"/>
        <item x="757"/>
        <item x="338"/>
        <item x="494"/>
        <item x="771"/>
        <item x="831"/>
        <item x="452"/>
        <item x="202"/>
        <item x="811"/>
        <item x="969"/>
        <item x="808"/>
        <item x="987"/>
        <item x="282"/>
        <item x="710"/>
        <item x="296"/>
        <item x="353"/>
        <item x="129"/>
        <item x="817"/>
        <item x="923"/>
        <item x="813"/>
        <item x="27"/>
        <item x="12"/>
        <item x="634"/>
        <item x="315"/>
        <item x="876"/>
        <item x="412"/>
        <item x="423"/>
        <item x="120"/>
        <item x="486"/>
        <item x="796"/>
        <item x="446"/>
        <item x="175"/>
        <item x="763"/>
        <item x="351"/>
        <item x="666"/>
        <item x="799"/>
        <item x="3"/>
        <item x="567"/>
        <item x="772"/>
        <item x="912"/>
        <item x="37"/>
        <item x="294"/>
        <item x="911"/>
        <item x="249"/>
        <item x="441"/>
        <item x="82"/>
        <item x="635"/>
        <item x="124"/>
        <item x="897"/>
        <item x="98"/>
        <item x="246"/>
        <item x="646"/>
        <item x="442"/>
        <item x="626"/>
        <item x="314"/>
        <item x="362"/>
        <item x="659"/>
        <item x="706"/>
        <item x="40"/>
        <item x="913"/>
        <item x="283"/>
        <item x="234"/>
        <item x="842"/>
        <item x="25"/>
        <item x="153"/>
        <item x="764"/>
        <item x="928"/>
        <item x="378"/>
        <item x="773"/>
        <item x="433"/>
        <item x="506"/>
        <item x="277"/>
        <item x="888"/>
        <item x="394"/>
        <item x="747"/>
        <item x="168"/>
        <item x="252"/>
        <item x="924"/>
        <item x="571"/>
        <item x="483"/>
        <item x="718"/>
        <item x="570"/>
        <item x="361"/>
        <item x="145"/>
        <item x="66"/>
        <item x="615"/>
        <item x="641"/>
        <item x="508"/>
        <item x="304"/>
        <item x="884"/>
        <item x="84"/>
        <item x="126"/>
        <item x="430"/>
        <item x="59"/>
        <item x="267"/>
        <item x="650"/>
        <item x="696"/>
        <item x="298"/>
        <item x="877"/>
        <item x="794"/>
        <item x="96"/>
        <item x="852"/>
        <item x="972"/>
        <item x="480"/>
        <item x="360"/>
        <item x="717"/>
        <item x="942"/>
        <item x="424"/>
        <item x="977"/>
        <item x="193"/>
        <item x="185"/>
        <item x="752"/>
        <item x="643"/>
        <item x="365"/>
        <item x="311"/>
        <item x="235"/>
        <item x="85"/>
        <item x="954"/>
        <item x="255"/>
        <item x="814"/>
        <item x="400"/>
        <item x="828"/>
        <item x="355"/>
        <item x="264"/>
        <item x="196"/>
        <item x="810"/>
        <item x="87"/>
        <item x="606"/>
        <item x="589"/>
        <item x="80"/>
        <item x="909"/>
        <item x="782"/>
        <item x="335"/>
        <item x="759"/>
        <item x="863"/>
        <item x="259"/>
        <item x="121"/>
        <item x="286"/>
        <item x="739"/>
        <item x="536"/>
        <item x="692"/>
        <item x="172"/>
        <item x="906"/>
        <item x="256"/>
        <item x="617"/>
        <item x="860"/>
        <item x="943"/>
        <item x="547"/>
        <item x="953"/>
        <item x="532"/>
        <item x="290"/>
        <item x="22"/>
        <item x="971"/>
        <item x="140"/>
        <item x="582"/>
        <item x="354"/>
        <item x="983"/>
        <item x="47"/>
        <item x="372"/>
        <item x="225"/>
        <item x="476"/>
        <item x="988"/>
        <item x="230"/>
        <item x="307"/>
        <item x="629"/>
        <item x="157"/>
        <item x="517"/>
        <item x="356"/>
        <item x="707"/>
        <item x="722"/>
        <item x="291"/>
        <item x="62"/>
        <item x="388"/>
        <item x="359"/>
        <item x="239"/>
        <item x="788"/>
        <item x="855"/>
        <item x="132"/>
        <item x="728"/>
        <item x="428"/>
        <item x="122"/>
        <item x="319"/>
        <item x="576"/>
        <item x="756"/>
        <item x="133"/>
        <item x="152"/>
        <item x="974"/>
        <item x="340"/>
        <item x="127"/>
        <item x="303"/>
        <item x="504"/>
        <item x="681"/>
        <item x="482"/>
        <item x="68"/>
        <item x="867"/>
        <item x="60"/>
        <item x="619"/>
        <item x="478"/>
        <item x="966"/>
        <item x="65"/>
        <item x="812"/>
        <item x="451"/>
        <item x="652"/>
        <item x="776"/>
        <item x="313"/>
        <item x="265"/>
        <item x="833"/>
        <item x="793"/>
        <item x="611"/>
        <item x="237"/>
        <item x="397"/>
        <item x="952"/>
        <item x="236"/>
        <item x="697"/>
        <item x="591"/>
        <item x="920"/>
        <item x="612"/>
        <item x="832"/>
        <item x="443"/>
        <item x="978"/>
        <item x="514"/>
        <item x="455"/>
        <item x="700"/>
        <item x="317"/>
        <item x="683"/>
        <item x="214"/>
        <item x="223"/>
        <item x="886"/>
        <item x="621"/>
        <item x="835"/>
        <item x="713"/>
        <item x="306"/>
        <item x="973"/>
        <item x="703"/>
        <item x="958"/>
        <item x="631"/>
        <item x="414"/>
        <item x="97"/>
        <item x="957"/>
        <item x="279"/>
        <item x="456"/>
        <item x="552"/>
        <item x="637"/>
        <item x="991"/>
        <item x="565"/>
        <item x="673"/>
        <item x="640"/>
        <item x="851"/>
        <item x="368"/>
        <item x="341"/>
        <item x="926"/>
        <item x="574"/>
        <item x="123"/>
        <item x="170"/>
        <item x="623"/>
        <item x="445"/>
        <item x="94"/>
        <item x="743"/>
        <item x="77"/>
        <item x="513"/>
        <item x="824"/>
        <item x="761"/>
        <item x="426"/>
        <item x="748"/>
        <item x="409"/>
        <item x="502"/>
        <item x="48"/>
        <item x="51"/>
        <item x="161"/>
        <item x="632"/>
        <item x="137"/>
        <item x="427"/>
        <item x="136"/>
        <item x="379"/>
        <item x="450"/>
        <item x="281"/>
        <item x="597"/>
        <item x="429"/>
        <item x="802"/>
        <item x="405"/>
        <item x="607"/>
        <item x="801"/>
        <item x="789"/>
        <item x="61"/>
        <item x="174"/>
        <item x="142"/>
        <item x="14"/>
        <item x="331"/>
        <item x="226"/>
        <item x="343"/>
        <item x="569"/>
        <item x="432"/>
        <item x="392"/>
        <item x="709"/>
        <item x="559"/>
        <item x="184"/>
        <item x="108"/>
        <item x="664"/>
        <item x="408"/>
        <item x="254"/>
        <item x="677"/>
        <item x="800"/>
        <item x="35"/>
        <item x="491"/>
        <item x="344"/>
        <item x="834"/>
        <item x="633"/>
        <item x="30"/>
        <item x="961"/>
        <item x="668"/>
        <item x="6"/>
        <item x="736"/>
        <item x="384"/>
        <item x="691"/>
        <item x="146"/>
        <item x="932"/>
        <item x="889"/>
        <item x="543"/>
        <item x="746"/>
        <item x="816"/>
        <item x="675"/>
        <item x="399"/>
        <item x="981"/>
        <item x="848"/>
        <item x="250"/>
        <item x="176"/>
        <item x="949"/>
        <item x="148"/>
        <item x="10"/>
        <item x="373"/>
        <item x="868"/>
        <item x="755"/>
        <item x="636"/>
        <item x="69"/>
        <item x="785"/>
        <item x="118"/>
        <item x="734"/>
        <item x="163"/>
        <item x="371"/>
        <item x="581"/>
        <item x="731"/>
        <item x="885"/>
        <item x="274"/>
        <item x="676"/>
        <item x="940"/>
        <item x="268"/>
        <item x="765"/>
        <item x="512"/>
        <item x="601"/>
        <item x="853"/>
        <item x="937"/>
        <item x="620"/>
        <item x="200"/>
        <item x="187"/>
        <item x="721"/>
        <item x="470"/>
        <item x="390"/>
        <item x="882"/>
        <item x="499"/>
        <item x="434"/>
        <item x="364"/>
        <item x="403"/>
        <item x="251"/>
        <item x="670"/>
        <item x="261"/>
        <item x="210"/>
        <item x="497"/>
        <item x="263"/>
        <item x="767"/>
        <item x="270"/>
        <item x="222"/>
        <item x="791"/>
        <item x="45"/>
        <item x="768"/>
        <item x="288"/>
        <item x="20"/>
        <item x="719"/>
        <item x="583"/>
        <item x="39"/>
        <item x="551"/>
        <item x="415"/>
        <item x="380"/>
        <item x="454"/>
        <item x="220"/>
        <item x="473"/>
        <item x="503"/>
        <item x="36"/>
        <item x="111"/>
        <item x="555"/>
        <item x="535"/>
        <item x="105"/>
        <item x="463"/>
        <item x="847"/>
        <item x="701"/>
        <item x="524"/>
        <item x="125"/>
        <item x="741"/>
        <item x="846"/>
        <item x="690"/>
        <item x="970"/>
        <item x="370"/>
        <item x="43"/>
        <item x="695"/>
        <item x="669"/>
        <item x="962"/>
        <item x="262"/>
        <item x="485"/>
        <item x="293"/>
        <item x="324"/>
        <item x="895"/>
        <item x="489"/>
        <item x="192"/>
        <item x="181"/>
        <item x="219"/>
        <item x="986"/>
        <item x="260"/>
        <item x="369"/>
        <item x="107"/>
        <item x="24"/>
        <item x="54"/>
        <item x="916"/>
        <item x="488"/>
        <item x="610"/>
        <item x="845"/>
        <item x="484"/>
        <item x="208"/>
        <item x="467"/>
        <item x="347"/>
        <item x="872"/>
        <item x="595"/>
        <item x="75"/>
        <item x="173"/>
        <item x="778"/>
        <item x="861"/>
        <item x="119"/>
        <item x="188"/>
        <item x="468"/>
        <item x="762"/>
        <item x="723"/>
        <item x="588"/>
        <item x="410"/>
        <item x="730"/>
        <item x="586"/>
        <item x="326"/>
        <item x="34"/>
        <item x="115"/>
        <item x="352"/>
        <item x="201"/>
        <item x="458"/>
        <item x="199"/>
        <item x="985"/>
        <item x="53"/>
        <item x="389"/>
        <item x="301"/>
        <item x="645"/>
        <item x="648"/>
        <item x="472"/>
        <item x="720"/>
        <item x="545"/>
        <item x="638"/>
        <item x="561"/>
        <item x="724"/>
        <item x="334"/>
        <item x="461"/>
        <item x="878"/>
        <item x="841"/>
        <item x="990"/>
        <item x="505"/>
        <item x="698"/>
        <item x="166"/>
        <item x="941"/>
        <item x="358"/>
        <item x="754"/>
        <item x="963"/>
        <item x="689"/>
        <item x="117"/>
        <item x="128"/>
        <item x="139"/>
        <item x="784"/>
        <item x="73"/>
        <item x="93"/>
        <item x="758"/>
        <item x="328"/>
        <item x="440"/>
        <item x="575"/>
        <item x="227"/>
        <item x="289"/>
        <item x="825"/>
        <item x="337"/>
        <item x="639"/>
        <item x="679"/>
        <item x="138"/>
        <item x="815"/>
        <item x="534"/>
        <item x="775"/>
        <item x="672"/>
        <item x="391"/>
        <item x="287"/>
        <item x="663"/>
        <item x="693"/>
        <item x="2"/>
        <item x="541"/>
        <item x="465"/>
        <item x="233"/>
        <item x="826"/>
        <item x="950"/>
        <item x="462"/>
        <item x="453"/>
        <item x="50"/>
        <item x="266"/>
        <item x="186"/>
        <item x="322"/>
        <item x="839"/>
        <item x="572"/>
        <item x="466"/>
        <item x="131"/>
        <item x="42"/>
        <item x="215"/>
        <item x="447"/>
        <item x="688"/>
        <item x="770"/>
        <item x="894"/>
        <item x="416"/>
        <item x="320"/>
        <item x="560"/>
        <item x="712"/>
        <item x="901"/>
        <item x="989"/>
        <item x="644"/>
        <item x="699"/>
        <item x="471"/>
        <item x="587"/>
        <item x="787"/>
        <item x="481"/>
        <item x="573"/>
        <item x="750"/>
        <item x="862"/>
        <item x="280"/>
        <item x="786"/>
        <item x="898"/>
        <item x="515"/>
        <item x="642"/>
        <item x="579"/>
        <item x="537"/>
        <item x="374"/>
        <item x="493"/>
        <item x="564"/>
        <item x="849"/>
        <item x="538"/>
        <item x="113"/>
        <item x="896"/>
        <item x="431"/>
        <item x="774"/>
        <item x="557"/>
        <item x="109"/>
        <item x="103"/>
        <item x="590"/>
        <item x="183"/>
        <item x="900"/>
        <item x="206"/>
        <item x="244"/>
        <item x="507"/>
        <item x="523"/>
        <item x="927"/>
        <item x="549"/>
        <item x="840"/>
        <item x="99"/>
        <item x="346"/>
        <item x="52"/>
        <item x="907"/>
        <item x="726"/>
        <item x="881"/>
        <item x="49"/>
        <item x="492"/>
        <item x="55"/>
        <item x="871"/>
        <item x="956"/>
        <item x="622"/>
        <item x="665"/>
        <item x="16"/>
        <item x="357"/>
        <item x="56"/>
        <item x="946"/>
        <item x="975"/>
        <item x="751"/>
        <item x="348"/>
        <item x="922"/>
        <item x="285"/>
        <item x="657"/>
        <item x="63"/>
        <item x="112"/>
        <item x="143"/>
        <item x="78"/>
        <item x="421"/>
        <item x="740"/>
        <item x="843"/>
        <item x="448"/>
        <item x="822"/>
        <item x="806"/>
        <item x="797"/>
        <item x="141"/>
        <item x="879"/>
        <item x="968"/>
        <item x="5"/>
        <item x="960"/>
        <item x="90"/>
        <item x="859"/>
        <item x="393"/>
        <item x="915"/>
        <item x="336"/>
        <item x="821"/>
        <item x="29"/>
        <item x="510"/>
        <item x="309"/>
        <item x="4"/>
        <item x="658"/>
        <item x="742"/>
        <item x="366"/>
        <item x="179"/>
        <item x="779"/>
        <item x="908"/>
        <item x="566"/>
        <item x="880"/>
        <item x="533"/>
        <item x="530"/>
        <item x="149"/>
        <item x="26"/>
        <item x="965"/>
        <item x="738"/>
        <item x="599"/>
        <item x="238"/>
        <item x="474"/>
        <item x="325"/>
        <item x="792"/>
        <item x="106"/>
        <item x="258"/>
        <item x="295"/>
        <item x="798"/>
        <item x="57"/>
        <item x="600"/>
        <item x="694"/>
        <item x="874"/>
        <item x="435"/>
        <item x="857"/>
        <item x="376"/>
        <item x="790"/>
        <item x="464"/>
        <item x="783"/>
        <item x="284"/>
        <item x="869"/>
        <item x="682"/>
        <item x="649"/>
        <item x="475"/>
        <item x="387"/>
        <item x="19"/>
        <item x="9"/>
        <item x="232"/>
        <item x="349"/>
        <item x="150"/>
        <item x="89"/>
        <item x="613"/>
        <item x="964"/>
        <item x="944"/>
        <item x="525"/>
        <item x="837"/>
        <item x="278"/>
        <item x="702"/>
        <item x="733"/>
        <item x="685"/>
        <item x="28"/>
        <item x="228"/>
        <item x="602"/>
        <item x="542"/>
        <item x="23"/>
        <item x="781"/>
        <item x="269"/>
        <item x="38"/>
        <item x="656"/>
        <item x="189"/>
        <item x="769"/>
        <item x="803"/>
        <item x="74"/>
        <item x="350"/>
        <item x="33"/>
        <item x="177"/>
        <item x="704"/>
        <item x="609"/>
        <item x="584"/>
        <item x="680"/>
        <item x="578"/>
        <item x="819"/>
        <item x="593"/>
        <item x="498"/>
        <item x="418"/>
        <item x="83"/>
        <item x="316"/>
        <item x="212"/>
        <item x="500"/>
        <item x="820"/>
        <item x="231"/>
        <item x="182"/>
        <item x="585"/>
        <item x="883"/>
        <item x="614"/>
        <item x="807"/>
        <item x="858"/>
        <item x="11"/>
        <item x="780"/>
        <item x="221"/>
        <item x="979"/>
        <item x="44"/>
        <item x="982"/>
        <item x="160"/>
        <item x="299"/>
        <item x="209"/>
        <item x="327"/>
        <item x="292"/>
        <item x="407"/>
        <item x="395"/>
        <item x="91"/>
        <item x="548"/>
        <item x="945"/>
        <item x="732"/>
        <item x="375"/>
        <item x="154"/>
        <item x="155"/>
        <item x="242"/>
        <item x="243"/>
        <item x="213"/>
        <item x="469"/>
        <item x="520"/>
        <item x="420"/>
        <item x="459"/>
        <item x="398"/>
        <item x="272"/>
        <item x="955"/>
        <item x="914"/>
        <item x="308"/>
        <item x="873"/>
        <item x="870"/>
        <item x="46"/>
        <item x="396"/>
        <item x="0"/>
        <item x="933"/>
        <item x="271"/>
        <item x="297"/>
        <item x="678"/>
        <item x="546"/>
        <item x="687"/>
        <item x="417"/>
        <item x="158"/>
        <item x="931"/>
        <item x="891"/>
        <item x="947"/>
        <item x="850"/>
        <item x="330"/>
        <item x="72"/>
        <item x="169"/>
        <item x="854"/>
        <item x="951"/>
        <item x="624"/>
        <item x="921"/>
        <item x="558"/>
        <item x="381"/>
        <item x="198"/>
        <item x="342"/>
        <item x="616"/>
        <item x="245"/>
        <item x="460"/>
        <item x="79"/>
        <item x="302"/>
        <item x="159"/>
        <item x="332"/>
        <item x="905"/>
        <item x="178"/>
        <item x="745"/>
        <item x="190"/>
        <item x="151"/>
        <item x="477"/>
        <item x="385"/>
        <item x="910"/>
        <item x="92"/>
        <item x="323"/>
        <item x="134"/>
        <item x="205"/>
        <item x="401"/>
        <item x="13"/>
        <item x="382"/>
        <item x="714"/>
        <item x="592"/>
        <item x="890"/>
        <item x="654"/>
        <item x="487"/>
        <item x="705"/>
        <item x="156"/>
        <item x="333"/>
        <item x="64"/>
        <item x="422"/>
        <item x="674"/>
        <item x="838"/>
        <item x="383"/>
        <item x="948"/>
        <item x="655"/>
        <item x="479"/>
        <item x="805"/>
        <item x="275"/>
        <item x="218"/>
        <item x="934"/>
        <item x="753"/>
        <item x="345"/>
        <item x="7"/>
        <item x="544"/>
        <item x="114"/>
        <item x="216"/>
        <item x="305"/>
        <item x="976"/>
        <item x="32"/>
        <item x="936"/>
        <item x="501"/>
        <item x="321"/>
        <item x="165"/>
        <item x="809"/>
        <item x="495"/>
        <item x="830"/>
        <item x="892"/>
        <item x="556"/>
        <item x="88"/>
        <item x="509"/>
        <item x="727"/>
        <item x="312"/>
        <item x="377"/>
        <item x="661"/>
        <item x="844"/>
        <item x="310"/>
        <item x="804"/>
        <item x="224"/>
        <item x="598"/>
        <item x="211"/>
        <item x="795"/>
        <item x="744"/>
        <item x="404"/>
        <item x="518"/>
        <item x="827"/>
        <item x="58"/>
        <item x="864"/>
        <item x="662"/>
        <item x="618"/>
        <item x="86"/>
        <item x="21"/>
        <item x="729"/>
        <item x="929"/>
        <item x="577"/>
        <item x="984"/>
        <item x="667"/>
        <item x="411"/>
        <item x="628"/>
        <item x="865"/>
        <item x="660"/>
        <item x="425"/>
        <item x="240"/>
        <item x="959"/>
        <item x="386"/>
        <item x="608"/>
        <item x="935"/>
        <item x="41"/>
        <item x="735"/>
        <item x="17"/>
        <item x="519"/>
        <item x="367"/>
        <item x="823"/>
        <item x="438"/>
        <item x="162"/>
        <item x="8"/>
        <item x="554"/>
        <item x="540"/>
        <item x="217"/>
        <item x="980"/>
        <item x="725"/>
        <item x="711"/>
        <item x="204"/>
        <item x="562"/>
        <item x="777"/>
        <item x="526"/>
        <item x="716"/>
        <item x="419"/>
        <item x="95"/>
        <item x="130"/>
        <item x="197"/>
        <item x="904"/>
        <item x="402"/>
        <item x="528"/>
        <item x="437"/>
        <item x="102"/>
        <item x="449"/>
        <item x="563"/>
        <item x="248"/>
        <item x="276"/>
        <item x="836"/>
        <item x="229"/>
        <item x="899"/>
        <item x="856"/>
        <item x="257"/>
        <item x="144"/>
        <item x="522"/>
        <item x="684"/>
        <item x="902"/>
        <item x="406"/>
        <item x="444"/>
        <item x="164"/>
        <item x="749"/>
        <item x="625"/>
        <item x="363"/>
        <item x="167"/>
        <item x="413"/>
        <item x="605"/>
        <item x="496"/>
        <item x="760"/>
        <item x="651"/>
        <item x="329"/>
        <item x="116"/>
        <item x="521"/>
        <item x="603"/>
        <item x="529"/>
        <item x="135"/>
        <item x="938"/>
        <item x="195"/>
        <item x="539"/>
        <item x="71"/>
        <item x="604"/>
        <item x="300"/>
        <item x="100"/>
        <item x="627"/>
        <item x="917"/>
        <item x="457"/>
        <item x="766"/>
        <item x="967"/>
        <item x="580"/>
        <item x="31"/>
        <item x="76"/>
        <item x="439"/>
        <item x="939"/>
        <item x="596"/>
        <item x="630"/>
        <item x="708"/>
        <item x="490"/>
        <item x="829"/>
        <item x="436"/>
        <item x="930"/>
        <item x="531"/>
        <item x="568"/>
        <item x="686"/>
        <item x="715"/>
        <item x="104"/>
        <item x="191"/>
        <item x="18"/>
        <item x="553"/>
        <item x="110"/>
        <item x="925"/>
        <item x="919"/>
        <item x="1"/>
        <item x="180"/>
        <item x="81"/>
        <item x="241"/>
        <item x="101"/>
        <item x="67"/>
        <item x="511"/>
        <item x="339"/>
        <item x="516"/>
        <item x="203"/>
        <item x="550"/>
        <item x="147"/>
        <item x="737"/>
        <item x="887"/>
        <item x="653"/>
        <item x="527"/>
        <item x="273"/>
        <item x="818"/>
        <item x="903"/>
        <item x="253"/>
        <item x="207"/>
        <item x="318"/>
        <item x="171"/>
        <item x="594"/>
        <item x="15"/>
        <item x="875"/>
        <item x="70"/>
        <item x="893"/>
        <item x="194"/>
        <item x="247"/>
        <item x="918"/>
        <item x="671"/>
        <item x="647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numFmtId="9" showAll="0"/>
  </pivotFields>
  <rowFields count="1">
    <field x="1"/>
  </rowFields>
  <rowItems count="11">
    <i>
      <x v="53"/>
    </i>
    <i>
      <x v="108"/>
    </i>
    <i>
      <x v="333"/>
    </i>
    <i>
      <x v="408"/>
    </i>
    <i>
      <x v="472"/>
    </i>
    <i>
      <x v="576"/>
    </i>
    <i>
      <x v="721"/>
    </i>
    <i>
      <x v="825"/>
    </i>
    <i>
      <x v="836"/>
    </i>
    <i>
      <x v="923"/>
    </i>
    <i t="grand">
      <x/>
    </i>
  </rowItems>
  <colItems count="1">
    <i/>
  </colItems>
  <dataFields count="1">
    <dataField name="Average of Years of experience" fld="7" subtotal="average" baseField="1" baseItem="0"/>
  </dataFields>
  <chartFormats count="1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Dark21" showRowHeaders="1" showColHeaders="1" showRowStripes="0" showColStripes="0" showLastColumn="1"/>
  <filters count="1">
    <filter fld="1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3F12BC4-675D-4779-80C3-595F73128816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 rowHeaderCaption="Name">
  <location ref="A77:B695" firstHeaderRow="1" firstDataRow="1" firstDataCol="1"/>
  <pivotFields count="12">
    <pivotField showAll="0"/>
    <pivotField axis="axisRow" showAll="0" measureFilter="1">
      <items count="993">
        <item x="866"/>
        <item x="757"/>
        <item x="338"/>
        <item x="494"/>
        <item x="771"/>
        <item x="831"/>
        <item x="452"/>
        <item x="202"/>
        <item x="811"/>
        <item x="969"/>
        <item x="808"/>
        <item x="987"/>
        <item x="282"/>
        <item x="710"/>
        <item x="296"/>
        <item x="353"/>
        <item x="129"/>
        <item x="817"/>
        <item x="923"/>
        <item x="813"/>
        <item x="27"/>
        <item x="12"/>
        <item x="634"/>
        <item x="315"/>
        <item x="876"/>
        <item x="412"/>
        <item x="423"/>
        <item x="120"/>
        <item x="486"/>
        <item x="796"/>
        <item x="446"/>
        <item x="175"/>
        <item x="763"/>
        <item x="351"/>
        <item x="666"/>
        <item x="799"/>
        <item x="3"/>
        <item x="567"/>
        <item x="772"/>
        <item x="912"/>
        <item x="37"/>
        <item x="294"/>
        <item x="911"/>
        <item x="249"/>
        <item x="441"/>
        <item x="82"/>
        <item x="635"/>
        <item x="124"/>
        <item x="897"/>
        <item x="98"/>
        <item x="246"/>
        <item x="646"/>
        <item x="442"/>
        <item x="626"/>
        <item x="314"/>
        <item x="362"/>
        <item x="659"/>
        <item x="706"/>
        <item x="40"/>
        <item x="913"/>
        <item x="283"/>
        <item x="234"/>
        <item x="842"/>
        <item x="25"/>
        <item x="153"/>
        <item x="764"/>
        <item x="928"/>
        <item x="378"/>
        <item x="773"/>
        <item x="433"/>
        <item x="506"/>
        <item x="277"/>
        <item x="888"/>
        <item x="394"/>
        <item x="747"/>
        <item x="168"/>
        <item x="252"/>
        <item x="924"/>
        <item x="571"/>
        <item x="483"/>
        <item x="718"/>
        <item x="570"/>
        <item x="361"/>
        <item x="145"/>
        <item x="66"/>
        <item x="615"/>
        <item x="641"/>
        <item x="508"/>
        <item x="304"/>
        <item x="884"/>
        <item x="84"/>
        <item x="126"/>
        <item x="430"/>
        <item x="59"/>
        <item x="267"/>
        <item x="650"/>
        <item x="696"/>
        <item x="298"/>
        <item x="877"/>
        <item x="794"/>
        <item x="96"/>
        <item x="852"/>
        <item x="972"/>
        <item x="480"/>
        <item x="360"/>
        <item x="717"/>
        <item x="942"/>
        <item x="424"/>
        <item x="977"/>
        <item x="193"/>
        <item x="185"/>
        <item x="752"/>
        <item x="643"/>
        <item x="365"/>
        <item x="311"/>
        <item x="235"/>
        <item x="85"/>
        <item x="954"/>
        <item x="255"/>
        <item x="814"/>
        <item x="400"/>
        <item x="828"/>
        <item x="355"/>
        <item x="264"/>
        <item x="196"/>
        <item x="810"/>
        <item x="87"/>
        <item x="606"/>
        <item x="589"/>
        <item x="80"/>
        <item x="909"/>
        <item x="782"/>
        <item x="335"/>
        <item x="759"/>
        <item x="863"/>
        <item x="259"/>
        <item x="121"/>
        <item x="286"/>
        <item x="739"/>
        <item x="536"/>
        <item x="692"/>
        <item x="172"/>
        <item x="906"/>
        <item x="256"/>
        <item x="617"/>
        <item x="860"/>
        <item x="943"/>
        <item x="547"/>
        <item x="953"/>
        <item x="532"/>
        <item x="290"/>
        <item x="22"/>
        <item x="971"/>
        <item x="140"/>
        <item x="582"/>
        <item x="354"/>
        <item x="983"/>
        <item x="47"/>
        <item x="372"/>
        <item x="225"/>
        <item x="476"/>
        <item x="988"/>
        <item x="230"/>
        <item x="307"/>
        <item x="629"/>
        <item x="157"/>
        <item x="517"/>
        <item x="356"/>
        <item x="707"/>
        <item x="722"/>
        <item x="291"/>
        <item x="62"/>
        <item x="388"/>
        <item x="359"/>
        <item x="239"/>
        <item x="788"/>
        <item x="855"/>
        <item x="132"/>
        <item x="728"/>
        <item x="428"/>
        <item x="122"/>
        <item x="319"/>
        <item x="576"/>
        <item x="756"/>
        <item x="133"/>
        <item x="152"/>
        <item x="974"/>
        <item x="340"/>
        <item x="127"/>
        <item x="303"/>
        <item x="504"/>
        <item x="681"/>
        <item x="482"/>
        <item x="68"/>
        <item x="867"/>
        <item x="60"/>
        <item x="619"/>
        <item x="478"/>
        <item x="966"/>
        <item x="65"/>
        <item x="812"/>
        <item x="451"/>
        <item x="652"/>
        <item x="776"/>
        <item x="313"/>
        <item x="265"/>
        <item x="833"/>
        <item x="793"/>
        <item x="611"/>
        <item x="237"/>
        <item x="397"/>
        <item x="952"/>
        <item x="236"/>
        <item x="697"/>
        <item x="591"/>
        <item x="920"/>
        <item x="612"/>
        <item x="832"/>
        <item x="443"/>
        <item x="978"/>
        <item x="514"/>
        <item x="455"/>
        <item x="700"/>
        <item x="317"/>
        <item x="683"/>
        <item x="214"/>
        <item x="223"/>
        <item x="886"/>
        <item x="621"/>
        <item x="835"/>
        <item x="713"/>
        <item x="306"/>
        <item x="973"/>
        <item x="703"/>
        <item x="958"/>
        <item x="631"/>
        <item x="414"/>
        <item x="97"/>
        <item x="957"/>
        <item x="279"/>
        <item x="456"/>
        <item x="552"/>
        <item x="637"/>
        <item x="991"/>
        <item x="565"/>
        <item x="673"/>
        <item x="640"/>
        <item x="851"/>
        <item x="368"/>
        <item x="341"/>
        <item x="926"/>
        <item x="574"/>
        <item x="123"/>
        <item x="170"/>
        <item x="623"/>
        <item x="445"/>
        <item x="94"/>
        <item x="743"/>
        <item x="77"/>
        <item x="513"/>
        <item x="824"/>
        <item x="761"/>
        <item x="426"/>
        <item x="748"/>
        <item x="409"/>
        <item x="502"/>
        <item x="48"/>
        <item x="51"/>
        <item x="161"/>
        <item x="632"/>
        <item x="137"/>
        <item x="427"/>
        <item x="136"/>
        <item x="379"/>
        <item x="450"/>
        <item x="281"/>
        <item x="597"/>
        <item x="429"/>
        <item x="802"/>
        <item x="405"/>
        <item x="607"/>
        <item x="801"/>
        <item x="789"/>
        <item x="61"/>
        <item x="174"/>
        <item x="142"/>
        <item x="14"/>
        <item x="331"/>
        <item x="226"/>
        <item x="343"/>
        <item x="569"/>
        <item x="432"/>
        <item x="392"/>
        <item x="709"/>
        <item x="559"/>
        <item x="184"/>
        <item x="108"/>
        <item x="664"/>
        <item x="408"/>
        <item x="254"/>
        <item x="677"/>
        <item x="800"/>
        <item x="35"/>
        <item x="491"/>
        <item x="344"/>
        <item x="834"/>
        <item x="633"/>
        <item x="30"/>
        <item x="961"/>
        <item x="668"/>
        <item x="6"/>
        <item x="736"/>
        <item x="384"/>
        <item x="691"/>
        <item x="146"/>
        <item x="932"/>
        <item x="889"/>
        <item x="543"/>
        <item x="746"/>
        <item x="816"/>
        <item x="675"/>
        <item x="399"/>
        <item x="981"/>
        <item x="848"/>
        <item x="250"/>
        <item x="176"/>
        <item x="949"/>
        <item x="148"/>
        <item x="10"/>
        <item x="373"/>
        <item x="868"/>
        <item x="755"/>
        <item x="636"/>
        <item x="69"/>
        <item x="785"/>
        <item x="118"/>
        <item x="734"/>
        <item x="163"/>
        <item x="371"/>
        <item x="581"/>
        <item x="731"/>
        <item x="885"/>
        <item x="274"/>
        <item x="676"/>
        <item x="940"/>
        <item x="268"/>
        <item x="765"/>
        <item x="512"/>
        <item x="601"/>
        <item x="853"/>
        <item x="937"/>
        <item x="620"/>
        <item x="200"/>
        <item x="187"/>
        <item x="721"/>
        <item x="470"/>
        <item x="390"/>
        <item x="882"/>
        <item x="499"/>
        <item x="434"/>
        <item x="364"/>
        <item x="403"/>
        <item x="251"/>
        <item x="670"/>
        <item x="261"/>
        <item x="210"/>
        <item x="497"/>
        <item x="263"/>
        <item x="767"/>
        <item x="270"/>
        <item x="222"/>
        <item x="791"/>
        <item x="45"/>
        <item x="768"/>
        <item x="288"/>
        <item x="20"/>
        <item x="719"/>
        <item x="583"/>
        <item x="39"/>
        <item x="551"/>
        <item x="415"/>
        <item x="380"/>
        <item x="454"/>
        <item x="220"/>
        <item x="473"/>
        <item x="503"/>
        <item x="36"/>
        <item x="111"/>
        <item x="555"/>
        <item x="535"/>
        <item x="105"/>
        <item x="463"/>
        <item x="847"/>
        <item x="701"/>
        <item x="524"/>
        <item x="125"/>
        <item x="741"/>
        <item x="846"/>
        <item x="690"/>
        <item x="970"/>
        <item x="370"/>
        <item x="43"/>
        <item x="695"/>
        <item x="669"/>
        <item x="962"/>
        <item x="262"/>
        <item x="485"/>
        <item x="293"/>
        <item x="324"/>
        <item x="895"/>
        <item x="489"/>
        <item x="192"/>
        <item x="181"/>
        <item x="219"/>
        <item x="986"/>
        <item x="260"/>
        <item x="369"/>
        <item x="107"/>
        <item x="24"/>
        <item x="54"/>
        <item x="916"/>
        <item x="488"/>
        <item x="610"/>
        <item x="845"/>
        <item x="484"/>
        <item x="208"/>
        <item x="467"/>
        <item x="347"/>
        <item x="872"/>
        <item x="595"/>
        <item x="75"/>
        <item x="173"/>
        <item x="778"/>
        <item x="861"/>
        <item x="119"/>
        <item x="188"/>
        <item x="468"/>
        <item x="762"/>
        <item x="723"/>
        <item x="588"/>
        <item x="410"/>
        <item x="730"/>
        <item x="586"/>
        <item x="326"/>
        <item x="34"/>
        <item x="115"/>
        <item x="352"/>
        <item x="201"/>
        <item x="458"/>
        <item x="199"/>
        <item x="985"/>
        <item x="53"/>
        <item x="389"/>
        <item x="301"/>
        <item x="645"/>
        <item x="648"/>
        <item x="472"/>
        <item x="720"/>
        <item x="545"/>
        <item x="638"/>
        <item x="561"/>
        <item x="724"/>
        <item x="334"/>
        <item x="461"/>
        <item x="878"/>
        <item x="841"/>
        <item x="990"/>
        <item x="505"/>
        <item x="698"/>
        <item x="166"/>
        <item x="941"/>
        <item x="358"/>
        <item x="754"/>
        <item x="963"/>
        <item x="689"/>
        <item x="117"/>
        <item x="128"/>
        <item x="139"/>
        <item x="784"/>
        <item x="73"/>
        <item x="93"/>
        <item x="758"/>
        <item x="328"/>
        <item x="440"/>
        <item x="575"/>
        <item x="227"/>
        <item x="289"/>
        <item x="825"/>
        <item x="337"/>
        <item x="639"/>
        <item x="679"/>
        <item x="138"/>
        <item x="815"/>
        <item x="534"/>
        <item x="775"/>
        <item x="672"/>
        <item x="391"/>
        <item x="287"/>
        <item x="663"/>
        <item x="693"/>
        <item x="2"/>
        <item x="541"/>
        <item x="465"/>
        <item x="233"/>
        <item x="826"/>
        <item x="950"/>
        <item x="462"/>
        <item x="453"/>
        <item x="50"/>
        <item x="266"/>
        <item x="186"/>
        <item x="322"/>
        <item x="839"/>
        <item x="572"/>
        <item x="466"/>
        <item x="131"/>
        <item x="42"/>
        <item x="215"/>
        <item x="447"/>
        <item x="688"/>
        <item x="770"/>
        <item x="894"/>
        <item x="416"/>
        <item x="320"/>
        <item x="560"/>
        <item x="712"/>
        <item x="901"/>
        <item x="989"/>
        <item x="644"/>
        <item x="699"/>
        <item x="471"/>
        <item x="587"/>
        <item x="787"/>
        <item x="481"/>
        <item x="573"/>
        <item x="750"/>
        <item x="862"/>
        <item x="280"/>
        <item x="786"/>
        <item x="898"/>
        <item x="515"/>
        <item x="642"/>
        <item x="579"/>
        <item x="537"/>
        <item x="374"/>
        <item x="493"/>
        <item x="564"/>
        <item x="849"/>
        <item x="538"/>
        <item x="113"/>
        <item x="896"/>
        <item x="431"/>
        <item x="774"/>
        <item x="557"/>
        <item x="109"/>
        <item x="103"/>
        <item x="590"/>
        <item x="183"/>
        <item x="900"/>
        <item x="206"/>
        <item x="244"/>
        <item x="507"/>
        <item x="523"/>
        <item x="927"/>
        <item x="549"/>
        <item x="840"/>
        <item x="99"/>
        <item x="346"/>
        <item x="52"/>
        <item x="907"/>
        <item x="726"/>
        <item x="881"/>
        <item x="49"/>
        <item x="492"/>
        <item x="55"/>
        <item x="871"/>
        <item x="956"/>
        <item x="622"/>
        <item x="665"/>
        <item x="16"/>
        <item x="357"/>
        <item x="56"/>
        <item x="946"/>
        <item x="975"/>
        <item x="751"/>
        <item x="348"/>
        <item x="922"/>
        <item x="285"/>
        <item x="657"/>
        <item x="63"/>
        <item x="112"/>
        <item x="143"/>
        <item x="78"/>
        <item x="421"/>
        <item x="740"/>
        <item x="843"/>
        <item x="448"/>
        <item x="822"/>
        <item x="806"/>
        <item x="797"/>
        <item x="141"/>
        <item x="879"/>
        <item x="968"/>
        <item x="5"/>
        <item x="960"/>
        <item x="90"/>
        <item x="859"/>
        <item x="393"/>
        <item x="915"/>
        <item x="336"/>
        <item x="821"/>
        <item x="29"/>
        <item x="510"/>
        <item x="309"/>
        <item x="4"/>
        <item x="658"/>
        <item x="742"/>
        <item x="366"/>
        <item x="179"/>
        <item x="779"/>
        <item x="908"/>
        <item x="566"/>
        <item x="880"/>
        <item x="533"/>
        <item x="530"/>
        <item x="149"/>
        <item x="26"/>
        <item x="965"/>
        <item x="738"/>
        <item x="599"/>
        <item x="238"/>
        <item x="474"/>
        <item x="325"/>
        <item x="792"/>
        <item x="106"/>
        <item x="258"/>
        <item x="295"/>
        <item x="798"/>
        <item x="57"/>
        <item x="600"/>
        <item x="694"/>
        <item x="874"/>
        <item x="435"/>
        <item x="857"/>
        <item x="376"/>
        <item x="790"/>
        <item x="464"/>
        <item x="783"/>
        <item x="284"/>
        <item x="869"/>
        <item x="682"/>
        <item x="649"/>
        <item x="475"/>
        <item x="387"/>
        <item x="19"/>
        <item x="9"/>
        <item x="232"/>
        <item x="349"/>
        <item x="150"/>
        <item x="89"/>
        <item x="613"/>
        <item x="964"/>
        <item x="944"/>
        <item x="525"/>
        <item x="837"/>
        <item x="278"/>
        <item x="702"/>
        <item x="733"/>
        <item x="685"/>
        <item x="28"/>
        <item x="228"/>
        <item x="602"/>
        <item x="542"/>
        <item x="23"/>
        <item x="781"/>
        <item x="269"/>
        <item x="38"/>
        <item x="656"/>
        <item x="189"/>
        <item x="769"/>
        <item x="803"/>
        <item x="74"/>
        <item x="350"/>
        <item x="33"/>
        <item x="177"/>
        <item x="704"/>
        <item x="609"/>
        <item x="584"/>
        <item x="680"/>
        <item x="578"/>
        <item x="819"/>
        <item x="593"/>
        <item x="498"/>
        <item x="418"/>
        <item x="83"/>
        <item x="316"/>
        <item x="212"/>
        <item x="500"/>
        <item x="820"/>
        <item x="231"/>
        <item x="182"/>
        <item x="585"/>
        <item x="883"/>
        <item x="614"/>
        <item x="807"/>
        <item x="858"/>
        <item x="11"/>
        <item x="780"/>
        <item x="221"/>
        <item x="979"/>
        <item x="44"/>
        <item x="982"/>
        <item x="160"/>
        <item x="299"/>
        <item x="209"/>
        <item x="327"/>
        <item x="292"/>
        <item x="407"/>
        <item x="395"/>
        <item x="91"/>
        <item x="548"/>
        <item x="945"/>
        <item x="732"/>
        <item x="375"/>
        <item x="154"/>
        <item x="155"/>
        <item x="242"/>
        <item x="243"/>
        <item x="213"/>
        <item x="469"/>
        <item x="520"/>
        <item x="420"/>
        <item x="459"/>
        <item x="398"/>
        <item x="272"/>
        <item x="955"/>
        <item x="914"/>
        <item x="308"/>
        <item x="873"/>
        <item x="870"/>
        <item x="46"/>
        <item x="396"/>
        <item x="0"/>
        <item x="933"/>
        <item x="271"/>
        <item x="297"/>
        <item x="678"/>
        <item x="546"/>
        <item x="687"/>
        <item x="417"/>
        <item x="158"/>
        <item x="931"/>
        <item x="891"/>
        <item x="947"/>
        <item x="850"/>
        <item x="330"/>
        <item x="72"/>
        <item x="169"/>
        <item x="854"/>
        <item x="951"/>
        <item x="624"/>
        <item x="921"/>
        <item x="558"/>
        <item x="381"/>
        <item x="198"/>
        <item x="342"/>
        <item x="616"/>
        <item x="245"/>
        <item x="460"/>
        <item x="79"/>
        <item x="302"/>
        <item x="159"/>
        <item x="332"/>
        <item x="905"/>
        <item x="178"/>
        <item x="745"/>
        <item x="190"/>
        <item x="151"/>
        <item x="477"/>
        <item x="385"/>
        <item x="910"/>
        <item x="92"/>
        <item x="323"/>
        <item x="134"/>
        <item x="205"/>
        <item x="401"/>
        <item x="13"/>
        <item x="382"/>
        <item x="714"/>
        <item x="592"/>
        <item x="890"/>
        <item x="654"/>
        <item x="487"/>
        <item x="705"/>
        <item x="156"/>
        <item x="333"/>
        <item x="64"/>
        <item x="422"/>
        <item x="674"/>
        <item x="838"/>
        <item x="383"/>
        <item x="948"/>
        <item x="655"/>
        <item x="479"/>
        <item x="805"/>
        <item x="275"/>
        <item x="218"/>
        <item x="934"/>
        <item x="753"/>
        <item x="345"/>
        <item x="7"/>
        <item x="544"/>
        <item x="114"/>
        <item x="216"/>
        <item x="305"/>
        <item x="976"/>
        <item x="32"/>
        <item x="936"/>
        <item x="501"/>
        <item x="321"/>
        <item x="165"/>
        <item x="809"/>
        <item x="495"/>
        <item x="830"/>
        <item x="892"/>
        <item x="556"/>
        <item x="88"/>
        <item x="509"/>
        <item x="727"/>
        <item x="312"/>
        <item x="377"/>
        <item x="661"/>
        <item x="844"/>
        <item x="310"/>
        <item x="804"/>
        <item x="224"/>
        <item x="598"/>
        <item x="211"/>
        <item x="795"/>
        <item x="744"/>
        <item x="404"/>
        <item x="518"/>
        <item x="827"/>
        <item x="58"/>
        <item x="864"/>
        <item x="662"/>
        <item x="618"/>
        <item x="86"/>
        <item x="21"/>
        <item x="729"/>
        <item x="929"/>
        <item x="577"/>
        <item x="984"/>
        <item x="667"/>
        <item x="411"/>
        <item x="628"/>
        <item x="865"/>
        <item x="660"/>
        <item x="425"/>
        <item x="240"/>
        <item x="959"/>
        <item x="386"/>
        <item x="608"/>
        <item x="935"/>
        <item x="41"/>
        <item x="735"/>
        <item x="17"/>
        <item x="519"/>
        <item x="367"/>
        <item x="823"/>
        <item x="438"/>
        <item x="162"/>
        <item x="8"/>
        <item x="554"/>
        <item x="540"/>
        <item x="217"/>
        <item x="980"/>
        <item x="725"/>
        <item x="711"/>
        <item x="204"/>
        <item x="562"/>
        <item x="777"/>
        <item x="526"/>
        <item x="716"/>
        <item x="419"/>
        <item x="95"/>
        <item x="130"/>
        <item x="197"/>
        <item x="904"/>
        <item x="402"/>
        <item x="528"/>
        <item x="437"/>
        <item x="102"/>
        <item x="449"/>
        <item x="563"/>
        <item x="248"/>
        <item x="276"/>
        <item x="836"/>
        <item x="229"/>
        <item x="899"/>
        <item x="856"/>
        <item x="257"/>
        <item x="144"/>
        <item x="522"/>
        <item x="684"/>
        <item x="902"/>
        <item x="406"/>
        <item x="444"/>
        <item x="164"/>
        <item x="749"/>
        <item x="625"/>
        <item x="363"/>
        <item x="167"/>
        <item x="413"/>
        <item x="605"/>
        <item x="496"/>
        <item x="760"/>
        <item x="651"/>
        <item x="329"/>
        <item x="116"/>
        <item x="521"/>
        <item x="603"/>
        <item x="529"/>
        <item x="135"/>
        <item x="938"/>
        <item x="195"/>
        <item x="539"/>
        <item x="71"/>
        <item x="604"/>
        <item x="300"/>
        <item x="100"/>
        <item x="627"/>
        <item x="917"/>
        <item x="457"/>
        <item x="766"/>
        <item x="967"/>
        <item x="580"/>
        <item x="31"/>
        <item x="76"/>
        <item x="439"/>
        <item x="939"/>
        <item x="596"/>
        <item x="630"/>
        <item x="708"/>
        <item x="490"/>
        <item x="829"/>
        <item x="436"/>
        <item x="930"/>
        <item x="531"/>
        <item x="568"/>
        <item x="686"/>
        <item x="715"/>
        <item x="104"/>
        <item x="191"/>
        <item x="18"/>
        <item x="553"/>
        <item x="110"/>
        <item x="925"/>
        <item x="919"/>
        <item x="1"/>
        <item x="180"/>
        <item x="81"/>
        <item x="241"/>
        <item x="101"/>
        <item x="67"/>
        <item x="511"/>
        <item x="339"/>
        <item x="516"/>
        <item x="203"/>
        <item x="550"/>
        <item x="147"/>
        <item x="737"/>
        <item x="887"/>
        <item x="653"/>
        <item x="527"/>
        <item x="273"/>
        <item x="818"/>
        <item x="903"/>
        <item x="253"/>
        <item x="207"/>
        <item x="318"/>
        <item x="171"/>
        <item x="594"/>
        <item x="15"/>
        <item x="875"/>
        <item x="70"/>
        <item x="893"/>
        <item x="194"/>
        <item x="247"/>
        <item x="918"/>
        <item x="671"/>
        <item x="647"/>
        <item t="default"/>
      </items>
    </pivotField>
    <pivotField showAll="0"/>
    <pivotField showAll="0"/>
    <pivotField showAll="0"/>
    <pivotField showAll="0"/>
    <pivotField showAll="0">
      <items count="11">
        <item x="4"/>
        <item x="0"/>
        <item x="7"/>
        <item x="5"/>
        <item x="8"/>
        <item x="2"/>
        <item x="9"/>
        <item x="1"/>
        <item x="6"/>
        <item x="3"/>
        <item t="default"/>
      </items>
    </pivotField>
    <pivotField showAll="0"/>
    <pivotField showAll="0"/>
    <pivotField showAll="0"/>
    <pivotField dataField="1" showAll="0"/>
    <pivotField numFmtId="9" showAll="0"/>
  </pivotFields>
  <rowFields count="1">
    <field x="1"/>
  </rowFields>
  <rowItems count="618">
    <i>
      <x/>
    </i>
    <i>
      <x v="1"/>
    </i>
    <i>
      <x v="10"/>
    </i>
    <i>
      <x v="11"/>
    </i>
    <i>
      <x v="13"/>
    </i>
    <i>
      <x v="14"/>
    </i>
    <i>
      <x v="15"/>
    </i>
    <i>
      <x v="16"/>
    </i>
    <i>
      <x v="19"/>
    </i>
    <i>
      <x v="20"/>
    </i>
    <i>
      <x v="22"/>
    </i>
    <i>
      <x v="24"/>
    </i>
    <i>
      <x v="25"/>
    </i>
    <i>
      <x v="26"/>
    </i>
    <i>
      <x v="27"/>
    </i>
    <i>
      <x v="28"/>
    </i>
    <i>
      <x v="30"/>
    </i>
    <i>
      <x v="34"/>
    </i>
    <i>
      <x v="35"/>
    </i>
    <i>
      <x v="37"/>
    </i>
    <i>
      <x v="38"/>
    </i>
    <i>
      <x v="39"/>
    </i>
    <i>
      <x v="49"/>
    </i>
    <i>
      <x v="52"/>
    </i>
    <i>
      <x v="53"/>
    </i>
    <i>
      <x v="54"/>
    </i>
    <i>
      <x v="55"/>
    </i>
    <i>
      <x v="56"/>
    </i>
    <i>
      <x v="58"/>
    </i>
    <i>
      <x v="59"/>
    </i>
    <i>
      <x v="61"/>
    </i>
    <i>
      <x v="63"/>
    </i>
    <i>
      <x v="64"/>
    </i>
    <i>
      <x v="65"/>
    </i>
    <i>
      <x v="66"/>
    </i>
    <i>
      <x v="68"/>
    </i>
    <i>
      <x v="69"/>
    </i>
    <i>
      <x v="73"/>
    </i>
    <i>
      <x v="74"/>
    </i>
    <i>
      <x v="75"/>
    </i>
    <i>
      <x v="78"/>
    </i>
    <i>
      <x v="80"/>
    </i>
    <i>
      <x v="81"/>
    </i>
    <i>
      <x v="85"/>
    </i>
    <i>
      <x v="86"/>
    </i>
    <i>
      <x v="89"/>
    </i>
    <i>
      <x v="90"/>
    </i>
    <i>
      <x v="91"/>
    </i>
    <i>
      <x v="92"/>
    </i>
    <i>
      <x v="94"/>
    </i>
    <i>
      <x v="95"/>
    </i>
    <i>
      <x v="96"/>
    </i>
    <i>
      <x v="98"/>
    </i>
    <i>
      <x v="102"/>
    </i>
    <i>
      <x v="103"/>
    </i>
    <i>
      <x v="104"/>
    </i>
    <i>
      <x v="105"/>
    </i>
    <i>
      <x v="107"/>
    </i>
    <i>
      <x v="108"/>
    </i>
    <i>
      <x v="109"/>
    </i>
    <i>
      <x v="110"/>
    </i>
    <i>
      <x v="112"/>
    </i>
    <i>
      <x v="113"/>
    </i>
    <i>
      <x v="114"/>
    </i>
    <i>
      <x v="115"/>
    </i>
    <i>
      <x v="116"/>
    </i>
    <i>
      <x v="118"/>
    </i>
    <i>
      <x v="123"/>
    </i>
    <i>
      <x v="124"/>
    </i>
    <i>
      <x v="125"/>
    </i>
    <i>
      <x v="128"/>
    </i>
    <i>
      <x v="131"/>
    </i>
    <i>
      <x v="135"/>
    </i>
    <i>
      <x v="137"/>
    </i>
    <i>
      <x v="138"/>
    </i>
    <i>
      <x v="139"/>
    </i>
    <i>
      <x v="141"/>
    </i>
    <i>
      <x v="142"/>
    </i>
    <i>
      <x v="144"/>
    </i>
    <i>
      <x v="145"/>
    </i>
    <i>
      <x v="146"/>
    </i>
    <i>
      <x v="148"/>
    </i>
    <i>
      <x v="150"/>
    </i>
    <i>
      <x v="152"/>
    </i>
    <i>
      <x v="153"/>
    </i>
    <i>
      <x v="154"/>
    </i>
    <i>
      <x v="155"/>
    </i>
    <i>
      <x v="158"/>
    </i>
    <i>
      <x v="160"/>
    </i>
    <i>
      <x v="162"/>
    </i>
    <i>
      <x v="163"/>
    </i>
    <i>
      <x v="164"/>
    </i>
    <i>
      <x v="168"/>
    </i>
    <i>
      <x v="169"/>
    </i>
    <i>
      <x v="170"/>
    </i>
    <i>
      <x v="171"/>
    </i>
    <i>
      <x v="174"/>
    </i>
    <i>
      <x v="175"/>
    </i>
    <i>
      <x v="180"/>
    </i>
    <i>
      <x v="181"/>
    </i>
    <i>
      <x v="183"/>
    </i>
    <i>
      <x v="184"/>
    </i>
    <i>
      <x v="185"/>
    </i>
    <i>
      <x v="186"/>
    </i>
    <i>
      <x v="187"/>
    </i>
    <i>
      <x v="191"/>
    </i>
    <i>
      <x v="194"/>
    </i>
    <i>
      <x v="195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10"/>
    </i>
    <i>
      <x v="211"/>
    </i>
    <i>
      <x v="213"/>
    </i>
    <i>
      <x v="214"/>
    </i>
    <i>
      <x v="215"/>
    </i>
    <i>
      <x v="216"/>
    </i>
    <i>
      <x v="218"/>
    </i>
    <i>
      <x v="219"/>
    </i>
    <i>
      <x v="220"/>
    </i>
    <i>
      <x v="222"/>
    </i>
    <i>
      <x v="223"/>
    </i>
    <i>
      <x v="225"/>
    </i>
    <i>
      <x v="227"/>
    </i>
    <i>
      <x v="228"/>
    </i>
    <i>
      <x v="229"/>
    </i>
    <i>
      <x v="230"/>
    </i>
    <i>
      <x v="231"/>
    </i>
    <i>
      <x v="233"/>
    </i>
    <i>
      <x v="235"/>
    </i>
    <i>
      <x v="236"/>
    </i>
    <i>
      <x v="238"/>
    </i>
    <i>
      <x v="240"/>
    </i>
    <i>
      <x v="241"/>
    </i>
    <i>
      <x v="243"/>
    </i>
    <i>
      <x v="244"/>
    </i>
    <i>
      <x v="250"/>
    </i>
    <i>
      <x v="252"/>
    </i>
    <i>
      <x v="254"/>
    </i>
    <i>
      <x v="259"/>
    </i>
    <i>
      <x v="260"/>
    </i>
    <i>
      <x v="262"/>
    </i>
    <i>
      <x v="263"/>
    </i>
    <i>
      <x v="264"/>
    </i>
    <i>
      <x v="268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4"/>
    </i>
    <i>
      <x v="285"/>
    </i>
    <i>
      <x v="286"/>
    </i>
    <i>
      <x v="288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9"/>
    </i>
    <i>
      <x v="300"/>
    </i>
    <i>
      <x v="301"/>
    </i>
    <i>
      <x v="303"/>
    </i>
    <i>
      <x v="305"/>
    </i>
    <i>
      <x v="307"/>
    </i>
    <i>
      <x v="309"/>
    </i>
    <i>
      <x v="311"/>
    </i>
    <i>
      <x v="314"/>
    </i>
    <i>
      <x v="315"/>
    </i>
    <i>
      <x v="317"/>
    </i>
    <i>
      <x v="318"/>
    </i>
    <i>
      <x v="319"/>
    </i>
    <i>
      <x v="323"/>
    </i>
    <i>
      <x v="325"/>
    </i>
    <i>
      <x v="326"/>
    </i>
    <i>
      <x v="328"/>
    </i>
    <i>
      <x v="329"/>
    </i>
    <i>
      <x v="330"/>
    </i>
    <i>
      <x v="331"/>
    </i>
    <i>
      <x v="333"/>
    </i>
    <i>
      <x v="336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8"/>
    </i>
    <i>
      <x v="359"/>
    </i>
    <i>
      <x v="361"/>
    </i>
    <i>
      <x v="362"/>
    </i>
    <i>
      <x v="363"/>
    </i>
    <i>
      <x v="365"/>
    </i>
    <i>
      <x v="367"/>
    </i>
    <i>
      <x v="369"/>
    </i>
    <i>
      <x v="370"/>
    </i>
    <i>
      <x v="371"/>
    </i>
    <i>
      <x v="372"/>
    </i>
    <i>
      <x v="373"/>
    </i>
    <i>
      <x v="374"/>
    </i>
    <i>
      <x v="376"/>
    </i>
    <i>
      <x v="377"/>
    </i>
    <i>
      <x v="379"/>
    </i>
    <i>
      <x v="381"/>
    </i>
    <i>
      <x v="383"/>
    </i>
    <i>
      <x v="387"/>
    </i>
    <i>
      <x v="388"/>
    </i>
    <i>
      <x v="391"/>
    </i>
    <i>
      <x v="393"/>
    </i>
    <i>
      <x v="394"/>
    </i>
    <i>
      <x v="395"/>
    </i>
    <i>
      <x v="397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10"/>
    </i>
    <i>
      <x v="411"/>
    </i>
    <i>
      <x v="413"/>
    </i>
    <i>
      <x v="414"/>
    </i>
    <i>
      <x v="415"/>
    </i>
    <i>
      <x v="417"/>
    </i>
    <i>
      <x v="418"/>
    </i>
    <i>
      <x v="419"/>
    </i>
    <i>
      <x v="420"/>
    </i>
    <i>
      <x v="421"/>
    </i>
    <i>
      <x v="424"/>
    </i>
    <i>
      <x v="425"/>
    </i>
    <i>
      <x v="427"/>
    </i>
    <i>
      <x v="428"/>
    </i>
    <i>
      <x v="429"/>
    </i>
    <i>
      <x v="430"/>
    </i>
    <i>
      <x v="431"/>
    </i>
    <i>
      <x v="433"/>
    </i>
    <i>
      <x v="434"/>
    </i>
    <i>
      <x v="435"/>
    </i>
    <i>
      <x v="436"/>
    </i>
    <i>
      <x v="437"/>
    </i>
    <i>
      <x v="438"/>
    </i>
    <i>
      <x v="440"/>
    </i>
    <i>
      <x v="441"/>
    </i>
    <i>
      <x v="442"/>
    </i>
    <i>
      <x v="444"/>
    </i>
    <i>
      <x v="446"/>
    </i>
    <i>
      <x v="447"/>
    </i>
    <i>
      <x v="448"/>
    </i>
    <i>
      <x v="449"/>
    </i>
    <i>
      <x v="450"/>
    </i>
    <i>
      <x v="454"/>
    </i>
    <i>
      <x v="459"/>
    </i>
    <i>
      <x v="460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5"/>
    </i>
    <i>
      <x v="480"/>
    </i>
    <i>
      <x v="482"/>
    </i>
    <i>
      <x v="483"/>
    </i>
    <i>
      <x v="484"/>
    </i>
    <i>
      <x v="487"/>
    </i>
    <i>
      <x v="488"/>
    </i>
    <i>
      <x v="489"/>
    </i>
    <i>
      <x v="490"/>
    </i>
    <i>
      <x v="493"/>
    </i>
    <i>
      <x v="494"/>
    </i>
    <i>
      <x v="497"/>
    </i>
    <i>
      <x v="499"/>
    </i>
    <i>
      <x v="501"/>
    </i>
    <i>
      <x v="502"/>
    </i>
    <i>
      <x v="503"/>
    </i>
    <i>
      <x v="504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6"/>
    </i>
    <i>
      <x v="518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9"/>
    </i>
    <i>
      <x v="530"/>
    </i>
    <i>
      <x v="532"/>
    </i>
    <i>
      <x v="533"/>
    </i>
    <i>
      <x v="534"/>
    </i>
    <i>
      <x v="535"/>
    </i>
    <i>
      <x v="536"/>
    </i>
    <i>
      <x v="539"/>
    </i>
    <i>
      <x v="540"/>
    </i>
    <i>
      <x v="541"/>
    </i>
    <i>
      <x v="542"/>
    </i>
    <i>
      <x v="545"/>
    </i>
    <i>
      <x v="546"/>
    </i>
    <i>
      <x v="549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61"/>
    </i>
    <i>
      <x v="563"/>
    </i>
    <i>
      <x v="564"/>
    </i>
    <i>
      <x v="565"/>
    </i>
    <i>
      <x v="567"/>
    </i>
    <i>
      <x v="568"/>
    </i>
    <i>
      <x v="569"/>
    </i>
    <i>
      <x v="572"/>
    </i>
    <i>
      <x v="574"/>
    </i>
    <i>
      <x v="575"/>
    </i>
    <i>
      <x v="576"/>
    </i>
    <i>
      <x v="578"/>
    </i>
    <i>
      <x v="580"/>
    </i>
    <i>
      <x v="582"/>
    </i>
    <i>
      <x v="588"/>
    </i>
    <i>
      <x v="589"/>
    </i>
    <i>
      <x v="590"/>
    </i>
    <i>
      <x v="592"/>
    </i>
    <i>
      <x v="596"/>
    </i>
    <i>
      <x v="598"/>
    </i>
    <i>
      <x v="599"/>
    </i>
    <i>
      <x v="600"/>
    </i>
    <i>
      <x v="601"/>
    </i>
    <i>
      <x v="604"/>
    </i>
    <i>
      <x v="605"/>
    </i>
    <i>
      <x v="606"/>
    </i>
    <i>
      <x v="607"/>
    </i>
    <i>
      <x v="608"/>
    </i>
    <i>
      <x v="610"/>
    </i>
    <i>
      <x v="612"/>
    </i>
    <i>
      <x v="615"/>
    </i>
    <i>
      <x v="616"/>
    </i>
    <i>
      <x v="618"/>
    </i>
    <i>
      <x v="620"/>
    </i>
    <i>
      <x v="623"/>
    </i>
    <i>
      <x v="624"/>
    </i>
    <i>
      <x v="626"/>
    </i>
    <i>
      <x v="627"/>
    </i>
    <i>
      <x v="628"/>
    </i>
    <i>
      <x v="631"/>
    </i>
    <i>
      <x v="632"/>
    </i>
    <i>
      <x v="634"/>
    </i>
    <i>
      <x v="638"/>
    </i>
    <i>
      <x v="639"/>
    </i>
    <i>
      <x v="640"/>
    </i>
    <i>
      <x v="641"/>
    </i>
    <i>
      <x v="642"/>
    </i>
    <i>
      <x v="646"/>
    </i>
    <i>
      <x v="647"/>
    </i>
    <i>
      <x v="649"/>
    </i>
    <i>
      <x v="650"/>
    </i>
    <i>
      <x v="652"/>
    </i>
    <i>
      <x v="654"/>
    </i>
    <i>
      <x v="655"/>
    </i>
    <i>
      <x v="656"/>
    </i>
    <i>
      <x v="658"/>
    </i>
    <i>
      <x v="660"/>
    </i>
    <i>
      <x v="663"/>
    </i>
    <i>
      <x v="666"/>
    </i>
    <i>
      <x v="668"/>
    </i>
    <i>
      <x v="671"/>
    </i>
    <i>
      <x v="673"/>
    </i>
    <i>
      <x v="676"/>
    </i>
    <i>
      <x v="679"/>
    </i>
    <i>
      <x v="680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1"/>
    </i>
    <i>
      <x v="692"/>
    </i>
    <i>
      <x v="693"/>
    </i>
    <i>
      <x v="695"/>
    </i>
    <i>
      <x v="699"/>
    </i>
    <i>
      <x v="700"/>
    </i>
    <i>
      <x v="701"/>
    </i>
    <i>
      <x v="704"/>
    </i>
    <i>
      <x v="705"/>
    </i>
    <i>
      <x v="706"/>
    </i>
    <i>
      <x v="707"/>
    </i>
    <i>
      <x v="709"/>
    </i>
    <i>
      <x v="711"/>
    </i>
    <i>
      <x v="712"/>
    </i>
    <i>
      <x v="713"/>
    </i>
    <i>
      <x v="714"/>
    </i>
    <i>
      <x v="715"/>
    </i>
    <i>
      <x v="719"/>
    </i>
    <i>
      <x v="721"/>
    </i>
    <i>
      <x v="722"/>
    </i>
    <i>
      <x v="723"/>
    </i>
    <i>
      <x v="724"/>
    </i>
    <i>
      <x v="727"/>
    </i>
    <i>
      <x v="728"/>
    </i>
    <i>
      <x v="729"/>
    </i>
    <i>
      <x v="731"/>
    </i>
    <i>
      <x v="732"/>
    </i>
    <i>
      <x v="734"/>
    </i>
    <i>
      <x v="735"/>
    </i>
    <i>
      <x v="738"/>
    </i>
    <i>
      <x v="740"/>
    </i>
    <i>
      <x v="741"/>
    </i>
    <i>
      <x v="743"/>
    </i>
    <i>
      <x v="745"/>
    </i>
    <i>
      <x v="746"/>
    </i>
    <i>
      <x v="747"/>
    </i>
    <i>
      <x v="748"/>
    </i>
    <i>
      <x v="751"/>
    </i>
    <i>
      <x v="752"/>
    </i>
    <i>
      <x v="753"/>
    </i>
    <i>
      <x v="754"/>
    </i>
    <i>
      <x v="755"/>
    </i>
    <i>
      <x v="756"/>
    </i>
    <i>
      <x v="758"/>
    </i>
    <i>
      <x v="759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72"/>
    </i>
    <i>
      <x v="773"/>
    </i>
    <i>
      <x v="774"/>
    </i>
    <i>
      <x v="775"/>
    </i>
    <i>
      <x v="777"/>
    </i>
    <i>
      <x v="778"/>
    </i>
    <i>
      <x v="779"/>
    </i>
    <i>
      <x v="781"/>
    </i>
    <i>
      <x v="782"/>
    </i>
    <i>
      <x v="783"/>
    </i>
    <i>
      <x v="786"/>
    </i>
    <i>
      <x v="788"/>
    </i>
    <i>
      <x v="791"/>
    </i>
    <i>
      <x v="792"/>
    </i>
    <i>
      <x v="793"/>
    </i>
    <i>
      <x v="796"/>
    </i>
    <i>
      <x v="797"/>
    </i>
    <i>
      <x v="801"/>
    </i>
    <i>
      <x v="803"/>
    </i>
    <i>
      <x v="804"/>
    </i>
    <i>
      <x v="805"/>
    </i>
    <i>
      <x v="806"/>
    </i>
    <i>
      <x v="808"/>
    </i>
    <i>
      <x v="812"/>
    </i>
    <i>
      <x v="815"/>
    </i>
    <i>
      <x v="816"/>
    </i>
    <i>
      <x v="817"/>
    </i>
    <i>
      <x v="819"/>
    </i>
    <i>
      <x v="820"/>
    </i>
    <i>
      <x v="822"/>
    </i>
    <i>
      <x v="825"/>
    </i>
    <i>
      <x v="829"/>
    </i>
    <i>
      <x v="831"/>
    </i>
    <i>
      <x v="832"/>
    </i>
    <i>
      <x v="833"/>
    </i>
    <i>
      <x v="834"/>
    </i>
    <i>
      <x v="836"/>
    </i>
    <i>
      <x v="837"/>
    </i>
    <i>
      <x v="838"/>
    </i>
    <i>
      <x v="839"/>
    </i>
    <i>
      <x v="840"/>
    </i>
    <i>
      <x v="842"/>
    </i>
    <i>
      <x v="843"/>
    </i>
    <i>
      <x v="845"/>
    </i>
    <i>
      <x v="850"/>
    </i>
    <i>
      <x v="853"/>
    </i>
    <i>
      <x v="856"/>
    </i>
    <i>
      <x v="857"/>
    </i>
    <i>
      <x v="859"/>
    </i>
    <i>
      <x v="861"/>
    </i>
    <i>
      <x v="862"/>
    </i>
    <i>
      <x v="863"/>
    </i>
    <i>
      <x v="864"/>
    </i>
    <i>
      <x v="865"/>
    </i>
    <i>
      <x v="866"/>
    </i>
    <i>
      <x v="867"/>
    </i>
    <i>
      <x v="868"/>
    </i>
    <i>
      <x v="869"/>
    </i>
    <i>
      <x v="871"/>
    </i>
    <i>
      <x v="872"/>
    </i>
    <i>
      <x v="873"/>
    </i>
    <i>
      <x v="874"/>
    </i>
    <i>
      <x v="876"/>
    </i>
    <i>
      <x v="878"/>
    </i>
    <i>
      <x v="882"/>
    </i>
    <i>
      <x v="883"/>
    </i>
    <i>
      <x v="884"/>
    </i>
    <i>
      <x v="885"/>
    </i>
    <i>
      <x v="886"/>
    </i>
    <i>
      <x v="887"/>
    </i>
    <i>
      <x v="888"/>
    </i>
    <i>
      <x v="889"/>
    </i>
    <i>
      <x v="891"/>
    </i>
    <i>
      <x v="892"/>
    </i>
    <i>
      <x v="893"/>
    </i>
    <i>
      <x v="894"/>
    </i>
    <i>
      <x v="895"/>
    </i>
    <i>
      <x v="896"/>
    </i>
    <i>
      <x v="900"/>
    </i>
    <i>
      <x v="901"/>
    </i>
    <i>
      <x v="902"/>
    </i>
    <i>
      <x v="903"/>
    </i>
    <i>
      <x v="904"/>
    </i>
    <i>
      <x v="905"/>
    </i>
    <i>
      <x v="906"/>
    </i>
    <i>
      <x v="907"/>
    </i>
    <i>
      <x v="908"/>
    </i>
    <i>
      <x v="910"/>
    </i>
    <i>
      <x v="911"/>
    </i>
    <i>
      <x v="912"/>
    </i>
    <i>
      <x v="913"/>
    </i>
    <i>
      <x v="915"/>
    </i>
    <i>
      <x v="916"/>
    </i>
    <i>
      <x v="918"/>
    </i>
    <i>
      <x v="919"/>
    </i>
    <i>
      <x v="920"/>
    </i>
    <i>
      <x v="921"/>
    </i>
    <i>
      <x v="923"/>
    </i>
    <i>
      <x v="924"/>
    </i>
    <i>
      <x v="925"/>
    </i>
    <i>
      <x v="928"/>
    </i>
    <i>
      <x v="930"/>
    </i>
    <i>
      <x v="932"/>
    </i>
    <i>
      <x v="935"/>
    </i>
    <i>
      <x v="938"/>
    </i>
    <i>
      <x v="939"/>
    </i>
    <i>
      <x v="940"/>
    </i>
    <i>
      <x v="941"/>
    </i>
    <i>
      <x v="942"/>
    </i>
    <i>
      <x v="943"/>
    </i>
    <i>
      <x v="944"/>
    </i>
    <i>
      <x v="947"/>
    </i>
    <i>
      <x v="949"/>
    </i>
    <i>
      <x v="950"/>
    </i>
    <i>
      <x v="951"/>
    </i>
    <i>
      <x v="952"/>
    </i>
    <i>
      <x v="953"/>
    </i>
    <i>
      <x v="957"/>
    </i>
    <i>
      <x v="958"/>
    </i>
    <i>
      <x v="959"/>
    </i>
    <i>
      <x v="961"/>
    </i>
    <i>
      <x v="962"/>
    </i>
    <i>
      <x v="964"/>
    </i>
    <i>
      <x v="967"/>
    </i>
    <i>
      <x v="969"/>
    </i>
    <i>
      <x v="972"/>
    </i>
    <i>
      <x v="974"/>
    </i>
    <i>
      <x v="975"/>
    </i>
    <i>
      <x v="976"/>
    </i>
    <i>
      <x v="977"/>
    </i>
    <i>
      <x v="978"/>
    </i>
    <i>
      <x v="980"/>
    </i>
    <i>
      <x v="984"/>
    </i>
    <i>
      <x v="985"/>
    </i>
    <i>
      <x v="986"/>
    </i>
    <i>
      <x v="987"/>
    </i>
    <i>
      <x v="988"/>
    </i>
    <i>
      <x v="989"/>
    </i>
    <i>
      <x v="990"/>
    </i>
    <i t="grand">
      <x/>
    </i>
  </rowItems>
  <colItems count="1">
    <i/>
  </colItems>
  <dataFields count="1">
    <dataField name="Sum of Active" fld="10" baseField="0" baseItem="0"/>
  </dataFields>
  <chartFormats count="1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24" showRowHeaders="1" showColHeaders="1" showRowStripes="0" showColStripes="0" showLastColumn="1"/>
  <filters count="1">
    <filter fld="1" type="valueEqual" evalOrder="-1" id="3" iMeasureFld="0">
      <autoFilter ref="A1">
        <filterColumn colId="0">
          <customFilters>
            <customFilter val="1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1C7C1B0-95E0-49F3-B751-EE652FBC7F1F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 rowHeaderCaption="Gender">
  <location ref="A698:B701" firstHeaderRow="1" firstDataRow="1" firstDataCol="1"/>
  <pivotFields count="12">
    <pivotField dataField="1" showAll="0"/>
    <pivotField showAll="0">
      <items count="993">
        <item x="866"/>
        <item x="757"/>
        <item x="338"/>
        <item x="494"/>
        <item x="771"/>
        <item x="831"/>
        <item x="452"/>
        <item x="202"/>
        <item x="811"/>
        <item x="969"/>
        <item x="808"/>
        <item x="987"/>
        <item x="282"/>
        <item x="710"/>
        <item x="296"/>
        <item x="353"/>
        <item x="129"/>
        <item x="817"/>
        <item x="923"/>
        <item x="813"/>
        <item x="27"/>
        <item x="12"/>
        <item x="634"/>
        <item x="315"/>
        <item x="876"/>
        <item x="412"/>
        <item x="423"/>
        <item x="120"/>
        <item x="486"/>
        <item x="796"/>
        <item x="446"/>
        <item x="175"/>
        <item x="763"/>
        <item x="351"/>
        <item x="666"/>
        <item x="799"/>
        <item x="3"/>
        <item x="567"/>
        <item x="772"/>
        <item x="912"/>
        <item x="37"/>
        <item x="294"/>
        <item x="911"/>
        <item x="249"/>
        <item x="441"/>
        <item x="82"/>
        <item x="635"/>
        <item x="124"/>
        <item x="897"/>
        <item x="98"/>
        <item x="246"/>
        <item x="646"/>
        <item x="442"/>
        <item x="626"/>
        <item x="314"/>
        <item x="362"/>
        <item x="659"/>
        <item x="706"/>
        <item x="40"/>
        <item x="913"/>
        <item x="283"/>
        <item x="234"/>
        <item x="842"/>
        <item x="25"/>
        <item x="153"/>
        <item x="764"/>
        <item x="928"/>
        <item x="378"/>
        <item x="773"/>
        <item x="433"/>
        <item x="506"/>
        <item x="277"/>
        <item x="888"/>
        <item x="394"/>
        <item x="747"/>
        <item x="168"/>
        <item x="252"/>
        <item x="924"/>
        <item x="571"/>
        <item x="483"/>
        <item x="718"/>
        <item x="570"/>
        <item x="361"/>
        <item x="145"/>
        <item x="66"/>
        <item x="615"/>
        <item x="641"/>
        <item x="508"/>
        <item x="304"/>
        <item x="884"/>
        <item x="84"/>
        <item x="126"/>
        <item x="430"/>
        <item x="59"/>
        <item x="267"/>
        <item x="650"/>
        <item x="696"/>
        <item x="298"/>
        <item x="877"/>
        <item x="794"/>
        <item x="96"/>
        <item x="852"/>
        <item x="972"/>
        <item x="480"/>
        <item x="360"/>
        <item x="717"/>
        <item x="942"/>
        <item x="424"/>
        <item x="977"/>
        <item x="193"/>
        <item x="185"/>
        <item x="752"/>
        <item x="643"/>
        <item x="365"/>
        <item x="311"/>
        <item x="235"/>
        <item x="85"/>
        <item x="954"/>
        <item x="255"/>
        <item x="814"/>
        <item x="400"/>
        <item x="828"/>
        <item x="355"/>
        <item x="264"/>
        <item x="196"/>
        <item x="810"/>
        <item x="87"/>
        <item x="606"/>
        <item x="589"/>
        <item x="80"/>
        <item x="909"/>
        <item x="782"/>
        <item x="335"/>
        <item x="759"/>
        <item x="863"/>
        <item x="259"/>
        <item x="121"/>
        <item x="286"/>
        <item x="739"/>
        <item x="536"/>
        <item x="692"/>
        <item x="172"/>
        <item x="906"/>
        <item x="256"/>
        <item x="617"/>
        <item x="860"/>
        <item x="943"/>
        <item x="547"/>
        <item x="953"/>
        <item x="532"/>
        <item x="290"/>
        <item x="22"/>
        <item x="971"/>
        <item x="140"/>
        <item x="582"/>
        <item x="354"/>
        <item x="983"/>
        <item x="47"/>
        <item x="372"/>
        <item x="225"/>
        <item x="476"/>
        <item x="988"/>
        <item x="230"/>
        <item x="307"/>
        <item x="629"/>
        <item x="157"/>
        <item x="517"/>
        <item x="356"/>
        <item x="707"/>
        <item x="722"/>
        <item x="291"/>
        <item x="62"/>
        <item x="388"/>
        <item x="359"/>
        <item x="239"/>
        <item x="788"/>
        <item x="855"/>
        <item x="132"/>
        <item x="728"/>
        <item x="428"/>
        <item x="122"/>
        <item x="319"/>
        <item x="576"/>
        <item x="756"/>
        <item x="133"/>
        <item x="152"/>
        <item x="974"/>
        <item x="340"/>
        <item x="127"/>
        <item x="303"/>
        <item x="504"/>
        <item x="681"/>
        <item x="482"/>
        <item x="68"/>
        <item x="867"/>
        <item x="60"/>
        <item x="619"/>
        <item x="478"/>
        <item x="966"/>
        <item x="65"/>
        <item x="812"/>
        <item x="451"/>
        <item x="652"/>
        <item x="776"/>
        <item x="313"/>
        <item x="265"/>
        <item x="833"/>
        <item x="793"/>
        <item x="611"/>
        <item x="237"/>
        <item x="397"/>
        <item x="952"/>
        <item x="236"/>
        <item x="697"/>
        <item x="591"/>
        <item x="920"/>
        <item x="612"/>
        <item x="832"/>
        <item x="443"/>
        <item x="978"/>
        <item x="514"/>
        <item x="455"/>
        <item x="700"/>
        <item x="317"/>
        <item x="683"/>
        <item x="214"/>
        <item x="223"/>
        <item x="886"/>
        <item x="621"/>
        <item x="835"/>
        <item x="713"/>
        <item x="306"/>
        <item x="973"/>
        <item x="703"/>
        <item x="958"/>
        <item x="631"/>
        <item x="414"/>
        <item x="97"/>
        <item x="957"/>
        <item x="279"/>
        <item x="456"/>
        <item x="552"/>
        <item x="637"/>
        <item x="991"/>
        <item x="565"/>
        <item x="673"/>
        <item x="640"/>
        <item x="851"/>
        <item x="368"/>
        <item x="341"/>
        <item x="926"/>
        <item x="574"/>
        <item x="123"/>
        <item x="170"/>
        <item x="623"/>
        <item x="445"/>
        <item x="94"/>
        <item x="743"/>
        <item x="77"/>
        <item x="513"/>
        <item x="824"/>
        <item x="761"/>
        <item x="426"/>
        <item x="748"/>
        <item x="409"/>
        <item x="502"/>
        <item x="48"/>
        <item x="51"/>
        <item x="161"/>
        <item x="632"/>
        <item x="137"/>
        <item x="427"/>
        <item x="136"/>
        <item x="379"/>
        <item x="450"/>
        <item x="281"/>
        <item x="597"/>
        <item x="429"/>
        <item x="802"/>
        <item x="405"/>
        <item x="607"/>
        <item x="801"/>
        <item x="789"/>
        <item x="61"/>
        <item x="174"/>
        <item x="142"/>
        <item x="14"/>
        <item x="331"/>
        <item x="226"/>
        <item x="343"/>
        <item x="569"/>
        <item x="432"/>
        <item x="392"/>
        <item x="709"/>
        <item x="559"/>
        <item x="184"/>
        <item x="108"/>
        <item x="664"/>
        <item x="408"/>
        <item x="254"/>
        <item x="677"/>
        <item x="800"/>
        <item x="35"/>
        <item x="491"/>
        <item x="344"/>
        <item x="834"/>
        <item x="633"/>
        <item x="30"/>
        <item x="961"/>
        <item x="668"/>
        <item x="6"/>
        <item x="736"/>
        <item x="384"/>
        <item x="691"/>
        <item x="146"/>
        <item x="932"/>
        <item x="889"/>
        <item x="543"/>
        <item x="746"/>
        <item x="816"/>
        <item x="675"/>
        <item x="399"/>
        <item x="981"/>
        <item x="848"/>
        <item x="250"/>
        <item x="176"/>
        <item x="949"/>
        <item x="148"/>
        <item x="10"/>
        <item x="373"/>
        <item x="868"/>
        <item x="755"/>
        <item x="636"/>
        <item x="69"/>
        <item x="785"/>
        <item x="118"/>
        <item x="734"/>
        <item x="163"/>
        <item x="371"/>
        <item x="581"/>
        <item x="731"/>
        <item x="885"/>
        <item x="274"/>
        <item x="676"/>
        <item x="940"/>
        <item x="268"/>
        <item x="765"/>
        <item x="512"/>
        <item x="601"/>
        <item x="853"/>
        <item x="937"/>
        <item x="620"/>
        <item x="200"/>
        <item x="187"/>
        <item x="721"/>
        <item x="470"/>
        <item x="390"/>
        <item x="882"/>
        <item x="499"/>
        <item x="434"/>
        <item x="364"/>
        <item x="403"/>
        <item x="251"/>
        <item x="670"/>
        <item x="261"/>
        <item x="210"/>
        <item x="497"/>
        <item x="263"/>
        <item x="767"/>
        <item x="270"/>
        <item x="222"/>
        <item x="791"/>
        <item x="45"/>
        <item x="768"/>
        <item x="288"/>
        <item x="20"/>
        <item x="719"/>
        <item x="583"/>
        <item x="39"/>
        <item x="551"/>
        <item x="415"/>
        <item x="380"/>
        <item x="454"/>
        <item x="220"/>
        <item x="473"/>
        <item x="503"/>
        <item x="36"/>
        <item x="111"/>
        <item x="555"/>
        <item x="535"/>
        <item x="105"/>
        <item x="463"/>
        <item x="847"/>
        <item x="701"/>
        <item x="524"/>
        <item x="125"/>
        <item x="741"/>
        <item x="846"/>
        <item x="690"/>
        <item x="970"/>
        <item x="370"/>
        <item x="43"/>
        <item x="695"/>
        <item x="669"/>
        <item x="962"/>
        <item x="262"/>
        <item x="485"/>
        <item x="293"/>
        <item x="324"/>
        <item x="895"/>
        <item x="489"/>
        <item x="192"/>
        <item x="181"/>
        <item x="219"/>
        <item x="986"/>
        <item x="260"/>
        <item x="369"/>
        <item x="107"/>
        <item x="24"/>
        <item x="54"/>
        <item x="916"/>
        <item x="488"/>
        <item x="610"/>
        <item x="845"/>
        <item x="484"/>
        <item x="208"/>
        <item x="467"/>
        <item x="347"/>
        <item x="872"/>
        <item x="595"/>
        <item x="75"/>
        <item x="173"/>
        <item x="778"/>
        <item x="861"/>
        <item x="119"/>
        <item x="188"/>
        <item x="468"/>
        <item x="762"/>
        <item x="723"/>
        <item x="588"/>
        <item x="410"/>
        <item x="730"/>
        <item x="586"/>
        <item x="326"/>
        <item x="34"/>
        <item x="115"/>
        <item x="352"/>
        <item x="201"/>
        <item x="458"/>
        <item x="199"/>
        <item x="985"/>
        <item x="53"/>
        <item x="389"/>
        <item x="301"/>
        <item x="645"/>
        <item x="648"/>
        <item x="472"/>
        <item x="720"/>
        <item x="545"/>
        <item x="638"/>
        <item x="561"/>
        <item x="724"/>
        <item x="334"/>
        <item x="461"/>
        <item x="878"/>
        <item x="841"/>
        <item x="990"/>
        <item x="505"/>
        <item x="698"/>
        <item x="166"/>
        <item x="941"/>
        <item x="358"/>
        <item x="754"/>
        <item x="963"/>
        <item x="689"/>
        <item x="117"/>
        <item x="128"/>
        <item x="139"/>
        <item x="784"/>
        <item x="73"/>
        <item x="93"/>
        <item x="758"/>
        <item x="328"/>
        <item x="440"/>
        <item x="575"/>
        <item x="227"/>
        <item x="289"/>
        <item x="825"/>
        <item x="337"/>
        <item x="639"/>
        <item x="679"/>
        <item x="138"/>
        <item x="815"/>
        <item x="534"/>
        <item x="775"/>
        <item x="672"/>
        <item x="391"/>
        <item x="287"/>
        <item x="663"/>
        <item x="693"/>
        <item x="2"/>
        <item x="541"/>
        <item x="465"/>
        <item x="233"/>
        <item x="826"/>
        <item x="950"/>
        <item x="462"/>
        <item x="453"/>
        <item x="50"/>
        <item x="266"/>
        <item x="186"/>
        <item x="322"/>
        <item x="839"/>
        <item x="572"/>
        <item x="466"/>
        <item x="131"/>
        <item x="42"/>
        <item x="215"/>
        <item x="447"/>
        <item x="688"/>
        <item x="770"/>
        <item x="894"/>
        <item x="416"/>
        <item x="320"/>
        <item x="560"/>
        <item x="712"/>
        <item x="901"/>
        <item x="989"/>
        <item x="644"/>
        <item x="699"/>
        <item x="471"/>
        <item x="587"/>
        <item x="787"/>
        <item x="481"/>
        <item x="573"/>
        <item x="750"/>
        <item x="862"/>
        <item x="280"/>
        <item x="786"/>
        <item x="898"/>
        <item x="515"/>
        <item x="642"/>
        <item x="579"/>
        <item x="537"/>
        <item x="374"/>
        <item x="493"/>
        <item x="564"/>
        <item x="849"/>
        <item x="538"/>
        <item x="113"/>
        <item x="896"/>
        <item x="431"/>
        <item x="774"/>
        <item x="557"/>
        <item x="109"/>
        <item x="103"/>
        <item x="590"/>
        <item x="183"/>
        <item x="900"/>
        <item x="206"/>
        <item x="244"/>
        <item x="507"/>
        <item x="523"/>
        <item x="927"/>
        <item x="549"/>
        <item x="840"/>
        <item x="99"/>
        <item x="346"/>
        <item x="52"/>
        <item x="907"/>
        <item x="726"/>
        <item x="881"/>
        <item x="49"/>
        <item x="492"/>
        <item x="55"/>
        <item x="871"/>
        <item x="956"/>
        <item x="622"/>
        <item x="665"/>
        <item x="16"/>
        <item x="357"/>
        <item x="56"/>
        <item x="946"/>
        <item x="975"/>
        <item x="751"/>
        <item x="348"/>
        <item x="922"/>
        <item x="285"/>
        <item x="657"/>
        <item x="63"/>
        <item x="112"/>
        <item x="143"/>
        <item x="78"/>
        <item x="421"/>
        <item x="740"/>
        <item x="843"/>
        <item x="448"/>
        <item x="822"/>
        <item x="806"/>
        <item x="797"/>
        <item x="141"/>
        <item x="879"/>
        <item x="968"/>
        <item x="5"/>
        <item x="960"/>
        <item x="90"/>
        <item x="859"/>
        <item x="393"/>
        <item x="915"/>
        <item x="336"/>
        <item x="821"/>
        <item x="29"/>
        <item x="510"/>
        <item x="309"/>
        <item x="4"/>
        <item x="658"/>
        <item x="742"/>
        <item x="366"/>
        <item x="179"/>
        <item x="779"/>
        <item x="908"/>
        <item x="566"/>
        <item x="880"/>
        <item x="533"/>
        <item x="530"/>
        <item x="149"/>
        <item x="26"/>
        <item x="965"/>
        <item x="738"/>
        <item x="599"/>
        <item x="238"/>
        <item x="474"/>
        <item x="325"/>
        <item x="792"/>
        <item x="106"/>
        <item x="258"/>
        <item x="295"/>
        <item x="798"/>
        <item x="57"/>
        <item x="600"/>
        <item x="694"/>
        <item x="874"/>
        <item x="435"/>
        <item x="857"/>
        <item x="376"/>
        <item x="790"/>
        <item x="464"/>
        <item x="783"/>
        <item x="284"/>
        <item x="869"/>
        <item x="682"/>
        <item x="649"/>
        <item x="475"/>
        <item x="387"/>
        <item x="19"/>
        <item x="9"/>
        <item x="232"/>
        <item x="349"/>
        <item x="150"/>
        <item x="89"/>
        <item x="613"/>
        <item x="964"/>
        <item x="944"/>
        <item x="525"/>
        <item x="837"/>
        <item x="278"/>
        <item x="702"/>
        <item x="733"/>
        <item x="685"/>
        <item x="28"/>
        <item x="228"/>
        <item x="602"/>
        <item x="542"/>
        <item x="23"/>
        <item x="781"/>
        <item x="269"/>
        <item x="38"/>
        <item x="656"/>
        <item x="189"/>
        <item x="769"/>
        <item x="803"/>
        <item x="74"/>
        <item x="350"/>
        <item x="33"/>
        <item x="177"/>
        <item x="704"/>
        <item x="609"/>
        <item x="584"/>
        <item x="680"/>
        <item x="578"/>
        <item x="819"/>
        <item x="593"/>
        <item x="498"/>
        <item x="418"/>
        <item x="83"/>
        <item x="316"/>
        <item x="212"/>
        <item x="500"/>
        <item x="820"/>
        <item x="231"/>
        <item x="182"/>
        <item x="585"/>
        <item x="883"/>
        <item x="614"/>
        <item x="807"/>
        <item x="858"/>
        <item x="11"/>
        <item x="780"/>
        <item x="221"/>
        <item x="979"/>
        <item x="44"/>
        <item x="982"/>
        <item x="160"/>
        <item x="299"/>
        <item x="209"/>
        <item x="327"/>
        <item x="292"/>
        <item x="407"/>
        <item x="395"/>
        <item x="91"/>
        <item x="548"/>
        <item x="945"/>
        <item x="732"/>
        <item x="375"/>
        <item x="154"/>
        <item x="155"/>
        <item x="242"/>
        <item x="243"/>
        <item x="213"/>
        <item x="469"/>
        <item x="520"/>
        <item x="420"/>
        <item x="459"/>
        <item x="398"/>
        <item x="272"/>
        <item x="955"/>
        <item x="914"/>
        <item x="308"/>
        <item x="873"/>
        <item x="870"/>
        <item x="46"/>
        <item x="396"/>
        <item x="0"/>
        <item x="933"/>
        <item x="271"/>
        <item x="297"/>
        <item x="678"/>
        <item x="546"/>
        <item x="687"/>
        <item x="417"/>
        <item x="158"/>
        <item x="931"/>
        <item x="891"/>
        <item x="947"/>
        <item x="850"/>
        <item x="330"/>
        <item x="72"/>
        <item x="169"/>
        <item x="854"/>
        <item x="951"/>
        <item x="624"/>
        <item x="921"/>
        <item x="558"/>
        <item x="381"/>
        <item x="198"/>
        <item x="342"/>
        <item x="616"/>
        <item x="245"/>
        <item x="460"/>
        <item x="79"/>
        <item x="302"/>
        <item x="159"/>
        <item x="332"/>
        <item x="905"/>
        <item x="178"/>
        <item x="745"/>
        <item x="190"/>
        <item x="151"/>
        <item x="477"/>
        <item x="385"/>
        <item x="910"/>
        <item x="92"/>
        <item x="323"/>
        <item x="134"/>
        <item x="205"/>
        <item x="401"/>
        <item x="13"/>
        <item x="382"/>
        <item x="714"/>
        <item x="592"/>
        <item x="890"/>
        <item x="654"/>
        <item x="487"/>
        <item x="705"/>
        <item x="156"/>
        <item x="333"/>
        <item x="64"/>
        <item x="422"/>
        <item x="674"/>
        <item x="838"/>
        <item x="383"/>
        <item x="948"/>
        <item x="655"/>
        <item x="479"/>
        <item x="805"/>
        <item x="275"/>
        <item x="218"/>
        <item x="934"/>
        <item x="753"/>
        <item x="345"/>
        <item x="7"/>
        <item x="544"/>
        <item x="114"/>
        <item x="216"/>
        <item x="305"/>
        <item x="976"/>
        <item x="32"/>
        <item x="936"/>
        <item x="501"/>
        <item x="321"/>
        <item x="165"/>
        <item x="809"/>
        <item x="495"/>
        <item x="830"/>
        <item x="892"/>
        <item x="556"/>
        <item x="88"/>
        <item x="509"/>
        <item x="727"/>
        <item x="312"/>
        <item x="377"/>
        <item x="661"/>
        <item x="844"/>
        <item x="310"/>
        <item x="804"/>
        <item x="224"/>
        <item x="598"/>
        <item x="211"/>
        <item x="795"/>
        <item x="744"/>
        <item x="404"/>
        <item x="518"/>
        <item x="827"/>
        <item x="58"/>
        <item x="864"/>
        <item x="662"/>
        <item x="618"/>
        <item x="86"/>
        <item x="21"/>
        <item x="729"/>
        <item x="929"/>
        <item x="577"/>
        <item x="984"/>
        <item x="667"/>
        <item x="411"/>
        <item x="628"/>
        <item x="865"/>
        <item x="660"/>
        <item x="425"/>
        <item x="240"/>
        <item x="959"/>
        <item x="386"/>
        <item x="608"/>
        <item x="935"/>
        <item x="41"/>
        <item x="735"/>
        <item x="17"/>
        <item x="519"/>
        <item x="367"/>
        <item x="823"/>
        <item x="438"/>
        <item x="162"/>
        <item x="8"/>
        <item x="554"/>
        <item x="540"/>
        <item x="217"/>
        <item x="980"/>
        <item x="725"/>
        <item x="711"/>
        <item x="204"/>
        <item x="562"/>
        <item x="777"/>
        <item x="526"/>
        <item x="716"/>
        <item x="419"/>
        <item x="95"/>
        <item x="130"/>
        <item x="197"/>
        <item x="904"/>
        <item x="402"/>
        <item x="528"/>
        <item x="437"/>
        <item x="102"/>
        <item x="449"/>
        <item x="563"/>
        <item x="248"/>
        <item x="276"/>
        <item x="836"/>
        <item x="229"/>
        <item x="899"/>
        <item x="856"/>
        <item x="257"/>
        <item x="144"/>
        <item x="522"/>
        <item x="684"/>
        <item x="902"/>
        <item x="406"/>
        <item x="444"/>
        <item x="164"/>
        <item x="749"/>
        <item x="625"/>
        <item x="363"/>
        <item x="167"/>
        <item x="413"/>
        <item x="605"/>
        <item x="496"/>
        <item x="760"/>
        <item x="651"/>
        <item x="329"/>
        <item x="116"/>
        <item x="521"/>
        <item x="603"/>
        <item x="529"/>
        <item x="135"/>
        <item x="938"/>
        <item x="195"/>
        <item x="539"/>
        <item x="71"/>
        <item x="604"/>
        <item x="300"/>
        <item x="100"/>
        <item x="627"/>
        <item x="917"/>
        <item x="457"/>
        <item x="766"/>
        <item x="967"/>
        <item x="580"/>
        <item x="31"/>
        <item x="76"/>
        <item x="439"/>
        <item x="939"/>
        <item x="596"/>
        <item x="630"/>
        <item x="708"/>
        <item x="490"/>
        <item x="829"/>
        <item x="436"/>
        <item x="930"/>
        <item x="531"/>
        <item x="568"/>
        <item x="686"/>
        <item x="715"/>
        <item x="104"/>
        <item x="191"/>
        <item x="18"/>
        <item x="553"/>
        <item x="110"/>
        <item x="925"/>
        <item x="919"/>
        <item x="1"/>
        <item x="180"/>
        <item x="81"/>
        <item x="241"/>
        <item x="101"/>
        <item x="67"/>
        <item x="511"/>
        <item x="339"/>
        <item x="516"/>
        <item x="203"/>
        <item x="550"/>
        <item x="147"/>
        <item x="737"/>
        <item x="887"/>
        <item x="653"/>
        <item x="527"/>
        <item x="273"/>
        <item x="818"/>
        <item x="903"/>
        <item x="253"/>
        <item x="207"/>
        <item x="318"/>
        <item x="171"/>
        <item x="594"/>
        <item x="15"/>
        <item x="875"/>
        <item x="70"/>
        <item x="893"/>
        <item x="194"/>
        <item x="247"/>
        <item x="918"/>
        <item x="671"/>
        <item x="647"/>
        <item t="default"/>
      </items>
    </pivotField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>
      <items count="11">
        <item x="4"/>
        <item x="0"/>
        <item x="7"/>
        <item x="5"/>
        <item x="8"/>
        <item x="2"/>
        <item x="9"/>
        <item x="1"/>
        <item x="6"/>
        <item x="3"/>
        <item t="default"/>
      </items>
    </pivotField>
    <pivotField showAll="0"/>
    <pivotField showAll="0"/>
    <pivotField showAll="0"/>
    <pivotField showAll="0"/>
    <pivotField numFmtId="9" showAll="0"/>
  </pivotFields>
  <rowFields count="1">
    <field x="2"/>
  </rowFields>
  <rowItems count="3">
    <i>
      <x/>
    </i>
    <i>
      <x v="1"/>
    </i>
    <i t="grand">
      <x/>
    </i>
  </rowItems>
  <colItems count="1">
    <i/>
  </colItems>
  <dataFields count="1">
    <dataField name="Count of Freelancer id" fld="0" subtotal="count" baseField="0" baseItem="0"/>
  </dataFields>
  <chartFormats count="1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Dark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47AB9C0-A2F4-4D1D-BAE8-ED870FDB6139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 rowHeaderCaption="Name">
  <location ref="A60:B73" firstHeaderRow="1" firstDataRow="1" firstDataCol="1"/>
  <pivotFields count="12">
    <pivotField showAll="0"/>
    <pivotField axis="axisRow" showAll="0" measureFilter="1">
      <items count="993">
        <item x="866"/>
        <item x="757"/>
        <item x="338"/>
        <item x="494"/>
        <item x="771"/>
        <item x="831"/>
        <item x="452"/>
        <item x="202"/>
        <item x="811"/>
        <item x="969"/>
        <item x="808"/>
        <item x="987"/>
        <item x="282"/>
        <item x="710"/>
        <item x="296"/>
        <item x="353"/>
        <item x="129"/>
        <item x="817"/>
        <item x="923"/>
        <item x="813"/>
        <item x="27"/>
        <item x="12"/>
        <item x="634"/>
        <item x="315"/>
        <item x="876"/>
        <item x="412"/>
        <item x="423"/>
        <item x="120"/>
        <item x="486"/>
        <item x="796"/>
        <item x="446"/>
        <item x="175"/>
        <item x="763"/>
        <item x="351"/>
        <item x="666"/>
        <item x="799"/>
        <item x="3"/>
        <item x="567"/>
        <item x="772"/>
        <item x="912"/>
        <item x="37"/>
        <item x="294"/>
        <item x="911"/>
        <item x="249"/>
        <item x="441"/>
        <item x="82"/>
        <item x="635"/>
        <item x="124"/>
        <item x="897"/>
        <item x="98"/>
        <item x="246"/>
        <item x="646"/>
        <item x="442"/>
        <item x="626"/>
        <item x="314"/>
        <item x="362"/>
        <item x="659"/>
        <item x="706"/>
        <item x="40"/>
        <item x="913"/>
        <item x="283"/>
        <item x="234"/>
        <item x="842"/>
        <item x="25"/>
        <item x="153"/>
        <item x="764"/>
        <item x="928"/>
        <item x="378"/>
        <item x="773"/>
        <item x="433"/>
        <item x="506"/>
        <item x="277"/>
        <item x="888"/>
        <item x="394"/>
        <item x="747"/>
        <item x="168"/>
        <item x="252"/>
        <item x="924"/>
        <item x="571"/>
        <item x="483"/>
        <item x="718"/>
        <item x="570"/>
        <item x="361"/>
        <item x="145"/>
        <item x="66"/>
        <item x="615"/>
        <item x="641"/>
        <item x="508"/>
        <item x="304"/>
        <item x="884"/>
        <item x="84"/>
        <item x="126"/>
        <item x="430"/>
        <item x="59"/>
        <item x="267"/>
        <item x="650"/>
        <item x="696"/>
        <item x="298"/>
        <item x="877"/>
        <item x="794"/>
        <item x="96"/>
        <item x="852"/>
        <item x="972"/>
        <item x="480"/>
        <item x="360"/>
        <item x="717"/>
        <item x="942"/>
        <item x="424"/>
        <item x="977"/>
        <item x="193"/>
        <item x="185"/>
        <item x="752"/>
        <item x="643"/>
        <item x="365"/>
        <item x="311"/>
        <item x="235"/>
        <item x="85"/>
        <item x="954"/>
        <item x="255"/>
        <item x="814"/>
        <item x="400"/>
        <item x="828"/>
        <item x="355"/>
        <item x="264"/>
        <item x="196"/>
        <item x="810"/>
        <item x="87"/>
        <item x="606"/>
        <item x="589"/>
        <item x="80"/>
        <item x="909"/>
        <item x="782"/>
        <item x="335"/>
        <item x="759"/>
        <item x="863"/>
        <item x="259"/>
        <item x="121"/>
        <item x="286"/>
        <item x="739"/>
        <item x="536"/>
        <item x="692"/>
        <item x="172"/>
        <item x="906"/>
        <item x="256"/>
        <item x="617"/>
        <item x="860"/>
        <item x="943"/>
        <item x="547"/>
        <item x="953"/>
        <item x="532"/>
        <item x="290"/>
        <item x="22"/>
        <item x="971"/>
        <item x="140"/>
        <item x="582"/>
        <item x="354"/>
        <item x="983"/>
        <item x="47"/>
        <item x="372"/>
        <item x="225"/>
        <item x="476"/>
        <item x="988"/>
        <item x="230"/>
        <item x="307"/>
        <item x="629"/>
        <item x="157"/>
        <item x="517"/>
        <item x="356"/>
        <item x="707"/>
        <item x="722"/>
        <item x="291"/>
        <item x="62"/>
        <item x="388"/>
        <item x="359"/>
        <item x="239"/>
        <item x="788"/>
        <item x="855"/>
        <item x="132"/>
        <item x="728"/>
        <item x="428"/>
        <item x="122"/>
        <item x="319"/>
        <item x="576"/>
        <item x="756"/>
        <item x="133"/>
        <item x="152"/>
        <item x="974"/>
        <item x="340"/>
        <item x="127"/>
        <item x="303"/>
        <item x="504"/>
        <item x="681"/>
        <item x="482"/>
        <item x="68"/>
        <item x="867"/>
        <item x="60"/>
        <item x="619"/>
        <item x="478"/>
        <item x="966"/>
        <item x="65"/>
        <item x="812"/>
        <item x="451"/>
        <item x="652"/>
        <item x="776"/>
        <item x="313"/>
        <item x="265"/>
        <item x="833"/>
        <item x="793"/>
        <item x="611"/>
        <item x="237"/>
        <item x="397"/>
        <item x="952"/>
        <item x="236"/>
        <item x="697"/>
        <item x="591"/>
        <item x="920"/>
        <item x="612"/>
        <item x="832"/>
        <item x="443"/>
        <item x="978"/>
        <item x="514"/>
        <item x="455"/>
        <item x="700"/>
        <item x="317"/>
        <item x="683"/>
        <item x="214"/>
        <item x="223"/>
        <item x="886"/>
        <item x="621"/>
        <item x="835"/>
        <item x="713"/>
        <item x="306"/>
        <item x="973"/>
        <item x="703"/>
        <item x="958"/>
        <item x="631"/>
        <item x="414"/>
        <item x="97"/>
        <item x="957"/>
        <item x="279"/>
        <item x="456"/>
        <item x="552"/>
        <item x="637"/>
        <item x="991"/>
        <item x="565"/>
        <item x="673"/>
        <item x="640"/>
        <item x="851"/>
        <item x="368"/>
        <item x="341"/>
        <item x="926"/>
        <item x="574"/>
        <item x="123"/>
        <item x="170"/>
        <item x="623"/>
        <item x="445"/>
        <item x="94"/>
        <item x="743"/>
        <item x="77"/>
        <item x="513"/>
        <item x="824"/>
        <item x="761"/>
        <item x="426"/>
        <item x="748"/>
        <item x="409"/>
        <item x="502"/>
        <item x="48"/>
        <item x="51"/>
        <item x="161"/>
        <item x="632"/>
        <item x="137"/>
        <item x="427"/>
        <item x="136"/>
        <item x="379"/>
        <item x="450"/>
        <item x="281"/>
        <item x="597"/>
        <item x="429"/>
        <item x="802"/>
        <item x="405"/>
        <item x="607"/>
        <item x="801"/>
        <item x="789"/>
        <item x="61"/>
        <item x="174"/>
        <item x="142"/>
        <item x="14"/>
        <item x="331"/>
        <item x="226"/>
        <item x="343"/>
        <item x="569"/>
        <item x="432"/>
        <item x="392"/>
        <item x="709"/>
        <item x="559"/>
        <item x="184"/>
        <item x="108"/>
        <item x="664"/>
        <item x="408"/>
        <item x="254"/>
        <item x="677"/>
        <item x="800"/>
        <item x="35"/>
        <item x="491"/>
        <item x="344"/>
        <item x="834"/>
        <item x="633"/>
        <item x="30"/>
        <item x="961"/>
        <item x="668"/>
        <item x="6"/>
        <item x="736"/>
        <item x="384"/>
        <item x="691"/>
        <item x="146"/>
        <item x="932"/>
        <item x="889"/>
        <item x="543"/>
        <item x="746"/>
        <item x="816"/>
        <item x="675"/>
        <item x="399"/>
        <item x="981"/>
        <item x="848"/>
        <item x="250"/>
        <item x="176"/>
        <item x="949"/>
        <item x="148"/>
        <item x="10"/>
        <item x="373"/>
        <item x="868"/>
        <item x="755"/>
        <item x="636"/>
        <item x="69"/>
        <item x="785"/>
        <item x="118"/>
        <item x="734"/>
        <item x="163"/>
        <item x="371"/>
        <item x="581"/>
        <item x="731"/>
        <item x="885"/>
        <item x="274"/>
        <item x="676"/>
        <item x="940"/>
        <item x="268"/>
        <item x="765"/>
        <item x="512"/>
        <item x="601"/>
        <item x="853"/>
        <item x="937"/>
        <item x="620"/>
        <item x="200"/>
        <item x="187"/>
        <item x="721"/>
        <item x="470"/>
        <item x="390"/>
        <item x="882"/>
        <item x="499"/>
        <item x="434"/>
        <item x="364"/>
        <item x="403"/>
        <item x="251"/>
        <item x="670"/>
        <item x="261"/>
        <item x="210"/>
        <item x="497"/>
        <item x="263"/>
        <item x="767"/>
        <item x="270"/>
        <item x="222"/>
        <item x="791"/>
        <item x="45"/>
        <item x="768"/>
        <item x="288"/>
        <item x="20"/>
        <item x="719"/>
        <item x="583"/>
        <item x="39"/>
        <item x="551"/>
        <item x="415"/>
        <item x="380"/>
        <item x="454"/>
        <item x="220"/>
        <item x="473"/>
        <item x="503"/>
        <item x="36"/>
        <item x="111"/>
        <item x="555"/>
        <item x="535"/>
        <item x="105"/>
        <item x="463"/>
        <item x="847"/>
        <item x="701"/>
        <item x="524"/>
        <item x="125"/>
        <item x="741"/>
        <item x="846"/>
        <item x="690"/>
        <item x="970"/>
        <item x="370"/>
        <item x="43"/>
        <item x="695"/>
        <item x="669"/>
        <item x="962"/>
        <item x="262"/>
        <item x="485"/>
        <item x="293"/>
        <item x="324"/>
        <item x="895"/>
        <item x="489"/>
        <item x="192"/>
        <item x="181"/>
        <item x="219"/>
        <item x="986"/>
        <item x="260"/>
        <item x="369"/>
        <item x="107"/>
        <item x="24"/>
        <item x="54"/>
        <item x="916"/>
        <item x="488"/>
        <item x="610"/>
        <item x="845"/>
        <item x="484"/>
        <item x="208"/>
        <item x="467"/>
        <item x="347"/>
        <item x="872"/>
        <item x="595"/>
        <item x="75"/>
        <item x="173"/>
        <item x="778"/>
        <item x="861"/>
        <item x="119"/>
        <item x="188"/>
        <item x="468"/>
        <item x="762"/>
        <item x="723"/>
        <item x="588"/>
        <item x="410"/>
        <item x="730"/>
        <item x="586"/>
        <item x="326"/>
        <item x="34"/>
        <item x="115"/>
        <item x="352"/>
        <item x="201"/>
        <item x="458"/>
        <item x="199"/>
        <item x="985"/>
        <item x="53"/>
        <item x="389"/>
        <item x="301"/>
        <item x="645"/>
        <item x="648"/>
        <item x="472"/>
        <item x="720"/>
        <item x="545"/>
        <item x="638"/>
        <item x="561"/>
        <item x="724"/>
        <item x="334"/>
        <item x="461"/>
        <item x="878"/>
        <item x="841"/>
        <item x="990"/>
        <item x="505"/>
        <item x="698"/>
        <item x="166"/>
        <item x="941"/>
        <item x="358"/>
        <item x="754"/>
        <item x="963"/>
        <item x="689"/>
        <item x="117"/>
        <item x="128"/>
        <item x="139"/>
        <item x="784"/>
        <item x="73"/>
        <item x="93"/>
        <item x="758"/>
        <item x="328"/>
        <item x="440"/>
        <item x="575"/>
        <item x="227"/>
        <item x="289"/>
        <item x="825"/>
        <item x="337"/>
        <item x="639"/>
        <item x="679"/>
        <item x="138"/>
        <item x="815"/>
        <item x="534"/>
        <item x="775"/>
        <item x="672"/>
        <item x="391"/>
        <item x="287"/>
        <item x="663"/>
        <item x="693"/>
        <item x="2"/>
        <item x="541"/>
        <item x="465"/>
        <item x="233"/>
        <item x="826"/>
        <item x="950"/>
        <item x="462"/>
        <item x="453"/>
        <item x="50"/>
        <item x="266"/>
        <item x="186"/>
        <item x="322"/>
        <item x="839"/>
        <item x="572"/>
        <item x="466"/>
        <item x="131"/>
        <item x="42"/>
        <item x="215"/>
        <item x="447"/>
        <item x="688"/>
        <item x="770"/>
        <item x="894"/>
        <item x="416"/>
        <item x="320"/>
        <item x="560"/>
        <item x="712"/>
        <item x="901"/>
        <item x="989"/>
        <item x="644"/>
        <item x="699"/>
        <item x="471"/>
        <item x="587"/>
        <item x="787"/>
        <item x="481"/>
        <item x="573"/>
        <item x="750"/>
        <item x="862"/>
        <item x="280"/>
        <item x="786"/>
        <item x="898"/>
        <item x="515"/>
        <item x="642"/>
        <item x="579"/>
        <item x="537"/>
        <item x="374"/>
        <item x="493"/>
        <item x="564"/>
        <item x="849"/>
        <item x="538"/>
        <item x="113"/>
        <item x="896"/>
        <item x="431"/>
        <item x="774"/>
        <item x="557"/>
        <item x="109"/>
        <item x="103"/>
        <item x="590"/>
        <item x="183"/>
        <item x="900"/>
        <item x="206"/>
        <item x="244"/>
        <item x="507"/>
        <item x="523"/>
        <item x="927"/>
        <item x="549"/>
        <item x="840"/>
        <item x="99"/>
        <item x="346"/>
        <item x="52"/>
        <item x="907"/>
        <item x="726"/>
        <item x="881"/>
        <item x="49"/>
        <item x="492"/>
        <item x="55"/>
        <item x="871"/>
        <item x="956"/>
        <item x="622"/>
        <item x="665"/>
        <item x="16"/>
        <item x="357"/>
        <item x="56"/>
        <item x="946"/>
        <item x="975"/>
        <item x="751"/>
        <item x="348"/>
        <item x="922"/>
        <item x="285"/>
        <item x="657"/>
        <item x="63"/>
        <item x="112"/>
        <item x="143"/>
        <item x="78"/>
        <item x="421"/>
        <item x="740"/>
        <item x="843"/>
        <item x="448"/>
        <item x="822"/>
        <item x="806"/>
        <item x="797"/>
        <item x="141"/>
        <item x="879"/>
        <item x="968"/>
        <item x="5"/>
        <item x="960"/>
        <item x="90"/>
        <item x="859"/>
        <item x="393"/>
        <item x="915"/>
        <item x="336"/>
        <item x="821"/>
        <item x="29"/>
        <item x="510"/>
        <item x="309"/>
        <item x="4"/>
        <item x="658"/>
        <item x="742"/>
        <item x="366"/>
        <item x="179"/>
        <item x="779"/>
        <item x="908"/>
        <item x="566"/>
        <item x="880"/>
        <item x="533"/>
        <item x="530"/>
        <item x="149"/>
        <item x="26"/>
        <item x="965"/>
        <item x="738"/>
        <item x="599"/>
        <item x="238"/>
        <item x="474"/>
        <item x="325"/>
        <item x="792"/>
        <item x="106"/>
        <item x="258"/>
        <item x="295"/>
        <item x="798"/>
        <item x="57"/>
        <item x="600"/>
        <item x="694"/>
        <item x="874"/>
        <item x="435"/>
        <item x="857"/>
        <item x="376"/>
        <item x="790"/>
        <item x="464"/>
        <item x="783"/>
        <item x="284"/>
        <item x="869"/>
        <item x="682"/>
        <item x="649"/>
        <item x="475"/>
        <item x="387"/>
        <item x="19"/>
        <item x="9"/>
        <item x="232"/>
        <item x="349"/>
        <item x="150"/>
        <item x="89"/>
        <item x="613"/>
        <item x="964"/>
        <item x="944"/>
        <item x="525"/>
        <item x="837"/>
        <item x="278"/>
        <item x="702"/>
        <item x="733"/>
        <item x="685"/>
        <item x="28"/>
        <item x="228"/>
        <item x="602"/>
        <item x="542"/>
        <item x="23"/>
        <item x="781"/>
        <item x="269"/>
        <item x="38"/>
        <item x="656"/>
        <item x="189"/>
        <item x="769"/>
        <item x="803"/>
        <item x="74"/>
        <item x="350"/>
        <item x="33"/>
        <item x="177"/>
        <item x="704"/>
        <item x="609"/>
        <item x="584"/>
        <item x="680"/>
        <item x="578"/>
        <item x="819"/>
        <item x="593"/>
        <item x="498"/>
        <item x="418"/>
        <item x="83"/>
        <item x="316"/>
        <item x="212"/>
        <item x="500"/>
        <item x="820"/>
        <item x="231"/>
        <item x="182"/>
        <item x="585"/>
        <item x="883"/>
        <item x="614"/>
        <item x="807"/>
        <item x="858"/>
        <item x="11"/>
        <item x="780"/>
        <item x="221"/>
        <item x="979"/>
        <item x="44"/>
        <item x="982"/>
        <item x="160"/>
        <item x="299"/>
        <item x="209"/>
        <item x="327"/>
        <item x="292"/>
        <item x="407"/>
        <item x="395"/>
        <item x="91"/>
        <item x="548"/>
        <item x="945"/>
        <item x="732"/>
        <item x="375"/>
        <item x="154"/>
        <item x="155"/>
        <item x="242"/>
        <item x="243"/>
        <item x="213"/>
        <item x="469"/>
        <item x="520"/>
        <item x="420"/>
        <item x="459"/>
        <item x="398"/>
        <item x="272"/>
        <item x="955"/>
        <item x="914"/>
        <item x="308"/>
        <item x="873"/>
        <item x="870"/>
        <item x="46"/>
        <item x="396"/>
        <item x="0"/>
        <item x="933"/>
        <item x="271"/>
        <item x="297"/>
        <item x="678"/>
        <item x="546"/>
        <item x="687"/>
        <item x="417"/>
        <item x="158"/>
        <item x="931"/>
        <item x="891"/>
        <item x="947"/>
        <item x="850"/>
        <item x="330"/>
        <item x="72"/>
        <item x="169"/>
        <item x="854"/>
        <item x="951"/>
        <item x="624"/>
        <item x="921"/>
        <item x="558"/>
        <item x="381"/>
        <item x="198"/>
        <item x="342"/>
        <item x="616"/>
        <item x="245"/>
        <item x="460"/>
        <item x="79"/>
        <item x="302"/>
        <item x="159"/>
        <item x="332"/>
        <item x="905"/>
        <item x="178"/>
        <item x="745"/>
        <item x="190"/>
        <item x="151"/>
        <item x="477"/>
        <item x="385"/>
        <item x="910"/>
        <item x="92"/>
        <item x="323"/>
        <item x="134"/>
        <item x="205"/>
        <item x="401"/>
        <item x="13"/>
        <item x="382"/>
        <item x="714"/>
        <item x="592"/>
        <item x="890"/>
        <item x="654"/>
        <item x="487"/>
        <item x="705"/>
        <item x="156"/>
        <item x="333"/>
        <item x="64"/>
        <item x="422"/>
        <item x="674"/>
        <item x="838"/>
        <item x="383"/>
        <item x="948"/>
        <item x="655"/>
        <item x="479"/>
        <item x="805"/>
        <item x="275"/>
        <item x="218"/>
        <item x="934"/>
        <item x="753"/>
        <item x="345"/>
        <item x="7"/>
        <item x="544"/>
        <item x="114"/>
        <item x="216"/>
        <item x="305"/>
        <item x="976"/>
        <item x="32"/>
        <item x="936"/>
        <item x="501"/>
        <item x="321"/>
        <item x="165"/>
        <item x="809"/>
        <item x="495"/>
        <item x="830"/>
        <item x="892"/>
        <item x="556"/>
        <item x="88"/>
        <item x="509"/>
        <item x="727"/>
        <item x="312"/>
        <item x="377"/>
        <item x="661"/>
        <item x="844"/>
        <item x="310"/>
        <item x="804"/>
        <item x="224"/>
        <item x="598"/>
        <item x="211"/>
        <item x="795"/>
        <item x="744"/>
        <item x="404"/>
        <item x="518"/>
        <item x="827"/>
        <item x="58"/>
        <item x="864"/>
        <item x="662"/>
        <item x="618"/>
        <item x="86"/>
        <item x="21"/>
        <item x="729"/>
        <item x="929"/>
        <item x="577"/>
        <item x="984"/>
        <item x="667"/>
        <item x="411"/>
        <item x="628"/>
        <item x="865"/>
        <item x="660"/>
        <item x="425"/>
        <item x="240"/>
        <item x="959"/>
        <item x="386"/>
        <item x="608"/>
        <item x="935"/>
        <item x="41"/>
        <item x="735"/>
        <item x="17"/>
        <item x="519"/>
        <item x="367"/>
        <item x="823"/>
        <item x="438"/>
        <item x="162"/>
        <item x="8"/>
        <item x="554"/>
        <item x="540"/>
        <item x="217"/>
        <item x="980"/>
        <item x="725"/>
        <item x="711"/>
        <item x="204"/>
        <item x="562"/>
        <item x="777"/>
        <item x="526"/>
        <item x="716"/>
        <item x="419"/>
        <item x="95"/>
        <item x="130"/>
        <item x="197"/>
        <item x="904"/>
        <item x="402"/>
        <item x="528"/>
        <item x="437"/>
        <item x="102"/>
        <item x="449"/>
        <item x="563"/>
        <item x="248"/>
        <item x="276"/>
        <item x="836"/>
        <item x="229"/>
        <item x="899"/>
        <item x="856"/>
        <item x="257"/>
        <item x="144"/>
        <item x="522"/>
        <item x="684"/>
        <item x="902"/>
        <item x="406"/>
        <item x="444"/>
        <item x="164"/>
        <item x="749"/>
        <item x="625"/>
        <item x="363"/>
        <item x="167"/>
        <item x="413"/>
        <item x="605"/>
        <item x="496"/>
        <item x="760"/>
        <item x="651"/>
        <item x="329"/>
        <item x="116"/>
        <item x="521"/>
        <item x="603"/>
        <item x="529"/>
        <item x="135"/>
        <item x="938"/>
        <item x="195"/>
        <item x="539"/>
        <item x="71"/>
        <item x="604"/>
        <item x="300"/>
        <item x="100"/>
        <item x="627"/>
        <item x="917"/>
        <item x="457"/>
        <item x="766"/>
        <item x="967"/>
        <item x="580"/>
        <item x="31"/>
        <item x="76"/>
        <item x="439"/>
        <item x="939"/>
        <item x="596"/>
        <item x="630"/>
        <item x="708"/>
        <item x="490"/>
        <item x="829"/>
        <item x="436"/>
        <item x="930"/>
        <item x="531"/>
        <item x="568"/>
        <item x="686"/>
        <item x="715"/>
        <item x="104"/>
        <item x="191"/>
        <item x="18"/>
        <item x="553"/>
        <item x="110"/>
        <item x="925"/>
        <item x="919"/>
        <item x="1"/>
        <item x="180"/>
        <item x="81"/>
        <item x="241"/>
        <item x="101"/>
        <item x="67"/>
        <item x="511"/>
        <item x="339"/>
        <item x="516"/>
        <item x="203"/>
        <item x="550"/>
        <item x="147"/>
        <item x="737"/>
        <item x="887"/>
        <item x="653"/>
        <item x="527"/>
        <item x="273"/>
        <item x="818"/>
        <item x="903"/>
        <item x="253"/>
        <item x="207"/>
        <item x="318"/>
        <item x="171"/>
        <item x="594"/>
        <item x="15"/>
        <item x="875"/>
        <item x="70"/>
        <item x="893"/>
        <item x="194"/>
        <item x="247"/>
        <item x="918"/>
        <item x="671"/>
        <item x="647"/>
        <item t="default"/>
      </items>
    </pivotField>
    <pivotField showAll="0"/>
    <pivotField showAll="0"/>
    <pivotField showAll="0"/>
    <pivotField showAll="0"/>
    <pivotField showAll="0">
      <items count="11">
        <item x="4"/>
        <item x="0"/>
        <item x="7"/>
        <item x="5"/>
        <item x="8"/>
        <item x="2"/>
        <item x="9"/>
        <item x="1"/>
        <item x="6"/>
        <item x="3"/>
        <item t="default"/>
      </items>
    </pivotField>
    <pivotField showAll="0"/>
    <pivotField showAll="0"/>
    <pivotField dataField="1" showAll="0"/>
    <pivotField showAll="0"/>
    <pivotField numFmtId="9" showAll="0"/>
  </pivotFields>
  <rowFields count="1">
    <field x="1"/>
  </rowFields>
  <rowItems count="13">
    <i>
      <x v="23"/>
    </i>
    <i>
      <x v="69"/>
    </i>
    <i>
      <x v="100"/>
    </i>
    <i>
      <x v="212"/>
    </i>
    <i>
      <x v="294"/>
    </i>
    <i>
      <x v="301"/>
    </i>
    <i>
      <x v="395"/>
    </i>
    <i>
      <x v="448"/>
    </i>
    <i>
      <x v="603"/>
    </i>
    <i>
      <x v="674"/>
    </i>
    <i>
      <x v="859"/>
    </i>
    <i>
      <x v="978"/>
    </i>
    <i t="grand">
      <x/>
    </i>
  </rowItems>
  <colItems count="1">
    <i/>
  </colItems>
  <dataFields count="1">
    <dataField name="Sum of Rating" fld="9" baseField="0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Dark3" showRowHeaders="1" showColHeaders="1" showRowStripes="0" showColStripes="0" showLastColumn="1"/>
  <filters count="1">
    <filter fld="1" type="count" evalOrder="-1" id="2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750A113-9868-4205-B6FC-9A064907065A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 rowHeaderCaption="Coutry">
  <location ref="A18:B40" firstHeaderRow="1" firstDataRow="1" firstDataCol="1"/>
  <pivotFields count="12">
    <pivotField dataField="1" showAll="0"/>
    <pivotField showAll="0">
      <items count="993">
        <item x="866"/>
        <item x="757"/>
        <item x="338"/>
        <item x="494"/>
        <item x="771"/>
        <item x="831"/>
        <item x="452"/>
        <item x="202"/>
        <item x="811"/>
        <item x="969"/>
        <item x="808"/>
        <item x="987"/>
        <item x="282"/>
        <item x="710"/>
        <item x="296"/>
        <item x="353"/>
        <item x="129"/>
        <item x="817"/>
        <item x="923"/>
        <item x="813"/>
        <item x="27"/>
        <item x="12"/>
        <item x="634"/>
        <item x="315"/>
        <item x="876"/>
        <item x="412"/>
        <item x="423"/>
        <item x="120"/>
        <item x="486"/>
        <item x="796"/>
        <item x="446"/>
        <item x="175"/>
        <item x="763"/>
        <item x="351"/>
        <item x="666"/>
        <item x="799"/>
        <item x="3"/>
        <item x="567"/>
        <item x="772"/>
        <item x="912"/>
        <item x="37"/>
        <item x="294"/>
        <item x="911"/>
        <item x="249"/>
        <item x="441"/>
        <item x="82"/>
        <item x="635"/>
        <item x="124"/>
        <item x="897"/>
        <item x="98"/>
        <item x="246"/>
        <item x="646"/>
        <item x="442"/>
        <item x="626"/>
        <item x="314"/>
        <item x="362"/>
        <item x="659"/>
        <item x="706"/>
        <item x="40"/>
        <item x="913"/>
        <item x="283"/>
        <item x="234"/>
        <item x="842"/>
        <item x="25"/>
        <item x="153"/>
        <item x="764"/>
        <item x="928"/>
        <item x="378"/>
        <item x="773"/>
        <item x="433"/>
        <item x="506"/>
        <item x="277"/>
        <item x="888"/>
        <item x="394"/>
        <item x="747"/>
        <item x="168"/>
        <item x="252"/>
        <item x="924"/>
        <item x="571"/>
        <item x="483"/>
        <item x="718"/>
        <item x="570"/>
        <item x="361"/>
        <item x="145"/>
        <item x="66"/>
        <item x="615"/>
        <item x="641"/>
        <item x="508"/>
        <item x="304"/>
        <item x="884"/>
        <item x="84"/>
        <item x="126"/>
        <item x="430"/>
        <item x="59"/>
        <item x="267"/>
        <item x="650"/>
        <item x="696"/>
        <item x="298"/>
        <item x="877"/>
        <item x="794"/>
        <item x="96"/>
        <item x="852"/>
        <item x="972"/>
        <item x="480"/>
        <item x="360"/>
        <item x="717"/>
        <item x="942"/>
        <item x="424"/>
        <item x="977"/>
        <item x="193"/>
        <item x="185"/>
        <item x="752"/>
        <item x="643"/>
        <item x="365"/>
        <item x="311"/>
        <item x="235"/>
        <item x="85"/>
        <item x="954"/>
        <item x="255"/>
        <item x="814"/>
        <item x="400"/>
        <item x="828"/>
        <item x="355"/>
        <item x="264"/>
        <item x="196"/>
        <item x="810"/>
        <item x="87"/>
        <item x="606"/>
        <item x="589"/>
        <item x="80"/>
        <item x="909"/>
        <item x="782"/>
        <item x="335"/>
        <item x="759"/>
        <item x="863"/>
        <item x="259"/>
        <item x="121"/>
        <item x="286"/>
        <item x="739"/>
        <item x="536"/>
        <item x="692"/>
        <item x="172"/>
        <item x="906"/>
        <item x="256"/>
        <item x="617"/>
        <item x="860"/>
        <item x="943"/>
        <item x="547"/>
        <item x="953"/>
        <item x="532"/>
        <item x="290"/>
        <item x="22"/>
        <item x="971"/>
        <item x="140"/>
        <item x="582"/>
        <item x="354"/>
        <item x="983"/>
        <item x="47"/>
        <item x="372"/>
        <item x="225"/>
        <item x="476"/>
        <item x="988"/>
        <item x="230"/>
        <item x="307"/>
        <item x="629"/>
        <item x="157"/>
        <item x="517"/>
        <item x="356"/>
        <item x="707"/>
        <item x="722"/>
        <item x="291"/>
        <item x="62"/>
        <item x="388"/>
        <item x="359"/>
        <item x="239"/>
        <item x="788"/>
        <item x="855"/>
        <item x="132"/>
        <item x="728"/>
        <item x="428"/>
        <item x="122"/>
        <item x="319"/>
        <item x="576"/>
        <item x="756"/>
        <item x="133"/>
        <item x="152"/>
        <item x="974"/>
        <item x="340"/>
        <item x="127"/>
        <item x="303"/>
        <item x="504"/>
        <item x="681"/>
        <item x="482"/>
        <item x="68"/>
        <item x="867"/>
        <item x="60"/>
        <item x="619"/>
        <item x="478"/>
        <item x="966"/>
        <item x="65"/>
        <item x="812"/>
        <item x="451"/>
        <item x="652"/>
        <item x="776"/>
        <item x="313"/>
        <item x="265"/>
        <item x="833"/>
        <item x="793"/>
        <item x="611"/>
        <item x="237"/>
        <item x="397"/>
        <item x="952"/>
        <item x="236"/>
        <item x="697"/>
        <item x="591"/>
        <item x="920"/>
        <item x="612"/>
        <item x="832"/>
        <item x="443"/>
        <item x="978"/>
        <item x="514"/>
        <item x="455"/>
        <item x="700"/>
        <item x="317"/>
        <item x="683"/>
        <item x="214"/>
        <item x="223"/>
        <item x="886"/>
        <item x="621"/>
        <item x="835"/>
        <item x="713"/>
        <item x="306"/>
        <item x="973"/>
        <item x="703"/>
        <item x="958"/>
        <item x="631"/>
        <item x="414"/>
        <item x="97"/>
        <item x="957"/>
        <item x="279"/>
        <item x="456"/>
        <item x="552"/>
        <item x="637"/>
        <item x="991"/>
        <item x="565"/>
        <item x="673"/>
        <item x="640"/>
        <item x="851"/>
        <item x="368"/>
        <item x="341"/>
        <item x="926"/>
        <item x="574"/>
        <item x="123"/>
        <item x="170"/>
        <item x="623"/>
        <item x="445"/>
        <item x="94"/>
        <item x="743"/>
        <item x="77"/>
        <item x="513"/>
        <item x="824"/>
        <item x="761"/>
        <item x="426"/>
        <item x="748"/>
        <item x="409"/>
        <item x="502"/>
        <item x="48"/>
        <item x="51"/>
        <item x="161"/>
        <item x="632"/>
        <item x="137"/>
        <item x="427"/>
        <item x="136"/>
        <item x="379"/>
        <item x="450"/>
        <item x="281"/>
        <item x="597"/>
        <item x="429"/>
        <item x="802"/>
        <item x="405"/>
        <item x="607"/>
        <item x="801"/>
        <item x="789"/>
        <item x="61"/>
        <item x="174"/>
        <item x="142"/>
        <item x="14"/>
        <item x="331"/>
        <item x="226"/>
        <item x="343"/>
        <item x="569"/>
        <item x="432"/>
        <item x="392"/>
        <item x="709"/>
        <item x="559"/>
        <item x="184"/>
        <item x="108"/>
        <item x="664"/>
        <item x="408"/>
        <item x="254"/>
        <item x="677"/>
        <item x="800"/>
        <item x="35"/>
        <item x="491"/>
        <item x="344"/>
        <item x="834"/>
        <item x="633"/>
        <item x="30"/>
        <item x="961"/>
        <item x="668"/>
        <item x="6"/>
        <item x="736"/>
        <item x="384"/>
        <item x="691"/>
        <item x="146"/>
        <item x="932"/>
        <item x="889"/>
        <item x="543"/>
        <item x="746"/>
        <item x="816"/>
        <item x="675"/>
        <item x="399"/>
        <item x="981"/>
        <item x="848"/>
        <item x="250"/>
        <item x="176"/>
        <item x="949"/>
        <item x="148"/>
        <item x="10"/>
        <item x="373"/>
        <item x="868"/>
        <item x="755"/>
        <item x="636"/>
        <item x="69"/>
        <item x="785"/>
        <item x="118"/>
        <item x="734"/>
        <item x="163"/>
        <item x="371"/>
        <item x="581"/>
        <item x="731"/>
        <item x="885"/>
        <item x="274"/>
        <item x="676"/>
        <item x="940"/>
        <item x="268"/>
        <item x="765"/>
        <item x="512"/>
        <item x="601"/>
        <item x="853"/>
        <item x="937"/>
        <item x="620"/>
        <item x="200"/>
        <item x="187"/>
        <item x="721"/>
        <item x="470"/>
        <item x="390"/>
        <item x="882"/>
        <item x="499"/>
        <item x="434"/>
        <item x="364"/>
        <item x="403"/>
        <item x="251"/>
        <item x="670"/>
        <item x="261"/>
        <item x="210"/>
        <item x="497"/>
        <item x="263"/>
        <item x="767"/>
        <item x="270"/>
        <item x="222"/>
        <item x="791"/>
        <item x="45"/>
        <item x="768"/>
        <item x="288"/>
        <item x="20"/>
        <item x="719"/>
        <item x="583"/>
        <item x="39"/>
        <item x="551"/>
        <item x="415"/>
        <item x="380"/>
        <item x="454"/>
        <item x="220"/>
        <item x="473"/>
        <item x="503"/>
        <item x="36"/>
        <item x="111"/>
        <item x="555"/>
        <item x="535"/>
        <item x="105"/>
        <item x="463"/>
        <item x="847"/>
        <item x="701"/>
        <item x="524"/>
        <item x="125"/>
        <item x="741"/>
        <item x="846"/>
        <item x="690"/>
        <item x="970"/>
        <item x="370"/>
        <item x="43"/>
        <item x="695"/>
        <item x="669"/>
        <item x="962"/>
        <item x="262"/>
        <item x="485"/>
        <item x="293"/>
        <item x="324"/>
        <item x="895"/>
        <item x="489"/>
        <item x="192"/>
        <item x="181"/>
        <item x="219"/>
        <item x="986"/>
        <item x="260"/>
        <item x="369"/>
        <item x="107"/>
        <item x="24"/>
        <item x="54"/>
        <item x="916"/>
        <item x="488"/>
        <item x="610"/>
        <item x="845"/>
        <item x="484"/>
        <item x="208"/>
        <item x="467"/>
        <item x="347"/>
        <item x="872"/>
        <item x="595"/>
        <item x="75"/>
        <item x="173"/>
        <item x="778"/>
        <item x="861"/>
        <item x="119"/>
        <item x="188"/>
        <item x="468"/>
        <item x="762"/>
        <item x="723"/>
        <item x="588"/>
        <item x="410"/>
        <item x="730"/>
        <item x="586"/>
        <item x="326"/>
        <item x="34"/>
        <item x="115"/>
        <item x="352"/>
        <item x="201"/>
        <item x="458"/>
        <item x="199"/>
        <item x="985"/>
        <item x="53"/>
        <item x="389"/>
        <item x="301"/>
        <item x="645"/>
        <item x="648"/>
        <item x="472"/>
        <item x="720"/>
        <item x="545"/>
        <item x="638"/>
        <item x="561"/>
        <item x="724"/>
        <item x="334"/>
        <item x="461"/>
        <item x="878"/>
        <item x="841"/>
        <item x="990"/>
        <item x="505"/>
        <item x="698"/>
        <item x="166"/>
        <item x="941"/>
        <item x="358"/>
        <item x="754"/>
        <item x="963"/>
        <item x="689"/>
        <item x="117"/>
        <item x="128"/>
        <item x="139"/>
        <item x="784"/>
        <item x="73"/>
        <item x="93"/>
        <item x="758"/>
        <item x="328"/>
        <item x="440"/>
        <item x="575"/>
        <item x="227"/>
        <item x="289"/>
        <item x="825"/>
        <item x="337"/>
        <item x="639"/>
        <item x="679"/>
        <item x="138"/>
        <item x="815"/>
        <item x="534"/>
        <item x="775"/>
        <item x="672"/>
        <item x="391"/>
        <item x="287"/>
        <item x="663"/>
        <item x="693"/>
        <item x="2"/>
        <item x="541"/>
        <item x="465"/>
        <item x="233"/>
        <item x="826"/>
        <item x="950"/>
        <item x="462"/>
        <item x="453"/>
        <item x="50"/>
        <item x="266"/>
        <item x="186"/>
        <item x="322"/>
        <item x="839"/>
        <item x="572"/>
        <item x="466"/>
        <item x="131"/>
        <item x="42"/>
        <item x="215"/>
        <item x="447"/>
        <item x="688"/>
        <item x="770"/>
        <item x="894"/>
        <item x="416"/>
        <item x="320"/>
        <item x="560"/>
        <item x="712"/>
        <item x="901"/>
        <item x="989"/>
        <item x="644"/>
        <item x="699"/>
        <item x="471"/>
        <item x="587"/>
        <item x="787"/>
        <item x="481"/>
        <item x="573"/>
        <item x="750"/>
        <item x="862"/>
        <item x="280"/>
        <item x="786"/>
        <item x="898"/>
        <item x="515"/>
        <item x="642"/>
        <item x="579"/>
        <item x="537"/>
        <item x="374"/>
        <item x="493"/>
        <item x="564"/>
        <item x="849"/>
        <item x="538"/>
        <item x="113"/>
        <item x="896"/>
        <item x="431"/>
        <item x="774"/>
        <item x="557"/>
        <item x="109"/>
        <item x="103"/>
        <item x="590"/>
        <item x="183"/>
        <item x="900"/>
        <item x="206"/>
        <item x="244"/>
        <item x="507"/>
        <item x="523"/>
        <item x="927"/>
        <item x="549"/>
        <item x="840"/>
        <item x="99"/>
        <item x="346"/>
        <item x="52"/>
        <item x="907"/>
        <item x="726"/>
        <item x="881"/>
        <item x="49"/>
        <item x="492"/>
        <item x="55"/>
        <item x="871"/>
        <item x="956"/>
        <item x="622"/>
        <item x="665"/>
        <item x="16"/>
        <item x="357"/>
        <item x="56"/>
        <item x="946"/>
        <item x="975"/>
        <item x="751"/>
        <item x="348"/>
        <item x="922"/>
        <item x="285"/>
        <item x="657"/>
        <item x="63"/>
        <item x="112"/>
        <item x="143"/>
        <item x="78"/>
        <item x="421"/>
        <item x="740"/>
        <item x="843"/>
        <item x="448"/>
        <item x="822"/>
        <item x="806"/>
        <item x="797"/>
        <item x="141"/>
        <item x="879"/>
        <item x="968"/>
        <item x="5"/>
        <item x="960"/>
        <item x="90"/>
        <item x="859"/>
        <item x="393"/>
        <item x="915"/>
        <item x="336"/>
        <item x="821"/>
        <item x="29"/>
        <item x="510"/>
        <item x="309"/>
        <item x="4"/>
        <item x="658"/>
        <item x="742"/>
        <item x="366"/>
        <item x="179"/>
        <item x="779"/>
        <item x="908"/>
        <item x="566"/>
        <item x="880"/>
        <item x="533"/>
        <item x="530"/>
        <item x="149"/>
        <item x="26"/>
        <item x="965"/>
        <item x="738"/>
        <item x="599"/>
        <item x="238"/>
        <item x="474"/>
        <item x="325"/>
        <item x="792"/>
        <item x="106"/>
        <item x="258"/>
        <item x="295"/>
        <item x="798"/>
        <item x="57"/>
        <item x="600"/>
        <item x="694"/>
        <item x="874"/>
        <item x="435"/>
        <item x="857"/>
        <item x="376"/>
        <item x="790"/>
        <item x="464"/>
        <item x="783"/>
        <item x="284"/>
        <item x="869"/>
        <item x="682"/>
        <item x="649"/>
        <item x="475"/>
        <item x="387"/>
        <item x="19"/>
        <item x="9"/>
        <item x="232"/>
        <item x="349"/>
        <item x="150"/>
        <item x="89"/>
        <item x="613"/>
        <item x="964"/>
        <item x="944"/>
        <item x="525"/>
        <item x="837"/>
        <item x="278"/>
        <item x="702"/>
        <item x="733"/>
        <item x="685"/>
        <item x="28"/>
        <item x="228"/>
        <item x="602"/>
        <item x="542"/>
        <item x="23"/>
        <item x="781"/>
        <item x="269"/>
        <item x="38"/>
        <item x="656"/>
        <item x="189"/>
        <item x="769"/>
        <item x="803"/>
        <item x="74"/>
        <item x="350"/>
        <item x="33"/>
        <item x="177"/>
        <item x="704"/>
        <item x="609"/>
        <item x="584"/>
        <item x="680"/>
        <item x="578"/>
        <item x="819"/>
        <item x="593"/>
        <item x="498"/>
        <item x="418"/>
        <item x="83"/>
        <item x="316"/>
        <item x="212"/>
        <item x="500"/>
        <item x="820"/>
        <item x="231"/>
        <item x="182"/>
        <item x="585"/>
        <item x="883"/>
        <item x="614"/>
        <item x="807"/>
        <item x="858"/>
        <item x="11"/>
        <item x="780"/>
        <item x="221"/>
        <item x="979"/>
        <item x="44"/>
        <item x="982"/>
        <item x="160"/>
        <item x="299"/>
        <item x="209"/>
        <item x="327"/>
        <item x="292"/>
        <item x="407"/>
        <item x="395"/>
        <item x="91"/>
        <item x="548"/>
        <item x="945"/>
        <item x="732"/>
        <item x="375"/>
        <item x="154"/>
        <item x="155"/>
        <item x="242"/>
        <item x="243"/>
        <item x="213"/>
        <item x="469"/>
        <item x="520"/>
        <item x="420"/>
        <item x="459"/>
        <item x="398"/>
        <item x="272"/>
        <item x="955"/>
        <item x="914"/>
        <item x="308"/>
        <item x="873"/>
        <item x="870"/>
        <item x="46"/>
        <item x="396"/>
        <item x="0"/>
        <item x="933"/>
        <item x="271"/>
        <item x="297"/>
        <item x="678"/>
        <item x="546"/>
        <item x="687"/>
        <item x="417"/>
        <item x="158"/>
        <item x="931"/>
        <item x="891"/>
        <item x="947"/>
        <item x="850"/>
        <item x="330"/>
        <item x="72"/>
        <item x="169"/>
        <item x="854"/>
        <item x="951"/>
        <item x="624"/>
        <item x="921"/>
        <item x="558"/>
        <item x="381"/>
        <item x="198"/>
        <item x="342"/>
        <item x="616"/>
        <item x="245"/>
        <item x="460"/>
        <item x="79"/>
        <item x="302"/>
        <item x="159"/>
        <item x="332"/>
        <item x="905"/>
        <item x="178"/>
        <item x="745"/>
        <item x="190"/>
        <item x="151"/>
        <item x="477"/>
        <item x="385"/>
        <item x="910"/>
        <item x="92"/>
        <item x="323"/>
        <item x="134"/>
        <item x="205"/>
        <item x="401"/>
        <item x="13"/>
        <item x="382"/>
        <item x="714"/>
        <item x="592"/>
        <item x="890"/>
        <item x="654"/>
        <item x="487"/>
        <item x="705"/>
        <item x="156"/>
        <item x="333"/>
        <item x="64"/>
        <item x="422"/>
        <item x="674"/>
        <item x="838"/>
        <item x="383"/>
        <item x="948"/>
        <item x="655"/>
        <item x="479"/>
        <item x="805"/>
        <item x="275"/>
        <item x="218"/>
        <item x="934"/>
        <item x="753"/>
        <item x="345"/>
        <item x="7"/>
        <item x="544"/>
        <item x="114"/>
        <item x="216"/>
        <item x="305"/>
        <item x="976"/>
        <item x="32"/>
        <item x="936"/>
        <item x="501"/>
        <item x="321"/>
        <item x="165"/>
        <item x="809"/>
        <item x="495"/>
        <item x="830"/>
        <item x="892"/>
        <item x="556"/>
        <item x="88"/>
        <item x="509"/>
        <item x="727"/>
        <item x="312"/>
        <item x="377"/>
        <item x="661"/>
        <item x="844"/>
        <item x="310"/>
        <item x="804"/>
        <item x="224"/>
        <item x="598"/>
        <item x="211"/>
        <item x="795"/>
        <item x="744"/>
        <item x="404"/>
        <item x="518"/>
        <item x="827"/>
        <item x="58"/>
        <item x="864"/>
        <item x="662"/>
        <item x="618"/>
        <item x="86"/>
        <item x="21"/>
        <item x="729"/>
        <item x="929"/>
        <item x="577"/>
        <item x="984"/>
        <item x="667"/>
        <item x="411"/>
        <item x="628"/>
        <item x="865"/>
        <item x="660"/>
        <item x="425"/>
        <item x="240"/>
        <item x="959"/>
        <item x="386"/>
        <item x="608"/>
        <item x="935"/>
        <item x="41"/>
        <item x="735"/>
        <item x="17"/>
        <item x="519"/>
        <item x="367"/>
        <item x="823"/>
        <item x="438"/>
        <item x="162"/>
        <item x="8"/>
        <item x="554"/>
        <item x="540"/>
        <item x="217"/>
        <item x="980"/>
        <item x="725"/>
        <item x="711"/>
        <item x="204"/>
        <item x="562"/>
        <item x="777"/>
        <item x="526"/>
        <item x="716"/>
        <item x="419"/>
        <item x="95"/>
        <item x="130"/>
        <item x="197"/>
        <item x="904"/>
        <item x="402"/>
        <item x="528"/>
        <item x="437"/>
        <item x="102"/>
        <item x="449"/>
        <item x="563"/>
        <item x="248"/>
        <item x="276"/>
        <item x="836"/>
        <item x="229"/>
        <item x="899"/>
        <item x="856"/>
        <item x="257"/>
        <item x="144"/>
        <item x="522"/>
        <item x="684"/>
        <item x="902"/>
        <item x="406"/>
        <item x="444"/>
        <item x="164"/>
        <item x="749"/>
        <item x="625"/>
        <item x="363"/>
        <item x="167"/>
        <item x="413"/>
        <item x="605"/>
        <item x="496"/>
        <item x="760"/>
        <item x="651"/>
        <item x="329"/>
        <item x="116"/>
        <item x="521"/>
        <item x="603"/>
        <item x="529"/>
        <item x="135"/>
        <item x="938"/>
        <item x="195"/>
        <item x="539"/>
        <item x="71"/>
        <item x="604"/>
        <item x="300"/>
        <item x="100"/>
        <item x="627"/>
        <item x="917"/>
        <item x="457"/>
        <item x="766"/>
        <item x="967"/>
        <item x="580"/>
        <item x="31"/>
        <item x="76"/>
        <item x="439"/>
        <item x="939"/>
        <item x="596"/>
        <item x="630"/>
        <item x="708"/>
        <item x="490"/>
        <item x="829"/>
        <item x="436"/>
        <item x="930"/>
        <item x="531"/>
        <item x="568"/>
        <item x="686"/>
        <item x="715"/>
        <item x="104"/>
        <item x="191"/>
        <item x="18"/>
        <item x="553"/>
        <item x="110"/>
        <item x="925"/>
        <item x="919"/>
        <item x="1"/>
        <item x="180"/>
        <item x="81"/>
        <item x="241"/>
        <item x="101"/>
        <item x="67"/>
        <item x="511"/>
        <item x="339"/>
        <item x="516"/>
        <item x="203"/>
        <item x="550"/>
        <item x="147"/>
        <item x="737"/>
        <item x="887"/>
        <item x="653"/>
        <item x="527"/>
        <item x="273"/>
        <item x="818"/>
        <item x="903"/>
        <item x="253"/>
        <item x="207"/>
        <item x="318"/>
        <item x="171"/>
        <item x="594"/>
        <item x="15"/>
        <item x="875"/>
        <item x="70"/>
        <item x="893"/>
        <item x="194"/>
        <item x="247"/>
        <item x="918"/>
        <item x="671"/>
        <item x="647"/>
        <item t="default"/>
      </items>
    </pivotField>
    <pivotField showAll="0"/>
    <pivotField showAll="0"/>
    <pivotField axis="axisRow" showAll="0">
      <items count="22">
        <item x="8"/>
        <item x="1"/>
        <item x="11"/>
        <item x="14"/>
        <item x="18"/>
        <item x="16"/>
        <item x="15"/>
        <item x="2"/>
        <item x="10"/>
        <item x="4"/>
        <item x="0"/>
        <item x="9"/>
        <item x="19"/>
        <item x="3"/>
        <item x="13"/>
        <item x="17"/>
        <item x="12"/>
        <item x="20"/>
        <item x="6"/>
        <item x="7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numFmtId="9" showAll="0"/>
  </pivotFields>
  <rowFields count="1">
    <field x="4"/>
  </rowFields>
  <rowItems count="2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 t="grand">
      <x/>
    </i>
  </rowItems>
  <colItems count="1">
    <i/>
  </colItems>
  <dataFields count="1">
    <dataField name="Count of Freelancer id" fld="0" subtotal="count" baseField="0" baseItem="0"/>
  </dataFields>
  <chartFormats count="1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2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4445343-E387-4F78-9B63-4DD726FFC20A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 rowHeaderCaption="Language">
  <location ref="A703:B720" firstHeaderRow="1" firstDataRow="1" firstDataCol="1"/>
  <pivotFields count="12">
    <pivotField dataField="1" showAll="0"/>
    <pivotField showAll="0">
      <items count="993">
        <item x="866"/>
        <item x="757"/>
        <item x="338"/>
        <item x="494"/>
        <item x="771"/>
        <item x="831"/>
        <item x="452"/>
        <item x="202"/>
        <item x="811"/>
        <item x="969"/>
        <item x="808"/>
        <item x="987"/>
        <item x="282"/>
        <item x="710"/>
        <item x="296"/>
        <item x="353"/>
        <item x="129"/>
        <item x="817"/>
        <item x="923"/>
        <item x="813"/>
        <item x="27"/>
        <item x="12"/>
        <item x="634"/>
        <item x="315"/>
        <item x="876"/>
        <item x="412"/>
        <item x="423"/>
        <item x="120"/>
        <item x="486"/>
        <item x="796"/>
        <item x="446"/>
        <item x="175"/>
        <item x="763"/>
        <item x="351"/>
        <item x="666"/>
        <item x="799"/>
        <item x="3"/>
        <item x="567"/>
        <item x="772"/>
        <item x="912"/>
        <item x="37"/>
        <item x="294"/>
        <item x="911"/>
        <item x="249"/>
        <item x="441"/>
        <item x="82"/>
        <item x="635"/>
        <item x="124"/>
        <item x="897"/>
        <item x="98"/>
        <item x="246"/>
        <item x="646"/>
        <item x="442"/>
        <item x="626"/>
        <item x="314"/>
        <item x="362"/>
        <item x="659"/>
        <item x="706"/>
        <item x="40"/>
        <item x="913"/>
        <item x="283"/>
        <item x="234"/>
        <item x="842"/>
        <item x="25"/>
        <item x="153"/>
        <item x="764"/>
        <item x="928"/>
        <item x="378"/>
        <item x="773"/>
        <item x="433"/>
        <item x="506"/>
        <item x="277"/>
        <item x="888"/>
        <item x="394"/>
        <item x="747"/>
        <item x="168"/>
        <item x="252"/>
        <item x="924"/>
        <item x="571"/>
        <item x="483"/>
        <item x="718"/>
        <item x="570"/>
        <item x="361"/>
        <item x="145"/>
        <item x="66"/>
        <item x="615"/>
        <item x="641"/>
        <item x="508"/>
        <item x="304"/>
        <item x="884"/>
        <item x="84"/>
        <item x="126"/>
        <item x="430"/>
        <item x="59"/>
        <item x="267"/>
        <item x="650"/>
        <item x="696"/>
        <item x="298"/>
        <item x="877"/>
        <item x="794"/>
        <item x="96"/>
        <item x="852"/>
        <item x="972"/>
        <item x="480"/>
        <item x="360"/>
        <item x="717"/>
        <item x="942"/>
        <item x="424"/>
        <item x="977"/>
        <item x="193"/>
        <item x="185"/>
        <item x="752"/>
        <item x="643"/>
        <item x="365"/>
        <item x="311"/>
        <item x="235"/>
        <item x="85"/>
        <item x="954"/>
        <item x="255"/>
        <item x="814"/>
        <item x="400"/>
        <item x="828"/>
        <item x="355"/>
        <item x="264"/>
        <item x="196"/>
        <item x="810"/>
        <item x="87"/>
        <item x="606"/>
        <item x="589"/>
        <item x="80"/>
        <item x="909"/>
        <item x="782"/>
        <item x="335"/>
        <item x="759"/>
        <item x="863"/>
        <item x="259"/>
        <item x="121"/>
        <item x="286"/>
        <item x="739"/>
        <item x="536"/>
        <item x="692"/>
        <item x="172"/>
        <item x="906"/>
        <item x="256"/>
        <item x="617"/>
        <item x="860"/>
        <item x="943"/>
        <item x="547"/>
        <item x="953"/>
        <item x="532"/>
        <item x="290"/>
        <item x="22"/>
        <item x="971"/>
        <item x="140"/>
        <item x="582"/>
        <item x="354"/>
        <item x="983"/>
        <item x="47"/>
        <item x="372"/>
        <item x="225"/>
        <item x="476"/>
        <item x="988"/>
        <item x="230"/>
        <item x="307"/>
        <item x="629"/>
        <item x="157"/>
        <item x="517"/>
        <item x="356"/>
        <item x="707"/>
        <item x="722"/>
        <item x="291"/>
        <item x="62"/>
        <item x="388"/>
        <item x="359"/>
        <item x="239"/>
        <item x="788"/>
        <item x="855"/>
        <item x="132"/>
        <item x="728"/>
        <item x="428"/>
        <item x="122"/>
        <item x="319"/>
        <item x="576"/>
        <item x="756"/>
        <item x="133"/>
        <item x="152"/>
        <item x="974"/>
        <item x="340"/>
        <item x="127"/>
        <item x="303"/>
        <item x="504"/>
        <item x="681"/>
        <item x="482"/>
        <item x="68"/>
        <item x="867"/>
        <item x="60"/>
        <item x="619"/>
        <item x="478"/>
        <item x="966"/>
        <item x="65"/>
        <item x="812"/>
        <item x="451"/>
        <item x="652"/>
        <item x="776"/>
        <item x="313"/>
        <item x="265"/>
        <item x="833"/>
        <item x="793"/>
        <item x="611"/>
        <item x="237"/>
        <item x="397"/>
        <item x="952"/>
        <item x="236"/>
        <item x="697"/>
        <item x="591"/>
        <item x="920"/>
        <item x="612"/>
        <item x="832"/>
        <item x="443"/>
        <item x="978"/>
        <item x="514"/>
        <item x="455"/>
        <item x="700"/>
        <item x="317"/>
        <item x="683"/>
        <item x="214"/>
        <item x="223"/>
        <item x="886"/>
        <item x="621"/>
        <item x="835"/>
        <item x="713"/>
        <item x="306"/>
        <item x="973"/>
        <item x="703"/>
        <item x="958"/>
        <item x="631"/>
        <item x="414"/>
        <item x="97"/>
        <item x="957"/>
        <item x="279"/>
        <item x="456"/>
        <item x="552"/>
        <item x="637"/>
        <item x="991"/>
        <item x="565"/>
        <item x="673"/>
        <item x="640"/>
        <item x="851"/>
        <item x="368"/>
        <item x="341"/>
        <item x="926"/>
        <item x="574"/>
        <item x="123"/>
        <item x="170"/>
        <item x="623"/>
        <item x="445"/>
        <item x="94"/>
        <item x="743"/>
        <item x="77"/>
        <item x="513"/>
        <item x="824"/>
        <item x="761"/>
        <item x="426"/>
        <item x="748"/>
        <item x="409"/>
        <item x="502"/>
        <item x="48"/>
        <item x="51"/>
        <item x="161"/>
        <item x="632"/>
        <item x="137"/>
        <item x="427"/>
        <item x="136"/>
        <item x="379"/>
        <item x="450"/>
        <item x="281"/>
        <item x="597"/>
        <item x="429"/>
        <item x="802"/>
        <item x="405"/>
        <item x="607"/>
        <item x="801"/>
        <item x="789"/>
        <item x="61"/>
        <item x="174"/>
        <item x="142"/>
        <item x="14"/>
        <item x="331"/>
        <item x="226"/>
        <item x="343"/>
        <item x="569"/>
        <item x="432"/>
        <item x="392"/>
        <item x="709"/>
        <item x="559"/>
        <item x="184"/>
        <item x="108"/>
        <item x="664"/>
        <item x="408"/>
        <item x="254"/>
        <item x="677"/>
        <item x="800"/>
        <item x="35"/>
        <item x="491"/>
        <item x="344"/>
        <item x="834"/>
        <item x="633"/>
        <item x="30"/>
        <item x="961"/>
        <item x="668"/>
        <item x="6"/>
        <item x="736"/>
        <item x="384"/>
        <item x="691"/>
        <item x="146"/>
        <item x="932"/>
        <item x="889"/>
        <item x="543"/>
        <item x="746"/>
        <item x="816"/>
        <item x="675"/>
        <item x="399"/>
        <item x="981"/>
        <item x="848"/>
        <item x="250"/>
        <item x="176"/>
        <item x="949"/>
        <item x="148"/>
        <item x="10"/>
        <item x="373"/>
        <item x="868"/>
        <item x="755"/>
        <item x="636"/>
        <item x="69"/>
        <item x="785"/>
        <item x="118"/>
        <item x="734"/>
        <item x="163"/>
        <item x="371"/>
        <item x="581"/>
        <item x="731"/>
        <item x="885"/>
        <item x="274"/>
        <item x="676"/>
        <item x="940"/>
        <item x="268"/>
        <item x="765"/>
        <item x="512"/>
        <item x="601"/>
        <item x="853"/>
        <item x="937"/>
        <item x="620"/>
        <item x="200"/>
        <item x="187"/>
        <item x="721"/>
        <item x="470"/>
        <item x="390"/>
        <item x="882"/>
        <item x="499"/>
        <item x="434"/>
        <item x="364"/>
        <item x="403"/>
        <item x="251"/>
        <item x="670"/>
        <item x="261"/>
        <item x="210"/>
        <item x="497"/>
        <item x="263"/>
        <item x="767"/>
        <item x="270"/>
        <item x="222"/>
        <item x="791"/>
        <item x="45"/>
        <item x="768"/>
        <item x="288"/>
        <item x="20"/>
        <item x="719"/>
        <item x="583"/>
        <item x="39"/>
        <item x="551"/>
        <item x="415"/>
        <item x="380"/>
        <item x="454"/>
        <item x="220"/>
        <item x="473"/>
        <item x="503"/>
        <item x="36"/>
        <item x="111"/>
        <item x="555"/>
        <item x="535"/>
        <item x="105"/>
        <item x="463"/>
        <item x="847"/>
        <item x="701"/>
        <item x="524"/>
        <item x="125"/>
        <item x="741"/>
        <item x="846"/>
        <item x="690"/>
        <item x="970"/>
        <item x="370"/>
        <item x="43"/>
        <item x="695"/>
        <item x="669"/>
        <item x="962"/>
        <item x="262"/>
        <item x="485"/>
        <item x="293"/>
        <item x="324"/>
        <item x="895"/>
        <item x="489"/>
        <item x="192"/>
        <item x="181"/>
        <item x="219"/>
        <item x="986"/>
        <item x="260"/>
        <item x="369"/>
        <item x="107"/>
        <item x="24"/>
        <item x="54"/>
        <item x="916"/>
        <item x="488"/>
        <item x="610"/>
        <item x="845"/>
        <item x="484"/>
        <item x="208"/>
        <item x="467"/>
        <item x="347"/>
        <item x="872"/>
        <item x="595"/>
        <item x="75"/>
        <item x="173"/>
        <item x="778"/>
        <item x="861"/>
        <item x="119"/>
        <item x="188"/>
        <item x="468"/>
        <item x="762"/>
        <item x="723"/>
        <item x="588"/>
        <item x="410"/>
        <item x="730"/>
        <item x="586"/>
        <item x="326"/>
        <item x="34"/>
        <item x="115"/>
        <item x="352"/>
        <item x="201"/>
        <item x="458"/>
        <item x="199"/>
        <item x="985"/>
        <item x="53"/>
        <item x="389"/>
        <item x="301"/>
        <item x="645"/>
        <item x="648"/>
        <item x="472"/>
        <item x="720"/>
        <item x="545"/>
        <item x="638"/>
        <item x="561"/>
        <item x="724"/>
        <item x="334"/>
        <item x="461"/>
        <item x="878"/>
        <item x="841"/>
        <item x="990"/>
        <item x="505"/>
        <item x="698"/>
        <item x="166"/>
        <item x="941"/>
        <item x="358"/>
        <item x="754"/>
        <item x="963"/>
        <item x="689"/>
        <item x="117"/>
        <item x="128"/>
        <item x="139"/>
        <item x="784"/>
        <item x="73"/>
        <item x="93"/>
        <item x="758"/>
        <item x="328"/>
        <item x="440"/>
        <item x="575"/>
        <item x="227"/>
        <item x="289"/>
        <item x="825"/>
        <item x="337"/>
        <item x="639"/>
        <item x="679"/>
        <item x="138"/>
        <item x="815"/>
        <item x="534"/>
        <item x="775"/>
        <item x="672"/>
        <item x="391"/>
        <item x="287"/>
        <item x="663"/>
        <item x="693"/>
        <item x="2"/>
        <item x="541"/>
        <item x="465"/>
        <item x="233"/>
        <item x="826"/>
        <item x="950"/>
        <item x="462"/>
        <item x="453"/>
        <item x="50"/>
        <item x="266"/>
        <item x="186"/>
        <item x="322"/>
        <item x="839"/>
        <item x="572"/>
        <item x="466"/>
        <item x="131"/>
        <item x="42"/>
        <item x="215"/>
        <item x="447"/>
        <item x="688"/>
        <item x="770"/>
        <item x="894"/>
        <item x="416"/>
        <item x="320"/>
        <item x="560"/>
        <item x="712"/>
        <item x="901"/>
        <item x="989"/>
        <item x="644"/>
        <item x="699"/>
        <item x="471"/>
        <item x="587"/>
        <item x="787"/>
        <item x="481"/>
        <item x="573"/>
        <item x="750"/>
        <item x="862"/>
        <item x="280"/>
        <item x="786"/>
        <item x="898"/>
        <item x="515"/>
        <item x="642"/>
        <item x="579"/>
        <item x="537"/>
        <item x="374"/>
        <item x="493"/>
        <item x="564"/>
        <item x="849"/>
        <item x="538"/>
        <item x="113"/>
        <item x="896"/>
        <item x="431"/>
        <item x="774"/>
        <item x="557"/>
        <item x="109"/>
        <item x="103"/>
        <item x="590"/>
        <item x="183"/>
        <item x="900"/>
        <item x="206"/>
        <item x="244"/>
        <item x="507"/>
        <item x="523"/>
        <item x="927"/>
        <item x="549"/>
        <item x="840"/>
        <item x="99"/>
        <item x="346"/>
        <item x="52"/>
        <item x="907"/>
        <item x="726"/>
        <item x="881"/>
        <item x="49"/>
        <item x="492"/>
        <item x="55"/>
        <item x="871"/>
        <item x="956"/>
        <item x="622"/>
        <item x="665"/>
        <item x="16"/>
        <item x="357"/>
        <item x="56"/>
        <item x="946"/>
        <item x="975"/>
        <item x="751"/>
        <item x="348"/>
        <item x="922"/>
        <item x="285"/>
        <item x="657"/>
        <item x="63"/>
        <item x="112"/>
        <item x="143"/>
        <item x="78"/>
        <item x="421"/>
        <item x="740"/>
        <item x="843"/>
        <item x="448"/>
        <item x="822"/>
        <item x="806"/>
        <item x="797"/>
        <item x="141"/>
        <item x="879"/>
        <item x="968"/>
        <item x="5"/>
        <item x="960"/>
        <item x="90"/>
        <item x="859"/>
        <item x="393"/>
        <item x="915"/>
        <item x="336"/>
        <item x="821"/>
        <item x="29"/>
        <item x="510"/>
        <item x="309"/>
        <item x="4"/>
        <item x="658"/>
        <item x="742"/>
        <item x="366"/>
        <item x="179"/>
        <item x="779"/>
        <item x="908"/>
        <item x="566"/>
        <item x="880"/>
        <item x="533"/>
        <item x="530"/>
        <item x="149"/>
        <item x="26"/>
        <item x="965"/>
        <item x="738"/>
        <item x="599"/>
        <item x="238"/>
        <item x="474"/>
        <item x="325"/>
        <item x="792"/>
        <item x="106"/>
        <item x="258"/>
        <item x="295"/>
        <item x="798"/>
        <item x="57"/>
        <item x="600"/>
        <item x="694"/>
        <item x="874"/>
        <item x="435"/>
        <item x="857"/>
        <item x="376"/>
        <item x="790"/>
        <item x="464"/>
        <item x="783"/>
        <item x="284"/>
        <item x="869"/>
        <item x="682"/>
        <item x="649"/>
        <item x="475"/>
        <item x="387"/>
        <item x="19"/>
        <item x="9"/>
        <item x="232"/>
        <item x="349"/>
        <item x="150"/>
        <item x="89"/>
        <item x="613"/>
        <item x="964"/>
        <item x="944"/>
        <item x="525"/>
        <item x="837"/>
        <item x="278"/>
        <item x="702"/>
        <item x="733"/>
        <item x="685"/>
        <item x="28"/>
        <item x="228"/>
        <item x="602"/>
        <item x="542"/>
        <item x="23"/>
        <item x="781"/>
        <item x="269"/>
        <item x="38"/>
        <item x="656"/>
        <item x="189"/>
        <item x="769"/>
        <item x="803"/>
        <item x="74"/>
        <item x="350"/>
        <item x="33"/>
        <item x="177"/>
        <item x="704"/>
        <item x="609"/>
        <item x="584"/>
        <item x="680"/>
        <item x="578"/>
        <item x="819"/>
        <item x="593"/>
        <item x="498"/>
        <item x="418"/>
        <item x="83"/>
        <item x="316"/>
        <item x="212"/>
        <item x="500"/>
        <item x="820"/>
        <item x="231"/>
        <item x="182"/>
        <item x="585"/>
        <item x="883"/>
        <item x="614"/>
        <item x="807"/>
        <item x="858"/>
        <item x="11"/>
        <item x="780"/>
        <item x="221"/>
        <item x="979"/>
        <item x="44"/>
        <item x="982"/>
        <item x="160"/>
        <item x="299"/>
        <item x="209"/>
        <item x="327"/>
        <item x="292"/>
        <item x="407"/>
        <item x="395"/>
        <item x="91"/>
        <item x="548"/>
        <item x="945"/>
        <item x="732"/>
        <item x="375"/>
        <item x="154"/>
        <item x="155"/>
        <item x="242"/>
        <item x="243"/>
        <item x="213"/>
        <item x="469"/>
        <item x="520"/>
        <item x="420"/>
        <item x="459"/>
        <item x="398"/>
        <item x="272"/>
        <item x="955"/>
        <item x="914"/>
        <item x="308"/>
        <item x="873"/>
        <item x="870"/>
        <item x="46"/>
        <item x="396"/>
        <item x="0"/>
        <item x="933"/>
        <item x="271"/>
        <item x="297"/>
        <item x="678"/>
        <item x="546"/>
        <item x="687"/>
        <item x="417"/>
        <item x="158"/>
        <item x="931"/>
        <item x="891"/>
        <item x="947"/>
        <item x="850"/>
        <item x="330"/>
        <item x="72"/>
        <item x="169"/>
        <item x="854"/>
        <item x="951"/>
        <item x="624"/>
        <item x="921"/>
        <item x="558"/>
        <item x="381"/>
        <item x="198"/>
        <item x="342"/>
        <item x="616"/>
        <item x="245"/>
        <item x="460"/>
        <item x="79"/>
        <item x="302"/>
        <item x="159"/>
        <item x="332"/>
        <item x="905"/>
        <item x="178"/>
        <item x="745"/>
        <item x="190"/>
        <item x="151"/>
        <item x="477"/>
        <item x="385"/>
        <item x="910"/>
        <item x="92"/>
        <item x="323"/>
        <item x="134"/>
        <item x="205"/>
        <item x="401"/>
        <item x="13"/>
        <item x="382"/>
        <item x="714"/>
        <item x="592"/>
        <item x="890"/>
        <item x="654"/>
        <item x="487"/>
        <item x="705"/>
        <item x="156"/>
        <item x="333"/>
        <item x="64"/>
        <item x="422"/>
        <item x="674"/>
        <item x="838"/>
        <item x="383"/>
        <item x="948"/>
        <item x="655"/>
        <item x="479"/>
        <item x="805"/>
        <item x="275"/>
        <item x="218"/>
        <item x="934"/>
        <item x="753"/>
        <item x="345"/>
        <item x="7"/>
        <item x="544"/>
        <item x="114"/>
        <item x="216"/>
        <item x="305"/>
        <item x="976"/>
        <item x="32"/>
        <item x="936"/>
        <item x="501"/>
        <item x="321"/>
        <item x="165"/>
        <item x="809"/>
        <item x="495"/>
        <item x="830"/>
        <item x="892"/>
        <item x="556"/>
        <item x="88"/>
        <item x="509"/>
        <item x="727"/>
        <item x="312"/>
        <item x="377"/>
        <item x="661"/>
        <item x="844"/>
        <item x="310"/>
        <item x="804"/>
        <item x="224"/>
        <item x="598"/>
        <item x="211"/>
        <item x="795"/>
        <item x="744"/>
        <item x="404"/>
        <item x="518"/>
        <item x="827"/>
        <item x="58"/>
        <item x="864"/>
        <item x="662"/>
        <item x="618"/>
        <item x="86"/>
        <item x="21"/>
        <item x="729"/>
        <item x="929"/>
        <item x="577"/>
        <item x="984"/>
        <item x="667"/>
        <item x="411"/>
        <item x="628"/>
        <item x="865"/>
        <item x="660"/>
        <item x="425"/>
        <item x="240"/>
        <item x="959"/>
        <item x="386"/>
        <item x="608"/>
        <item x="935"/>
        <item x="41"/>
        <item x="735"/>
        <item x="17"/>
        <item x="519"/>
        <item x="367"/>
        <item x="823"/>
        <item x="438"/>
        <item x="162"/>
        <item x="8"/>
        <item x="554"/>
        <item x="540"/>
        <item x="217"/>
        <item x="980"/>
        <item x="725"/>
        <item x="711"/>
        <item x="204"/>
        <item x="562"/>
        <item x="777"/>
        <item x="526"/>
        <item x="716"/>
        <item x="419"/>
        <item x="95"/>
        <item x="130"/>
        <item x="197"/>
        <item x="904"/>
        <item x="402"/>
        <item x="528"/>
        <item x="437"/>
        <item x="102"/>
        <item x="449"/>
        <item x="563"/>
        <item x="248"/>
        <item x="276"/>
        <item x="836"/>
        <item x="229"/>
        <item x="899"/>
        <item x="856"/>
        <item x="257"/>
        <item x="144"/>
        <item x="522"/>
        <item x="684"/>
        <item x="902"/>
        <item x="406"/>
        <item x="444"/>
        <item x="164"/>
        <item x="749"/>
        <item x="625"/>
        <item x="363"/>
        <item x="167"/>
        <item x="413"/>
        <item x="605"/>
        <item x="496"/>
        <item x="760"/>
        <item x="651"/>
        <item x="329"/>
        <item x="116"/>
        <item x="521"/>
        <item x="603"/>
        <item x="529"/>
        <item x="135"/>
        <item x="938"/>
        <item x="195"/>
        <item x="539"/>
        <item x="71"/>
        <item x="604"/>
        <item x="300"/>
        <item x="100"/>
        <item x="627"/>
        <item x="917"/>
        <item x="457"/>
        <item x="766"/>
        <item x="967"/>
        <item x="580"/>
        <item x="31"/>
        <item x="76"/>
        <item x="439"/>
        <item x="939"/>
        <item x="596"/>
        <item x="630"/>
        <item x="708"/>
        <item x="490"/>
        <item x="829"/>
        <item x="436"/>
        <item x="930"/>
        <item x="531"/>
        <item x="568"/>
        <item x="686"/>
        <item x="715"/>
        <item x="104"/>
        <item x="191"/>
        <item x="18"/>
        <item x="553"/>
        <item x="110"/>
        <item x="925"/>
        <item x="919"/>
        <item x="1"/>
        <item x="180"/>
        <item x="81"/>
        <item x="241"/>
        <item x="101"/>
        <item x="67"/>
        <item x="511"/>
        <item x="339"/>
        <item x="516"/>
        <item x="203"/>
        <item x="550"/>
        <item x="147"/>
        <item x="737"/>
        <item x="887"/>
        <item x="653"/>
        <item x="527"/>
        <item x="273"/>
        <item x="818"/>
        <item x="903"/>
        <item x="253"/>
        <item x="207"/>
        <item x="318"/>
        <item x="171"/>
        <item x="594"/>
        <item x="15"/>
        <item x="875"/>
        <item x="70"/>
        <item x="893"/>
        <item x="194"/>
        <item x="247"/>
        <item x="918"/>
        <item x="671"/>
        <item x="647"/>
        <item t="default"/>
      </items>
    </pivotField>
    <pivotField showAll="0"/>
    <pivotField showAll="0"/>
    <pivotField showAll="0"/>
    <pivotField axis="axisRow" showAll="0">
      <items count="17">
        <item x="14"/>
        <item x="13"/>
        <item x="3"/>
        <item x="1"/>
        <item x="12"/>
        <item x="2"/>
        <item x="8"/>
        <item x="4"/>
        <item x="0"/>
        <item x="7"/>
        <item x="10"/>
        <item x="15"/>
        <item x="9"/>
        <item x="11"/>
        <item x="6"/>
        <item x="5"/>
        <item t="default"/>
      </items>
    </pivotField>
    <pivotField showAll="0">
      <items count="11">
        <item x="4"/>
        <item x="0"/>
        <item x="7"/>
        <item x="5"/>
        <item x="8"/>
        <item x="2"/>
        <item x="9"/>
        <item x="1"/>
        <item x="6"/>
        <item x="3"/>
        <item t="default"/>
      </items>
    </pivotField>
    <pivotField showAll="0"/>
    <pivotField showAll="0"/>
    <pivotField showAll="0"/>
    <pivotField showAll="0"/>
    <pivotField numFmtId="9" showAll="0"/>
  </pivotFields>
  <rowFields count="1">
    <field x="5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 t="grand">
      <x/>
    </i>
  </rowItems>
  <colItems count="1">
    <i/>
  </colItems>
  <dataFields count="1">
    <dataField name="Count of Freelancer id" fld="0" subtotal="count" baseField="0" baseItem="0"/>
  </dataFields>
  <chartFormats count="3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Dark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31E0079-5A95-480A-ADE4-CF21B79AF774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 rowHeaderCaption="Primary Skill">
  <location ref="B44:C55" firstHeaderRow="1" firstDataRow="1" firstDataCol="1"/>
  <pivotFields count="12">
    <pivotField dataField="1" showAll="0"/>
    <pivotField showAll="0">
      <items count="993">
        <item x="866"/>
        <item x="757"/>
        <item x="338"/>
        <item x="494"/>
        <item x="771"/>
        <item x="831"/>
        <item x="452"/>
        <item x="202"/>
        <item x="811"/>
        <item x="969"/>
        <item x="808"/>
        <item x="987"/>
        <item x="282"/>
        <item x="710"/>
        <item x="296"/>
        <item x="353"/>
        <item x="129"/>
        <item x="817"/>
        <item x="923"/>
        <item x="813"/>
        <item x="27"/>
        <item x="12"/>
        <item x="634"/>
        <item x="315"/>
        <item x="876"/>
        <item x="412"/>
        <item x="423"/>
        <item x="120"/>
        <item x="486"/>
        <item x="796"/>
        <item x="446"/>
        <item x="175"/>
        <item x="763"/>
        <item x="351"/>
        <item x="666"/>
        <item x="799"/>
        <item x="3"/>
        <item x="567"/>
        <item x="772"/>
        <item x="912"/>
        <item x="37"/>
        <item x="294"/>
        <item x="911"/>
        <item x="249"/>
        <item x="441"/>
        <item x="82"/>
        <item x="635"/>
        <item x="124"/>
        <item x="897"/>
        <item x="98"/>
        <item x="246"/>
        <item x="646"/>
        <item x="442"/>
        <item x="626"/>
        <item x="314"/>
        <item x="362"/>
        <item x="659"/>
        <item x="706"/>
        <item x="40"/>
        <item x="913"/>
        <item x="283"/>
        <item x="234"/>
        <item x="842"/>
        <item x="25"/>
        <item x="153"/>
        <item x="764"/>
        <item x="928"/>
        <item x="378"/>
        <item x="773"/>
        <item x="433"/>
        <item x="506"/>
        <item x="277"/>
        <item x="888"/>
        <item x="394"/>
        <item x="747"/>
        <item x="168"/>
        <item x="252"/>
        <item x="924"/>
        <item x="571"/>
        <item x="483"/>
        <item x="718"/>
        <item x="570"/>
        <item x="361"/>
        <item x="145"/>
        <item x="66"/>
        <item x="615"/>
        <item x="641"/>
        <item x="508"/>
        <item x="304"/>
        <item x="884"/>
        <item x="84"/>
        <item x="126"/>
        <item x="430"/>
        <item x="59"/>
        <item x="267"/>
        <item x="650"/>
        <item x="696"/>
        <item x="298"/>
        <item x="877"/>
        <item x="794"/>
        <item x="96"/>
        <item x="852"/>
        <item x="972"/>
        <item x="480"/>
        <item x="360"/>
        <item x="717"/>
        <item x="942"/>
        <item x="424"/>
        <item x="977"/>
        <item x="193"/>
        <item x="185"/>
        <item x="752"/>
        <item x="643"/>
        <item x="365"/>
        <item x="311"/>
        <item x="235"/>
        <item x="85"/>
        <item x="954"/>
        <item x="255"/>
        <item x="814"/>
        <item x="400"/>
        <item x="828"/>
        <item x="355"/>
        <item x="264"/>
        <item x="196"/>
        <item x="810"/>
        <item x="87"/>
        <item x="606"/>
        <item x="589"/>
        <item x="80"/>
        <item x="909"/>
        <item x="782"/>
        <item x="335"/>
        <item x="759"/>
        <item x="863"/>
        <item x="259"/>
        <item x="121"/>
        <item x="286"/>
        <item x="739"/>
        <item x="536"/>
        <item x="692"/>
        <item x="172"/>
        <item x="906"/>
        <item x="256"/>
        <item x="617"/>
        <item x="860"/>
        <item x="943"/>
        <item x="547"/>
        <item x="953"/>
        <item x="532"/>
        <item x="290"/>
        <item x="22"/>
        <item x="971"/>
        <item x="140"/>
        <item x="582"/>
        <item x="354"/>
        <item x="983"/>
        <item x="47"/>
        <item x="372"/>
        <item x="225"/>
        <item x="476"/>
        <item x="988"/>
        <item x="230"/>
        <item x="307"/>
        <item x="629"/>
        <item x="157"/>
        <item x="517"/>
        <item x="356"/>
        <item x="707"/>
        <item x="722"/>
        <item x="291"/>
        <item x="62"/>
        <item x="388"/>
        <item x="359"/>
        <item x="239"/>
        <item x="788"/>
        <item x="855"/>
        <item x="132"/>
        <item x="728"/>
        <item x="428"/>
        <item x="122"/>
        <item x="319"/>
        <item x="576"/>
        <item x="756"/>
        <item x="133"/>
        <item x="152"/>
        <item x="974"/>
        <item x="340"/>
        <item x="127"/>
        <item x="303"/>
        <item x="504"/>
        <item x="681"/>
        <item x="482"/>
        <item x="68"/>
        <item x="867"/>
        <item x="60"/>
        <item x="619"/>
        <item x="478"/>
        <item x="966"/>
        <item x="65"/>
        <item x="812"/>
        <item x="451"/>
        <item x="652"/>
        <item x="776"/>
        <item x="313"/>
        <item x="265"/>
        <item x="833"/>
        <item x="793"/>
        <item x="611"/>
        <item x="237"/>
        <item x="397"/>
        <item x="952"/>
        <item x="236"/>
        <item x="697"/>
        <item x="591"/>
        <item x="920"/>
        <item x="612"/>
        <item x="832"/>
        <item x="443"/>
        <item x="978"/>
        <item x="514"/>
        <item x="455"/>
        <item x="700"/>
        <item x="317"/>
        <item x="683"/>
        <item x="214"/>
        <item x="223"/>
        <item x="886"/>
        <item x="621"/>
        <item x="835"/>
        <item x="713"/>
        <item x="306"/>
        <item x="973"/>
        <item x="703"/>
        <item x="958"/>
        <item x="631"/>
        <item x="414"/>
        <item x="97"/>
        <item x="957"/>
        <item x="279"/>
        <item x="456"/>
        <item x="552"/>
        <item x="637"/>
        <item x="991"/>
        <item x="565"/>
        <item x="673"/>
        <item x="640"/>
        <item x="851"/>
        <item x="368"/>
        <item x="341"/>
        <item x="926"/>
        <item x="574"/>
        <item x="123"/>
        <item x="170"/>
        <item x="623"/>
        <item x="445"/>
        <item x="94"/>
        <item x="743"/>
        <item x="77"/>
        <item x="513"/>
        <item x="824"/>
        <item x="761"/>
        <item x="426"/>
        <item x="748"/>
        <item x="409"/>
        <item x="502"/>
        <item x="48"/>
        <item x="51"/>
        <item x="161"/>
        <item x="632"/>
        <item x="137"/>
        <item x="427"/>
        <item x="136"/>
        <item x="379"/>
        <item x="450"/>
        <item x="281"/>
        <item x="597"/>
        <item x="429"/>
        <item x="802"/>
        <item x="405"/>
        <item x="607"/>
        <item x="801"/>
        <item x="789"/>
        <item x="61"/>
        <item x="174"/>
        <item x="142"/>
        <item x="14"/>
        <item x="331"/>
        <item x="226"/>
        <item x="343"/>
        <item x="569"/>
        <item x="432"/>
        <item x="392"/>
        <item x="709"/>
        <item x="559"/>
        <item x="184"/>
        <item x="108"/>
        <item x="664"/>
        <item x="408"/>
        <item x="254"/>
        <item x="677"/>
        <item x="800"/>
        <item x="35"/>
        <item x="491"/>
        <item x="344"/>
        <item x="834"/>
        <item x="633"/>
        <item x="30"/>
        <item x="961"/>
        <item x="668"/>
        <item x="6"/>
        <item x="736"/>
        <item x="384"/>
        <item x="691"/>
        <item x="146"/>
        <item x="932"/>
        <item x="889"/>
        <item x="543"/>
        <item x="746"/>
        <item x="816"/>
        <item x="675"/>
        <item x="399"/>
        <item x="981"/>
        <item x="848"/>
        <item x="250"/>
        <item x="176"/>
        <item x="949"/>
        <item x="148"/>
        <item x="10"/>
        <item x="373"/>
        <item x="868"/>
        <item x="755"/>
        <item x="636"/>
        <item x="69"/>
        <item x="785"/>
        <item x="118"/>
        <item x="734"/>
        <item x="163"/>
        <item x="371"/>
        <item x="581"/>
        <item x="731"/>
        <item x="885"/>
        <item x="274"/>
        <item x="676"/>
        <item x="940"/>
        <item x="268"/>
        <item x="765"/>
        <item x="512"/>
        <item x="601"/>
        <item x="853"/>
        <item x="937"/>
        <item x="620"/>
        <item x="200"/>
        <item x="187"/>
        <item x="721"/>
        <item x="470"/>
        <item x="390"/>
        <item x="882"/>
        <item x="499"/>
        <item x="434"/>
        <item x="364"/>
        <item x="403"/>
        <item x="251"/>
        <item x="670"/>
        <item x="261"/>
        <item x="210"/>
        <item x="497"/>
        <item x="263"/>
        <item x="767"/>
        <item x="270"/>
        <item x="222"/>
        <item x="791"/>
        <item x="45"/>
        <item x="768"/>
        <item x="288"/>
        <item x="20"/>
        <item x="719"/>
        <item x="583"/>
        <item x="39"/>
        <item x="551"/>
        <item x="415"/>
        <item x="380"/>
        <item x="454"/>
        <item x="220"/>
        <item x="473"/>
        <item x="503"/>
        <item x="36"/>
        <item x="111"/>
        <item x="555"/>
        <item x="535"/>
        <item x="105"/>
        <item x="463"/>
        <item x="847"/>
        <item x="701"/>
        <item x="524"/>
        <item x="125"/>
        <item x="741"/>
        <item x="846"/>
        <item x="690"/>
        <item x="970"/>
        <item x="370"/>
        <item x="43"/>
        <item x="695"/>
        <item x="669"/>
        <item x="962"/>
        <item x="262"/>
        <item x="485"/>
        <item x="293"/>
        <item x="324"/>
        <item x="895"/>
        <item x="489"/>
        <item x="192"/>
        <item x="181"/>
        <item x="219"/>
        <item x="986"/>
        <item x="260"/>
        <item x="369"/>
        <item x="107"/>
        <item x="24"/>
        <item x="54"/>
        <item x="916"/>
        <item x="488"/>
        <item x="610"/>
        <item x="845"/>
        <item x="484"/>
        <item x="208"/>
        <item x="467"/>
        <item x="347"/>
        <item x="872"/>
        <item x="595"/>
        <item x="75"/>
        <item x="173"/>
        <item x="778"/>
        <item x="861"/>
        <item x="119"/>
        <item x="188"/>
        <item x="468"/>
        <item x="762"/>
        <item x="723"/>
        <item x="588"/>
        <item x="410"/>
        <item x="730"/>
        <item x="586"/>
        <item x="326"/>
        <item x="34"/>
        <item x="115"/>
        <item x="352"/>
        <item x="201"/>
        <item x="458"/>
        <item x="199"/>
        <item x="985"/>
        <item x="53"/>
        <item x="389"/>
        <item x="301"/>
        <item x="645"/>
        <item x="648"/>
        <item x="472"/>
        <item x="720"/>
        <item x="545"/>
        <item x="638"/>
        <item x="561"/>
        <item x="724"/>
        <item x="334"/>
        <item x="461"/>
        <item x="878"/>
        <item x="841"/>
        <item x="990"/>
        <item x="505"/>
        <item x="698"/>
        <item x="166"/>
        <item x="941"/>
        <item x="358"/>
        <item x="754"/>
        <item x="963"/>
        <item x="689"/>
        <item x="117"/>
        <item x="128"/>
        <item x="139"/>
        <item x="784"/>
        <item x="73"/>
        <item x="93"/>
        <item x="758"/>
        <item x="328"/>
        <item x="440"/>
        <item x="575"/>
        <item x="227"/>
        <item x="289"/>
        <item x="825"/>
        <item x="337"/>
        <item x="639"/>
        <item x="679"/>
        <item x="138"/>
        <item x="815"/>
        <item x="534"/>
        <item x="775"/>
        <item x="672"/>
        <item x="391"/>
        <item x="287"/>
        <item x="663"/>
        <item x="693"/>
        <item x="2"/>
        <item x="541"/>
        <item x="465"/>
        <item x="233"/>
        <item x="826"/>
        <item x="950"/>
        <item x="462"/>
        <item x="453"/>
        <item x="50"/>
        <item x="266"/>
        <item x="186"/>
        <item x="322"/>
        <item x="839"/>
        <item x="572"/>
        <item x="466"/>
        <item x="131"/>
        <item x="42"/>
        <item x="215"/>
        <item x="447"/>
        <item x="688"/>
        <item x="770"/>
        <item x="894"/>
        <item x="416"/>
        <item x="320"/>
        <item x="560"/>
        <item x="712"/>
        <item x="901"/>
        <item x="989"/>
        <item x="644"/>
        <item x="699"/>
        <item x="471"/>
        <item x="587"/>
        <item x="787"/>
        <item x="481"/>
        <item x="573"/>
        <item x="750"/>
        <item x="862"/>
        <item x="280"/>
        <item x="786"/>
        <item x="898"/>
        <item x="515"/>
        <item x="642"/>
        <item x="579"/>
        <item x="537"/>
        <item x="374"/>
        <item x="493"/>
        <item x="564"/>
        <item x="849"/>
        <item x="538"/>
        <item x="113"/>
        <item x="896"/>
        <item x="431"/>
        <item x="774"/>
        <item x="557"/>
        <item x="109"/>
        <item x="103"/>
        <item x="590"/>
        <item x="183"/>
        <item x="900"/>
        <item x="206"/>
        <item x="244"/>
        <item x="507"/>
        <item x="523"/>
        <item x="927"/>
        <item x="549"/>
        <item x="840"/>
        <item x="99"/>
        <item x="346"/>
        <item x="52"/>
        <item x="907"/>
        <item x="726"/>
        <item x="881"/>
        <item x="49"/>
        <item x="492"/>
        <item x="55"/>
        <item x="871"/>
        <item x="956"/>
        <item x="622"/>
        <item x="665"/>
        <item x="16"/>
        <item x="357"/>
        <item x="56"/>
        <item x="946"/>
        <item x="975"/>
        <item x="751"/>
        <item x="348"/>
        <item x="922"/>
        <item x="285"/>
        <item x="657"/>
        <item x="63"/>
        <item x="112"/>
        <item x="143"/>
        <item x="78"/>
        <item x="421"/>
        <item x="740"/>
        <item x="843"/>
        <item x="448"/>
        <item x="822"/>
        <item x="806"/>
        <item x="797"/>
        <item x="141"/>
        <item x="879"/>
        <item x="968"/>
        <item x="5"/>
        <item x="960"/>
        <item x="90"/>
        <item x="859"/>
        <item x="393"/>
        <item x="915"/>
        <item x="336"/>
        <item x="821"/>
        <item x="29"/>
        <item x="510"/>
        <item x="309"/>
        <item x="4"/>
        <item x="658"/>
        <item x="742"/>
        <item x="366"/>
        <item x="179"/>
        <item x="779"/>
        <item x="908"/>
        <item x="566"/>
        <item x="880"/>
        <item x="533"/>
        <item x="530"/>
        <item x="149"/>
        <item x="26"/>
        <item x="965"/>
        <item x="738"/>
        <item x="599"/>
        <item x="238"/>
        <item x="474"/>
        <item x="325"/>
        <item x="792"/>
        <item x="106"/>
        <item x="258"/>
        <item x="295"/>
        <item x="798"/>
        <item x="57"/>
        <item x="600"/>
        <item x="694"/>
        <item x="874"/>
        <item x="435"/>
        <item x="857"/>
        <item x="376"/>
        <item x="790"/>
        <item x="464"/>
        <item x="783"/>
        <item x="284"/>
        <item x="869"/>
        <item x="682"/>
        <item x="649"/>
        <item x="475"/>
        <item x="387"/>
        <item x="19"/>
        <item x="9"/>
        <item x="232"/>
        <item x="349"/>
        <item x="150"/>
        <item x="89"/>
        <item x="613"/>
        <item x="964"/>
        <item x="944"/>
        <item x="525"/>
        <item x="837"/>
        <item x="278"/>
        <item x="702"/>
        <item x="733"/>
        <item x="685"/>
        <item x="28"/>
        <item x="228"/>
        <item x="602"/>
        <item x="542"/>
        <item x="23"/>
        <item x="781"/>
        <item x="269"/>
        <item x="38"/>
        <item x="656"/>
        <item x="189"/>
        <item x="769"/>
        <item x="803"/>
        <item x="74"/>
        <item x="350"/>
        <item x="33"/>
        <item x="177"/>
        <item x="704"/>
        <item x="609"/>
        <item x="584"/>
        <item x="680"/>
        <item x="578"/>
        <item x="819"/>
        <item x="593"/>
        <item x="498"/>
        <item x="418"/>
        <item x="83"/>
        <item x="316"/>
        <item x="212"/>
        <item x="500"/>
        <item x="820"/>
        <item x="231"/>
        <item x="182"/>
        <item x="585"/>
        <item x="883"/>
        <item x="614"/>
        <item x="807"/>
        <item x="858"/>
        <item x="11"/>
        <item x="780"/>
        <item x="221"/>
        <item x="979"/>
        <item x="44"/>
        <item x="982"/>
        <item x="160"/>
        <item x="299"/>
        <item x="209"/>
        <item x="327"/>
        <item x="292"/>
        <item x="407"/>
        <item x="395"/>
        <item x="91"/>
        <item x="548"/>
        <item x="945"/>
        <item x="732"/>
        <item x="375"/>
        <item x="154"/>
        <item x="155"/>
        <item x="242"/>
        <item x="243"/>
        <item x="213"/>
        <item x="469"/>
        <item x="520"/>
        <item x="420"/>
        <item x="459"/>
        <item x="398"/>
        <item x="272"/>
        <item x="955"/>
        <item x="914"/>
        <item x="308"/>
        <item x="873"/>
        <item x="870"/>
        <item x="46"/>
        <item x="396"/>
        <item x="0"/>
        <item x="933"/>
        <item x="271"/>
        <item x="297"/>
        <item x="678"/>
        <item x="546"/>
        <item x="687"/>
        <item x="417"/>
        <item x="158"/>
        <item x="931"/>
        <item x="891"/>
        <item x="947"/>
        <item x="850"/>
        <item x="330"/>
        <item x="72"/>
        <item x="169"/>
        <item x="854"/>
        <item x="951"/>
        <item x="624"/>
        <item x="921"/>
        <item x="558"/>
        <item x="381"/>
        <item x="198"/>
        <item x="342"/>
        <item x="616"/>
        <item x="245"/>
        <item x="460"/>
        <item x="79"/>
        <item x="302"/>
        <item x="159"/>
        <item x="332"/>
        <item x="905"/>
        <item x="178"/>
        <item x="745"/>
        <item x="190"/>
        <item x="151"/>
        <item x="477"/>
        <item x="385"/>
        <item x="910"/>
        <item x="92"/>
        <item x="323"/>
        <item x="134"/>
        <item x="205"/>
        <item x="401"/>
        <item x="13"/>
        <item x="382"/>
        <item x="714"/>
        <item x="592"/>
        <item x="890"/>
        <item x="654"/>
        <item x="487"/>
        <item x="705"/>
        <item x="156"/>
        <item x="333"/>
        <item x="64"/>
        <item x="422"/>
        <item x="674"/>
        <item x="838"/>
        <item x="383"/>
        <item x="948"/>
        <item x="655"/>
        <item x="479"/>
        <item x="805"/>
        <item x="275"/>
        <item x="218"/>
        <item x="934"/>
        <item x="753"/>
        <item x="345"/>
        <item x="7"/>
        <item x="544"/>
        <item x="114"/>
        <item x="216"/>
        <item x="305"/>
        <item x="976"/>
        <item x="32"/>
        <item x="936"/>
        <item x="501"/>
        <item x="321"/>
        <item x="165"/>
        <item x="809"/>
        <item x="495"/>
        <item x="830"/>
        <item x="892"/>
        <item x="556"/>
        <item x="88"/>
        <item x="509"/>
        <item x="727"/>
        <item x="312"/>
        <item x="377"/>
        <item x="661"/>
        <item x="844"/>
        <item x="310"/>
        <item x="804"/>
        <item x="224"/>
        <item x="598"/>
        <item x="211"/>
        <item x="795"/>
        <item x="744"/>
        <item x="404"/>
        <item x="518"/>
        <item x="827"/>
        <item x="58"/>
        <item x="864"/>
        <item x="662"/>
        <item x="618"/>
        <item x="86"/>
        <item x="21"/>
        <item x="729"/>
        <item x="929"/>
        <item x="577"/>
        <item x="984"/>
        <item x="667"/>
        <item x="411"/>
        <item x="628"/>
        <item x="865"/>
        <item x="660"/>
        <item x="425"/>
        <item x="240"/>
        <item x="959"/>
        <item x="386"/>
        <item x="608"/>
        <item x="935"/>
        <item x="41"/>
        <item x="735"/>
        <item x="17"/>
        <item x="519"/>
        <item x="367"/>
        <item x="823"/>
        <item x="438"/>
        <item x="162"/>
        <item x="8"/>
        <item x="554"/>
        <item x="540"/>
        <item x="217"/>
        <item x="980"/>
        <item x="725"/>
        <item x="711"/>
        <item x="204"/>
        <item x="562"/>
        <item x="777"/>
        <item x="526"/>
        <item x="716"/>
        <item x="419"/>
        <item x="95"/>
        <item x="130"/>
        <item x="197"/>
        <item x="904"/>
        <item x="402"/>
        <item x="528"/>
        <item x="437"/>
        <item x="102"/>
        <item x="449"/>
        <item x="563"/>
        <item x="248"/>
        <item x="276"/>
        <item x="836"/>
        <item x="229"/>
        <item x="899"/>
        <item x="856"/>
        <item x="257"/>
        <item x="144"/>
        <item x="522"/>
        <item x="684"/>
        <item x="902"/>
        <item x="406"/>
        <item x="444"/>
        <item x="164"/>
        <item x="749"/>
        <item x="625"/>
        <item x="363"/>
        <item x="167"/>
        <item x="413"/>
        <item x="605"/>
        <item x="496"/>
        <item x="760"/>
        <item x="651"/>
        <item x="329"/>
        <item x="116"/>
        <item x="521"/>
        <item x="603"/>
        <item x="529"/>
        <item x="135"/>
        <item x="938"/>
        <item x="195"/>
        <item x="539"/>
        <item x="71"/>
        <item x="604"/>
        <item x="300"/>
        <item x="100"/>
        <item x="627"/>
        <item x="917"/>
        <item x="457"/>
        <item x="766"/>
        <item x="967"/>
        <item x="580"/>
        <item x="31"/>
        <item x="76"/>
        <item x="439"/>
        <item x="939"/>
        <item x="596"/>
        <item x="630"/>
        <item x="708"/>
        <item x="490"/>
        <item x="829"/>
        <item x="436"/>
        <item x="930"/>
        <item x="531"/>
        <item x="568"/>
        <item x="686"/>
        <item x="715"/>
        <item x="104"/>
        <item x="191"/>
        <item x="18"/>
        <item x="553"/>
        <item x="110"/>
        <item x="925"/>
        <item x="919"/>
        <item x="1"/>
        <item x="180"/>
        <item x="81"/>
        <item x="241"/>
        <item x="101"/>
        <item x="67"/>
        <item x="511"/>
        <item x="339"/>
        <item x="516"/>
        <item x="203"/>
        <item x="550"/>
        <item x="147"/>
        <item x="737"/>
        <item x="887"/>
        <item x="653"/>
        <item x="527"/>
        <item x="273"/>
        <item x="818"/>
        <item x="903"/>
        <item x="253"/>
        <item x="207"/>
        <item x="318"/>
        <item x="171"/>
        <item x="594"/>
        <item x="15"/>
        <item x="875"/>
        <item x="70"/>
        <item x="893"/>
        <item x="194"/>
        <item x="247"/>
        <item x="918"/>
        <item x="671"/>
        <item x="647"/>
        <item t="default"/>
      </items>
    </pivotField>
    <pivotField showAll="0"/>
    <pivotField showAll="0"/>
    <pivotField showAll="0"/>
    <pivotField showAll="0"/>
    <pivotField axis="axisRow" showAll="0">
      <items count="11">
        <item x="4"/>
        <item x="0"/>
        <item x="7"/>
        <item x="5"/>
        <item x="8"/>
        <item x="2"/>
        <item x="9"/>
        <item x="1"/>
        <item x="6"/>
        <item x="3"/>
        <item t="default"/>
      </items>
    </pivotField>
    <pivotField showAll="0"/>
    <pivotField showAll="0"/>
    <pivotField showAll="0"/>
    <pivotField showAll="0"/>
    <pivotField numFmtId="9" showAll="0"/>
  </pivotFields>
  <rowFields count="1">
    <field x="6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Count of Freelancer id" fld="0" subtotal="count" baseField="0" baseItem="0"/>
  </dataFields>
  <chartFormats count="1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Dark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0017685-5C6C-4140-8617-01673E9E1FEE}" name="PivotTable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 rowHeaderCaption="Name">
  <location ref="A723:B743" firstHeaderRow="1" firstDataRow="1" firstDataCol="1"/>
  <pivotFields count="12">
    <pivotField showAll="0"/>
    <pivotField axis="axisRow" showAll="0" measureFilter="1">
      <items count="993">
        <item x="866"/>
        <item x="757"/>
        <item x="338"/>
        <item x="494"/>
        <item x="771"/>
        <item x="831"/>
        <item x="452"/>
        <item x="202"/>
        <item x="811"/>
        <item x="969"/>
        <item x="808"/>
        <item x="987"/>
        <item x="282"/>
        <item x="710"/>
        <item x="296"/>
        <item x="353"/>
        <item x="129"/>
        <item x="817"/>
        <item x="923"/>
        <item x="813"/>
        <item x="27"/>
        <item x="12"/>
        <item x="634"/>
        <item x="315"/>
        <item x="876"/>
        <item x="412"/>
        <item x="423"/>
        <item x="120"/>
        <item x="486"/>
        <item x="796"/>
        <item x="446"/>
        <item x="175"/>
        <item x="763"/>
        <item x="351"/>
        <item x="666"/>
        <item x="799"/>
        <item x="3"/>
        <item x="567"/>
        <item x="772"/>
        <item x="912"/>
        <item x="37"/>
        <item x="294"/>
        <item x="911"/>
        <item x="249"/>
        <item x="441"/>
        <item x="82"/>
        <item x="635"/>
        <item x="124"/>
        <item x="897"/>
        <item x="98"/>
        <item x="246"/>
        <item x="646"/>
        <item x="442"/>
        <item x="626"/>
        <item x="314"/>
        <item x="362"/>
        <item x="659"/>
        <item x="706"/>
        <item x="40"/>
        <item x="913"/>
        <item x="283"/>
        <item x="234"/>
        <item x="842"/>
        <item x="25"/>
        <item x="153"/>
        <item x="764"/>
        <item x="928"/>
        <item x="378"/>
        <item x="773"/>
        <item x="433"/>
        <item x="506"/>
        <item x="277"/>
        <item x="888"/>
        <item x="394"/>
        <item x="747"/>
        <item x="168"/>
        <item x="252"/>
        <item x="924"/>
        <item x="571"/>
        <item x="483"/>
        <item x="718"/>
        <item x="570"/>
        <item x="361"/>
        <item x="145"/>
        <item x="66"/>
        <item x="615"/>
        <item x="641"/>
        <item x="508"/>
        <item x="304"/>
        <item x="884"/>
        <item x="84"/>
        <item x="126"/>
        <item x="430"/>
        <item x="59"/>
        <item x="267"/>
        <item x="650"/>
        <item x="696"/>
        <item x="298"/>
        <item x="877"/>
        <item x="794"/>
        <item x="96"/>
        <item x="852"/>
        <item x="972"/>
        <item x="480"/>
        <item x="360"/>
        <item x="717"/>
        <item x="942"/>
        <item x="424"/>
        <item x="977"/>
        <item x="193"/>
        <item x="185"/>
        <item x="752"/>
        <item x="643"/>
        <item x="365"/>
        <item x="311"/>
        <item x="235"/>
        <item x="85"/>
        <item x="954"/>
        <item x="255"/>
        <item x="814"/>
        <item x="400"/>
        <item x="828"/>
        <item x="355"/>
        <item x="264"/>
        <item x="196"/>
        <item x="810"/>
        <item x="87"/>
        <item x="606"/>
        <item x="589"/>
        <item x="80"/>
        <item x="909"/>
        <item x="782"/>
        <item x="335"/>
        <item x="759"/>
        <item x="863"/>
        <item x="259"/>
        <item x="121"/>
        <item x="286"/>
        <item x="739"/>
        <item x="536"/>
        <item x="692"/>
        <item x="172"/>
        <item x="906"/>
        <item x="256"/>
        <item x="617"/>
        <item x="860"/>
        <item x="943"/>
        <item x="547"/>
        <item x="953"/>
        <item x="532"/>
        <item x="290"/>
        <item x="22"/>
        <item x="971"/>
        <item x="140"/>
        <item x="582"/>
        <item x="354"/>
        <item x="983"/>
        <item x="47"/>
        <item x="372"/>
        <item x="225"/>
        <item x="476"/>
        <item x="988"/>
        <item x="230"/>
        <item x="307"/>
        <item x="629"/>
        <item x="157"/>
        <item x="517"/>
        <item x="356"/>
        <item x="707"/>
        <item x="722"/>
        <item x="291"/>
        <item x="62"/>
        <item x="388"/>
        <item x="359"/>
        <item x="239"/>
        <item x="788"/>
        <item x="855"/>
        <item x="132"/>
        <item x="728"/>
        <item x="428"/>
        <item x="122"/>
        <item x="319"/>
        <item x="576"/>
        <item x="756"/>
        <item x="133"/>
        <item x="152"/>
        <item x="974"/>
        <item x="340"/>
        <item x="127"/>
        <item x="303"/>
        <item x="504"/>
        <item x="681"/>
        <item x="482"/>
        <item x="68"/>
        <item x="867"/>
        <item x="60"/>
        <item x="619"/>
        <item x="478"/>
        <item x="966"/>
        <item x="65"/>
        <item x="812"/>
        <item x="451"/>
        <item x="652"/>
        <item x="776"/>
        <item x="313"/>
        <item x="265"/>
        <item x="833"/>
        <item x="793"/>
        <item x="611"/>
        <item x="237"/>
        <item x="397"/>
        <item x="952"/>
        <item x="236"/>
        <item x="697"/>
        <item x="591"/>
        <item x="920"/>
        <item x="612"/>
        <item x="832"/>
        <item x="443"/>
        <item x="978"/>
        <item x="514"/>
        <item x="455"/>
        <item x="700"/>
        <item x="317"/>
        <item x="683"/>
        <item x="214"/>
        <item x="223"/>
        <item x="886"/>
        <item x="621"/>
        <item x="835"/>
        <item x="713"/>
        <item x="306"/>
        <item x="973"/>
        <item x="703"/>
        <item x="958"/>
        <item x="631"/>
        <item x="414"/>
        <item x="97"/>
        <item x="957"/>
        <item x="279"/>
        <item x="456"/>
        <item x="552"/>
        <item x="637"/>
        <item x="991"/>
        <item x="565"/>
        <item x="673"/>
        <item x="640"/>
        <item x="851"/>
        <item x="368"/>
        <item x="341"/>
        <item x="926"/>
        <item x="574"/>
        <item x="123"/>
        <item x="170"/>
        <item x="623"/>
        <item x="445"/>
        <item x="94"/>
        <item x="743"/>
        <item x="77"/>
        <item x="513"/>
        <item x="824"/>
        <item x="761"/>
        <item x="426"/>
        <item x="748"/>
        <item x="409"/>
        <item x="502"/>
        <item x="48"/>
        <item x="51"/>
        <item x="161"/>
        <item x="632"/>
        <item x="137"/>
        <item x="427"/>
        <item x="136"/>
        <item x="379"/>
        <item x="450"/>
        <item x="281"/>
        <item x="597"/>
        <item x="429"/>
        <item x="802"/>
        <item x="405"/>
        <item x="607"/>
        <item x="801"/>
        <item x="789"/>
        <item x="61"/>
        <item x="174"/>
        <item x="142"/>
        <item x="14"/>
        <item x="331"/>
        <item x="226"/>
        <item x="343"/>
        <item x="569"/>
        <item x="432"/>
        <item x="392"/>
        <item x="709"/>
        <item x="559"/>
        <item x="184"/>
        <item x="108"/>
        <item x="664"/>
        <item x="408"/>
        <item x="254"/>
        <item x="677"/>
        <item x="800"/>
        <item x="35"/>
        <item x="491"/>
        <item x="344"/>
        <item x="834"/>
        <item x="633"/>
        <item x="30"/>
        <item x="961"/>
        <item x="668"/>
        <item x="6"/>
        <item x="736"/>
        <item x="384"/>
        <item x="691"/>
        <item x="146"/>
        <item x="932"/>
        <item x="889"/>
        <item x="543"/>
        <item x="746"/>
        <item x="816"/>
        <item x="675"/>
        <item x="399"/>
        <item x="981"/>
        <item x="848"/>
        <item x="250"/>
        <item x="176"/>
        <item x="949"/>
        <item x="148"/>
        <item x="10"/>
        <item x="373"/>
        <item x="868"/>
        <item x="755"/>
        <item x="636"/>
        <item x="69"/>
        <item x="785"/>
        <item x="118"/>
        <item x="734"/>
        <item x="163"/>
        <item x="371"/>
        <item x="581"/>
        <item x="731"/>
        <item x="885"/>
        <item x="274"/>
        <item x="676"/>
        <item x="940"/>
        <item x="268"/>
        <item x="765"/>
        <item x="512"/>
        <item x="601"/>
        <item x="853"/>
        <item x="937"/>
        <item x="620"/>
        <item x="200"/>
        <item x="187"/>
        <item x="721"/>
        <item x="470"/>
        <item x="390"/>
        <item x="882"/>
        <item x="499"/>
        <item x="434"/>
        <item x="364"/>
        <item x="403"/>
        <item x="251"/>
        <item x="670"/>
        <item x="261"/>
        <item x="210"/>
        <item x="497"/>
        <item x="263"/>
        <item x="767"/>
        <item x="270"/>
        <item x="222"/>
        <item x="791"/>
        <item x="45"/>
        <item x="768"/>
        <item x="288"/>
        <item x="20"/>
        <item x="719"/>
        <item x="583"/>
        <item x="39"/>
        <item x="551"/>
        <item x="415"/>
        <item x="380"/>
        <item x="454"/>
        <item x="220"/>
        <item x="473"/>
        <item x="503"/>
        <item x="36"/>
        <item x="111"/>
        <item x="555"/>
        <item x="535"/>
        <item x="105"/>
        <item x="463"/>
        <item x="847"/>
        <item x="701"/>
        <item x="524"/>
        <item x="125"/>
        <item x="741"/>
        <item x="846"/>
        <item x="690"/>
        <item x="970"/>
        <item x="370"/>
        <item x="43"/>
        <item x="695"/>
        <item x="669"/>
        <item x="962"/>
        <item x="262"/>
        <item x="485"/>
        <item x="293"/>
        <item x="324"/>
        <item x="895"/>
        <item x="489"/>
        <item x="192"/>
        <item x="181"/>
        <item x="219"/>
        <item x="986"/>
        <item x="260"/>
        <item x="369"/>
        <item x="107"/>
        <item x="24"/>
        <item x="54"/>
        <item x="916"/>
        <item x="488"/>
        <item x="610"/>
        <item x="845"/>
        <item x="484"/>
        <item x="208"/>
        <item x="467"/>
        <item x="347"/>
        <item x="872"/>
        <item x="595"/>
        <item x="75"/>
        <item x="173"/>
        <item x="778"/>
        <item x="861"/>
        <item x="119"/>
        <item x="188"/>
        <item x="468"/>
        <item x="762"/>
        <item x="723"/>
        <item x="588"/>
        <item x="410"/>
        <item x="730"/>
        <item x="586"/>
        <item x="326"/>
        <item x="34"/>
        <item x="115"/>
        <item x="352"/>
        <item x="201"/>
        <item x="458"/>
        <item x="199"/>
        <item x="985"/>
        <item x="53"/>
        <item x="389"/>
        <item x="301"/>
        <item x="645"/>
        <item x="648"/>
        <item x="472"/>
        <item x="720"/>
        <item x="545"/>
        <item x="638"/>
        <item x="561"/>
        <item x="724"/>
        <item x="334"/>
        <item x="461"/>
        <item x="878"/>
        <item x="841"/>
        <item x="990"/>
        <item x="505"/>
        <item x="698"/>
        <item x="166"/>
        <item x="941"/>
        <item x="358"/>
        <item x="754"/>
        <item x="963"/>
        <item x="689"/>
        <item x="117"/>
        <item x="128"/>
        <item x="139"/>
        <item x="784"/>
        <item x="73"/>
        <item x="93"/>
        <item x="758"/>
        <item x="328"/>
        <item x="440"/>
        <item x="575"/>
        <item x="227"/>
        <item x="289"/>
        <item x="825"/>
        <item x="337"/>
        <item x="639"/>
        <item x="679"/>
        <item x="138"/>
        <item x="815"/>
        <item x="534"/>
        <item x="775"/>
        <item x="672"/>
        <item x="391"/>
        <item x="287"/>
        <item x="663"/>
        <item x="693"/>
        <item x="2"/>
        <item x="541"/>
        <item x="465"/>
        <item x="233"/>
        <item x="826"/>
        <item x="950"/>
        <item x="462"/>
        <item x="453"/>
        <item x="50"/>
        <item x="266"/>
        <item x="186"/>
        <item x="322"/>
        <item x="839"/>
        <item x="572"/>
        <item x="466"/>
        <item x="131"/>
        <item x="42"/>
        <item x="215"/>
        <item x="447"/>
        <item x="688"/>
        <item x="770"/>
        <item x="894"/>
        <item x="416"/>
        <item x="320"/>
        <item x="560"/>
        <item x="712"/>
        <item x="901"/>
        <item x="989"/>
        <item x="644"/>
        <item x="699"/>
        <item x="471"/>
        <item x="587"/>
        <item x="787"/>
        <item x="481"/>
        <item x="573"/>
        <item x="750"/>
        <item x="862"/>
        <item x="280"/>
        <item x="786"/>
        <item x="898"/>
        <item x="515"/>
        <item x="642"/>
        <item x="579"/>
        <item x="537"/>
        <item x="374"/>
        <item x="493"/>
        <item x="564"/>
        <item x="849"/>
        <item x="538"/>
        <item x="113"/>
        <item x="896"/>
        <item x="431"/>
        <item x="774"/>
        <item x="557"/>
        <item x="109"/>
        <item x="103"/>
        <item x="590"/>
        <item x="183"/>
        <item x="900"/>
        <item x="206"/>
        <item x="244"/>
        <item x="507"/>
        <item x="523"/>
        <item x="927"/>
        <item x="549"/>
        <item x="840"/>
        <item x="99"/>
        <item x="346"/>
        <item x="52"/>
        <item x="907"/>
        <item x="726"/>
        <item x="881"/>
        <item x="49"/>
        <item x="492"/>
        <item x="55"/>
        <item x="871"/>
        <item x="956"/>
        <item x="622"/>
        <item x="665"/>
        <item x="16"/>
        <item x="357"/>
        <item x="56"/>
        <item x="946"/>
        <item x="975"/>
        <item x="751"/>
        <item x="348"/>
        <item x="922"/>
        <item x="285"/>
        <item x="657"/>
        <item x="63"/>
        <item x="112"/>
        <item x="143"/>
        <item x="78"/>
        <item x="421"/>
        <item x="740"/>
        <item x="843"/>
        <item x="448"/>
        <item x="822"/>
        <item x="806"/>
        <item x="797"/>
        <item x="141"/>
        <item x="879"/>
        <item x="968"/>
        <item x="5"/>
        <item x="960"/>
        <item x="90"/>
        <item x="859"/>
        <item x="393"/>
        <item x="915"/>
        <item x="336"/>
        <item x="821"/>
        <item x="29"/>
        <item x="510"/>
        <item x="309"/>
        <item x="4"/>
        <item x="658"/>
        <item x="742"/>
        <item x="366"/>
        <item x="179"/>
        <item x="779"/>
        <item x="908"/>
        <item x="566"/>
        <item x="880"/>
        <item x="533"/>
        <item x="530"/>
        <item x="149"/>
        <item x="26"/>
        <item x="965"/>
        <item x="738"/>
        <item x="599"/>
        <item x="238"/>
        <item x="474"/>
        <item x="325"/>
        <item x="792"/>
        <item x="106"/>
        <item x="258"/>
        <item x="295"/>
        <item x="798"/>
        <item x="57"/>
        <item x="600"/>
        <item x="694"/>
        <item x="874"/>
        <item x="435"/>
        <item x="857"/>
        <item x="376"/>
        <item x="790"/>
        <item x="464"/>
        <item x="783"/>
        <item x="284"/>
        <item x="869"/>
        <item x="682"/>
        <item x="649"/>
        <item x="475"/>
        <item x="387"/>
        <item x="19"/>
        <item x="9"/>
        <item x="232"/>
        <item x="349"/>
        <item x="150"/>
        <item x="89"/>
        <item x="613"/>
        <item x="964"/>
        <item x="944"/>
        <item x="525"/>
        <item x="837"/>
        <item x="278"/>
        <item x="702"/>
        <item x="733"/>
        <item x="685"/>
        <item x="28"/>
        <item x="228"/>
        <item x="602"/>
        <item x="542"/>
        <item x="23"/>
        <item x="781"/>
        <item x="269"/>
        <item x="38"/>
        <item x="656"/>
        <item x="189"/>
        <item x="769"/>
        <item x="803"/>
        <item x="74"/>
        <item x="350"/>
        <item x="33"/>
        <item x="177"/>
        <item x="704"/>
        <item x="609"/>
        <item x="584"/>
        <item x="680"/>
        <item x="578"/>
        <item x="819"/>
        <item x="593"/>
        <item x="498"/>
        <item x="418"/>
        <item x="83"/>
        <item x="316"/>
        <item x="212"/>
        <item x="500"/>
        <item x="820"/>
        <item x="231"/>
        <item x="182"/>
        <item x="585"/>
        <item x="883"/>
        <item x="614"/>
        <item x="807"/>
        <item x="858"/>
        <item x="11"/>
        <item x="780"/>
        <item x="221"/>
        <item x="979"/>
        <item x="44"/>
        <item x="982"/>
        <item x="160"/>
        <item x="299"/>
        <item x="209"/>
        <item x="327"/>
        <item x="292"/>
        <item x="407"/>
        <item x="395"/>
        <item x="91"/>
        <item x="548"/>
        <item x="945"/>
        <item x="732"/>
        <item x="375"/>
        <item x="154"/>
        <item x="155"/>
        <item x="242"/>
        <item x="243"/>
        <item x="213"/>
        <item x="469"/>
        <item x="520"/>
        <item x="420"/>
        <item x="459"/>
        <item x="398"/>
        <item x="272"/>
        <item x="955"/>
        <item x="914"/>
        <item x="308"/>
        <item x="873"/>
        <item x="870"/>
        <item x="46"/>
        <item x="396"/>
        <item x="0"/>
        <item x="933"/>
        <item x="271"/>
        <item x="297"/>
        <item x="678"/>
        <item x="546"/>
        <item x="687"/>
        <item x="417"/>
        <item x="158"/>
        <item x="931"/>
        <item x="891"/>
        <item x="947"/>
        <item x="850"/>
        <item x="330"/>
        <item x="72"/>
        <item x="169"/>
        <item x="854"/>
        <item x="951"/>
        <item x="624"/>
        <item x="921"/>
        <item x="558"/>
        <item x="381"/>
        <item x="198"/>
        <item x="342"/>
        <item x="616"/>
        <item x="245"/>
        <item x="460"/>
        <item x="79"/>
        <item x="302"/>
        <item x="159"/>
        <item x="332"/>
        <item x="905"/>
        <item x="178"/>
        <item x="745"/>
        <item x="190"/>
        <item x="151"/>
        <item x="477"/>
        <item x="385"/>
        <item x="910"/>
        <item x="92"/>
        <item x="323"/>
        <item x="134"/>
        <item x="205"/>
        <item x="401"/>
        <item x="13"/>
        <item x="382"/>
        <item x="714"/>
        <item x="592"/>
        <item x="890"/>
        <item x="654"/>
        <item x="487"/>
        <item x="705"/>
        <item x="156"/>
        <item x="333"/>
        <item x="64"/>
        <item x="422"/>
        <item x="674"/>
        <item x="838"/>
        <item x="383"/>
        <item x="948"/>
        <item x="655"/>
        <item x="479"/>
        <item x="805"/>
        <item x="275"/>
        <item x="218"/>
        <item x="934"/>
        <item x="753"/>
        <item x="345"/>
        <item x="7"/>
        <item x="544"/>
        <item x="114"/>
        <item x="216"/>
        <item x="305"/>
        <item x="976"/>
        <item x="32"/>
        <item x="936"/>
        <item x="501"/>
        <item x="321"/>
        <item x="165"/>
        <item x="809"/>
        <item x="495"/>
        <item x="830"/>
        <item x="892"/>
        <item x="556"/>
        <item x="88"/>
        <item x="509"/>
        <item x="727"/>
        <item x="312"/>
        <item x="377"/>
        <item x="661"/>
        <item x="844"/>
        <item x="310"/>
        <item x="804"/>
        <item x="224"/>
        <item x="598"/>
        <item x="211"/>
        <item x="795"/>
        <item x="744"/>
        <item x="404"/>
        <item x="518"/>
        <item x="827"/>
        <item x="58"/>
        <item x="864"/>
        <item x="662"/>
        <item x="618"/>
        <item x="86"/>
        <item x="21"/>
        <item x="729"/>
        <item x="929"/>
        <item x="577"/>
        <item x="984"/>
        <item x="667"/>
        <item x="411"/>
        <item x="628"/>
        <item x="865"/>
        <item x="660"/>
        <item x="425"/>
        <item x="240"/>
        <item x="959"/>
        <item x="386"/>
        <item x="608"/>
        <item x="935"/>
        <item x="41"/>
        <item x="735"/>
        <item x="17"/>
        <item x="519"/>
        <item x="367"/>
        <item x="823"/>
        <item x="438"/>
        <item x="162"/>
        <item x="8"/>
        <item x="554"/>
        <item x="540"/>
        <item x="217"/>
        <item x="980"/>
        <item x="725"/>
        <item x="711"/>
        <item x="204"/>
        <item x="562"/>
        <item x="777"/>
        <item x="526"/>
        <item x="716"/>
        <item x="419"/>
        <item x="95"/>
        <item x="130"/>
        <item x="197"/>
        <item x="904"/>
        <item x="402"/>
        <item x="528"/>
        <item x="437"/>
        <item x="102"/>
        <item x="449"/>
        <item x="563"/>
        <item x="248"/>
        <item x="276"/>
        <item x="836"/>
        <item x="229"/>
        <item x="899"/>
        <item x="856"/>
        <item x="257"/>
        <item x="144"/>
        <item x="522"/>
        <item x="684"/>
        <item x="902"/>
        <item x="406"/>
        <item x="444"/>
        <item x="164"/>
        <item x="749"/>
        <item x="625"/>
        <item x="363"/>
        <item x="167"/>
        <item x="413"/>
        <item x="605"/>
        <item x="496"/>
        <item x="760"/>
        <item x="651"/>
        <item x="329"/>
        <item x="116"/>
        <item x="521"/>
        <item x="603"/>
        <item x="529"/>
        <item x="135"/>
        <item x="938"/>
        <item x="195"/>
        <item x="539"/>
        <item x="71"/>
        <item x="604"/>
        <item x="300"/>
        <item x="100"/>
        <item x="627"/>
        <item x="917"/>
        <item x="457"/>
        <item x="766"/>
        <item x="967"/>
        <item x="580"/>
        <item x="31"/>
        <item x="76"/>
        <item x="439"/>
        <item x="939"/>
        <item x="596"/>
        <item x="630"/>
        <item x="708"/>
        <item x="490"/>
        <item x="829"/>
        <item x="436"/>
        <item x="930"/>
        <item x="531"/>
        <item x="568"/>
        <item x="686"/>
        <item x="715"/>
        <item x="104"/>
        <item x="191"/>
        <item x="18"/>
        <item x="553"/>
        <item x="110"/>
        <item x="925"/>
        <item x="919"/>
        <item x="1"/>
        <item x="180"/>
        <item x="81"/>
        <item x="241"/>
        <item x="101"/>
        <item x="67"/>
        <item x="511"/>
        <item x="339"/>
        <item x="516"/>
        <item x="203"/>
        <item x="550"/>
        <item x="147"/>
        <item x="737"/>
        <item x="887"/>
        <item x="653"/>
        <item x="527"/>
        <item x="273"/>
        <item x="818"/>
        <item x="903"/>
        <item x="253"/>
        <item x="207"/>
        <item x="318"/>
        <item x="171"/>
        <item x="594"/>
        <item x="15"/>
        <item x="875"/>
        <item x="70"/>
        <item x="893"/>
        <item x="194"/>
        <item x="247"/>
        <item x="918"/>
        <item x="671"/>
        <item x="647"/>
        <item t="default"/>
      </items>
    </pivotField>
    <pivotField showAll="0"/>
    <pivotField showAll="0"/>
    <pivotField showAll="0"/>
    <pivotField showAll="0"/>
    <pivotField showAll="0">
      <items count="11">
        <item x="4"/>
        <item x="0"/>
        <item x="7"/>
        <item x="5"/>
        <item x="8"/>
        <item x="2"/>
        <item x="9"/>
        <item x="1"/>
        <item x="6"/>
        <item x="3"/>
        <item t="default"/>
      </items>
    </pivotField>
    <pivotField showAll="0"/>
    <pivotField showAll="0"/>
    <pivotField showAll="0"/>
    <pivotField showAll="0"/>
    <pivotField dataField="1" numFmtId="9" showAll="0"/>
  </pivotFields>
  <rowFields count="1">
    <field x="1"/>
  </rowFields>
  <rowItems count="20">
    <i>
      <x v="34"/>
    </i>
    <i>
      <x v="41"/>
    </i>
    <i>
      <x v="187"/>
    </i>
    <i>
      <x v="319"/>
    </i>
    <i>
      <x v="343"/>
    </i>
    <i>
      <x v="395"/>
    </i>
    <i>
      <x v="402"/>
    </i>
    <i>
      <x v="471"/>
    </i>
    <i>
      <x v="567"/>
    </i>
    <i>
      <x v="620"/>
    </i>
    <i>
      <x v="632"/>
    </i>
    <i>
      <x v="644"/>
    </i>
    <i>
      <x v="659"/>
    </i>
    <i>
      <x v="666"/>
    </i>
    <i>
      <x v="795"/>
    </i>
    <i>
      <x v="813"/>
    </i>
    <i>
      <x v="859"/>
    </i>
    <i>
      <x v="939"/>
    </i>
    <i>
      <x v="978"/>
    </i>
    <i t="grand">
      <x/>
    </i>
  </rowItems>
  <colItems count="1">
    <i/>
  </colItems>
  <dataFields count="1">
    <dataField name="Sum of Client satisfaction" fld="11" baseField="0" baseItem="0" numFmtId="9"/>
  </dataFields>
  <chartFormats count="1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Dark1" showRowHeaders="1" showColHeaders="1" showRowStripes="0" showColStripes="0" showLastColumn="1"/>
  <filters count="1">
    <filter fld="1" type="count" evalOrder="-1" id="4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Relationship Id="rId9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8BBC0C-C9C1-4841-9757-84302EFB7A91}">
  <dimension ref="A1:L1001"/>
  <sheetViews>
    <sheetView workbookViewId="0">
      <selection activeCell="I1" sqref="I1"/>
    </sheetView>
  </sheetViews>
  <sheetFormatPr defaultRowHeight="14.5" x14ac:dyDescent="0.35"/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5">
      <c r="A2" t="s">
        <v>12</v>
      </c>
      <c r="B2" t="s">
        <v>13</v>
      </c>
      <c r="C2" t="s">
        <v>14</v>
      </c>
      <c r="D2">
        <v>52</v>
      </c>
      <c r="E2" t="s">
        <v>15</v>
      </c>
      <c r="F2" t="s">
        <v>16</v>
      </c>
      <c r="G2" t="s">
        <v>17</v>
      </c>
      <c r="H2">
        <v>11</v>
      </c>
      <c r="I2">
        <v>100</v>
      </c>
      <c r="K2">
        <v>0</v>
      </c>
    </row>
    <row r="3" spans="1:12" x14ac:dyDescent="0.35">
      <c r="A3" t="s">
        <v>18</v>
      </c>
      <c r="B3" t="s">
        <v>19</v>
      </c>
      <c r="C3" t="s">
        <v>20</v>
      </c>
      <c r="D3">
        <v>52</v>
      </c>
      <c r="E3" t="s">
        <v>21</v>
      </c>
      <c r="F3" t="s">
        <v>22</v>
      </c>
      <c r="G3" t="s">
        <v>23</v>
      </c>
      <c r="H3">
        <v>34</v>
      </c>
      <c r="I3" t="s">
        <v>24</v>
      </c>
      <c r="J3">
        <v>3.3</v>
      </c>
      <c r="K3">
        <v>1</v>
      </c>
      <c r="L3" s="1">
        <v>0.84</v>
      </c>
    </row>
    <row r="4" spans="1:12" x14ac:dyDescent="0.35">
      <c r="A4" t="s">
        <v>25</v>
      </c>
      <c r="B4" t="s">
        <v>26</v>
      </c>
      <c r="C4" t="s">
        <v>27</v>
      </c>
      <c r="D4">
        <v>53</v>
      </c>
      <c r="E4" t="s">
        <v>28</v>
      </c>
      <c r="F4" t="s">
        <v>29</v>
      </c>
      <c r="G4" t="s">
        <v>30</v>
      </c>
      <c r="H4">
        <v>31</v>
      </c>
      <c r="I4">
        <v>50</v>
      </c>
      <c r="J4">
        <v>0</v>
      </c>
      <c r="K4" t="s">
        <v>31</v>
      </c>
      <c r="L4" s="1">
        <v>0.71</v>
      </c>
    </row>
    <row r="5" spans="1:12" x14ac:dyDescent="0.35">
      <c r="A5" t="s">
        <v>32</v>
      </c>
      <c r="B5" t="s">
        <v>33</v>
      </c>
      <c r="C5" t="s">
        <v>34</v>
      </c>
      <c r="D5">
        <v>38</v>
      </c>
      <c r="E5" t="s">
        <v>21</v>
      </c>
      <c r="F5" t="s">
        <v>22</v>
      </c>
      <c r="G5" t="s">
        <v>35</v>
      </c>
      <c r="H5">
        <v>4</v>
      </c>
      <c r="I5" s="2">
        <v>40</v>
      </c>
      <c r="J5">
        <v>1.5</v>
      </c>
      <c r="K5" t="s">
        <v>31</v>
      </c>
      <c r="L5" s="1">
        <v>0.9</v>
      </c>
    </row>
    <row r="6" spans="1:12" x14ac:dyDescent="0.35">
      <c r="A6" t="s">
        <v>36</v>
      </c>
      <c r="B6" t="s">
        <v>37</v>
      </c>
      <c r="C6" t="s">
        <v>38</v>
      </c>
      <c r="D6">
        <v>53</v>
      </c>
      <c r="E6" t="s">
        <v>28</v>
      </c>
      <c r="F6" t="s">
        <v>29</v>
      </c>
      <c r="G6" t="s">
        <v>35</v>
      </c>
      <c r="H6">
        <v>27</v>
      </c>
      <c r="I6">
        <v>30</v>
      </c>
      <c r="J6">
        <v>4.8</v>
      </c>
      <c r="K6">
        <v>0</v>
      </c>
      <c r="L6" s="1">
        <v>0.83</v>
      </c>
    </row>
    <row r="7" spans="1:12" x14ac:dyDescent="0.35">
      <c r="A7" t="s">
        <v>39</v>
      </c>
      <c r="B7" t="s">
        <v>40</v>
      </c>
      <c r="C7" t="s">
        <v>38</v>
      </c>
      <c r="D7">
        <v>59</v>
      </c>
      <c r="E7" t="s">
        <v>41</v>
      </c>
      <c r="F7" t="s">
        <v>42</v>
      </c>
      <c r="G7" t="s">
        <v>43</v>
      </c>
      <c r="H7">
        <v>14</v>
      </c>
      <c r="I7" s="2">
        <v>30</v>
      </c>
      <c r="J7">
        <v>2.4</v>
      </c>
      <c r="K7" t="b">
        <v>0</v>
      </c>
    </row>
    <row r="8" spans="1:12" x14ac:dyDescent="0.35">
      <c r="A8" t="s">
        <v>44</v>
      </c>
      <c r="B8" t="s">
        <v>45</v>
      </c>
      <c r="C8" t="s">
        <v>46</v>
      </c>
      <c r="D8">
        <v>52</v>
      </c>
      <c r="E8" t="s">
        <v>47</v>
      </c>
      <c r="F8" t="s">
        <v>48</v>
      </c>
      <c r="G8" t="s">
        <v>49</v>
      </c>
      <c r="H8">
        <v>10</v>
      </c>
      <c r="I8" t="s">
        <v>50</v>
      </c>
      <c r="J8">
        <v>3.1</v>
      </c>
      <c r="K8">
        <v>0</v>
      </c>
      <c r="L8" s="1">
        <v>0.94</v>
      </c>
    </row>
    <row r="9" spans="1:12" x14ac:dyDescent="0.35">
      <c r="A9" t="s">
        <v>51</v>
      </c>
      <c r="B9" t="s">
        <v>52</v>
      </c>
      <c r="C9" t="s">
        <v>27</v>
      </c>
      <c r="D9">
        <v>43</v>
      </c>
      <c r="E9" t="s">
        <v>15</v>
      </c>
      <c r="F9" t="s">
        <v>16</v>
      </c>
      <c r="G9" t="s">
        <v>17</v>
      </c>
      <c r="H9">
        <v>14</v>
      </c>
      <c r="I9" t="s">
        <v>53</v>
      </c>
      <c r="J9">
        <v>4.5999999999999996</v>
      </c>
      <c r="K9" t="b">
        <v>0</v>
      </c>
      <c r="L9" s="1">
        <v>0.94</v>
      </c>
    </row>
    <row r="10" spans="1:12" x14ac:dyDescent="0.35">
      <c r="A10" t="s">
        <v>54</v>
      </c>
      <c r="B10" t="s">
        <v>55</v>
      </c>
      <c r="C10" t="s">
        <v>27</v>
      </c>
      <c r="D10">
        <v>26</v>
      </c>
      <c r="E10" t="s">
        <v>56</v>
      </c>
      <c r="F10" t="s">
        <v>22</v>
      </c>
      <c r="G10" t="s">
        <v>17</v>
      </c>
      <c r="H10">
        <v>4</v>
      </c>
      <c r="J10">
        <v>4</v>
      </c>
      <c r="K10" t="b">
        <v>1</v>
      </c>
      <c r="L10" s="1">
        <v>0.76</v>
      </c>
    </row>
    <row r="11" spans="1:12" x14ac:dyDescent="0.35">
      <c r="A11" t="s">
        <v>57</v>
      </c>
      <c r="B11" t="s">
        <v>58</v>
      </c>
      <c r="C11" t="s">
        <v>59</v>
      </c>
      <c r="D11">
        <v>52</v>
      </c>
      <c r="E11" t="s">
        <v>60</v>
      </c>
      <c r="F11" t="s">
        <v>61</v>
      </c>
      <c r="G11" t="s">
        <v>43</v>
      </c>
      <c r="H11">
        <v>22</v>
      </c>
      <c r="I11" s="2">
        <v>50</v>
      </c>
      <c r="K11">
        <v>1</v>
      </c>
    </row>
    <row r="12" spans="1:12" x14ac:dyDescent="0.35">
      <c r="A12" t="s">
        <v>62</v>
      </c>
      <c r="B12" t="s">
        <v>63</v>
      </c>
      <c r="C12" t="s">
        <v>46</v>
      </c>
      <c r="D12">
        <v>40</v>
      </c>
      <c r="E12" t="s">
        <v>64</v>
      </c>
      <c r="F12" t="s">
        <v>22</v>
      </c>
      <c r="G12" t="s">
        <v>49</v>
      </c>
      <c r="H12">
        <v>17</v>
      </c>
      <c r="I12">
        <v>40</v>
      </c>
      <c r="J12">
        <v>3.6</v>
      </c>
      <c r="K12" t="s">
        <v>65</v>
      </c>
      <c r="L12" s="1">
        <v>0.77</v>
      </c>
    </row>
    <row r="13" spans="1:12" x14ac:dyDescent="0.35">
      <c r="A13" t="s">
        <v>66</v>
      </c>
      <c r="B13" t="s">
        <v>67</v>
      </c>
      <c r="C13" t="s">
        <v>20</v>
      </c>
      <c r="D13">
        <v>55</v>
      </c>
      <c r="E13" t="s">
        <v>68</v>
      </c>
      <c r="F13" t="s">
        <v>69</v>
      </c>
      <c r="G13" t="s">
        <v>70</v>
      </c>
      <c r="H13">
        <v>15</v>
      </c>
      <c r="K13" t="s">
        <v>71</v>
      </c>
      <c r="L13" s="1">
        <v>0.86</v>
      </c>
    </row>
    <row r="14" spans="1:12" x14ac:dyDescent="0.35">
      <c r="A14" t="s">
        <v>72</v>
      </c>
      <c r="B14" t="s">
        <v>73</v>
      </c>
      <c r="C14" t="s">
        <v>74</v>
      </c>
      <c r="D14">
        <v>57</v>
      </c>
      <c r="E14" t="s">
        <v>64</v>
      </c>
      <c r="F14" t="s">
        <v>22</v>
      </c>
      <c r="G14" t="s">
        <v>75</v>
      </c>
      <c r="H14">
        <v>18</v>
      </c>
      <c r="J14">
        <v>2</v>
      </c>
      <c r="K14">
        <v>0</v>
      </c>
      <c r="L14" s="1">
        <v>0.86</v>
      </c>
    </row>
    <row r="15" spans="1:12" x14ac:dyDescent="0.35">
      <c r="A15" t="s">
        <v>76</v>
      </c>
      <c r="B15" t="s">
        <v>77</v>
      </c>
      <c r="C15" t="s">
        <v>59</v>
      </c>
      <c r="D15">
        <v>38</v>
      </c>
      <c r="E15" t="s">
        <v>68</v>
      </c>
      <c r="F15" t="s">
        <v>69</v>
      </c>
      <c r="G15" t="s">
        <v>30</v>
      </c>
      <c r="H15">
        <v>20</v>
      </c>
      <c r="I15" t="s">
        <v>50</v>
      </c>
      <c r="J15">
        <v>2.9</v>
      </c>
      <c r="K15">
        <v>1</v>
      </c>
      <c r="L15" s="1">
        <v>0.93</v>
      </c>
    </row>
    <row r="16" spans="1:12" x14ac:dyDescent="0.35">
      <c r="A16" t="s">
        <v>78</v>
      </c>
      <c r="B16" t="s">
        <v>79</v>
      </c>
      <c r="C16" t="s">
        <v>59</v>
      </c>
      <c r="D16">
        <v>50</v>
      </c>
      <c r="E16" t="s">
        <v>28</v>
      </c>
      <c r="F16" t="s">
        <v>29</v>
      </c>
      <c r="G16" t="s">
        <v>49</v>
      </c>
      <c r="H16">
        <v>22</v>
      </c>
      <c r="I16">
        <v>75</v>
      </c>
      <c r="J16">
        <v>3.7</v>
      </c>
      <c r="K16">
        <v>1</v>
      </c>
      <c r="L16" s="1">
        <v>0.7</v>
      </c>
    </row>
    <row r="17" spans="1:12" x14ac:dyDescent="0.35">
      <c r="A17" t="s">
        <v>80</v>
      </c>
      <c r="B17" t="s">
        <v>81</v>
      </c>
      <c r="C17" t="s">
        <v>46</v>
      </c>
      <c r="D17">
        <v>42</v>
      </c>
      <c r="E17" t="s">
        <v>82</v>
      </c>
      <c r="F17" t="s">
        <v>83</v>
      </c>
      <c r="G17" t="s">
        <v>49</v>
      </c>
      <c r="H17">
        <v>0</v>
      </c>
      <c r="I17" s="2">
        <v>30</v>
      </c>
      <c r="J17">
        <v>1.2</v>
      </c>
      <c r="K17">
        <v>0</v>
      </c>
      <c r="L17" s="1">
        <v>0.69</v>
      </c>
    </row>
    <row r="18" spans="1:12" x14ac:dyDescent="0.35">
      <c r="A18" t="s">
        <v>84</v>
      </c>
      <c r="B18" t="s">
        <v>85</v>
      </c>
      <c r="C18" t="s">
        <v>74</v>
      </c>
      <c r="D18">
        <v>39</v>
      </c>
      <c r="E18" t="s">
        <v>21</v>
      </c>
      <c r="F18" t="s">
        <v>22</v>
      </c>
      <c r="G18" t="s">
        <v>86</v>
      </c>
      <c r="H18">
        <v>13</v>
      </c>
      <c r="I18" s="2">
        <v>30</v>
      </c>
      <c r="J18">
        <v>2.5</v>
      </c>
      <c r="K18" t="b">
        <v>0</v>
      </c>
      <c r="L18" s="1">
        <v>0.6</v>
      </c>
    </row>
    <row r="19" spans="1:12" x14ac:dyDescent="0.35">
      <c r="A19" t="s">
        <v>87</v>
      </c>
      <c r="B19" t="s">
        <v>88</v>
      </c>
      <c r="C19" t="s">
        <v>89</v>
      </c>
      <c r="D19">
        <v>56</v>
      </c>
      <c r="E19" t="s">
        <v>90</v>
      </c>
      <c r="F19" t="s">
        <v>91</v>
      </c>
      <c r="G19" t="s">
        <v>17</v>
      </c>
      <c r="L19" s="1">
        <v>0.87</v>
      </c>
    </row>
    <row r="20" spans="1:12" x14ac:dyDescent="0.35">
      <c r="A20" t="s">
        <v>92</v>
      </c>
      <c r="B20" t="s">
        <v>93</v>
      </c>
      <c r="C20" t="s">
        <v>94</v>
      </c>
      <c r="D20">
        <v>56</v>
      </c>
      <c r="E20" t="s">
        <v>56</v>
      </c>
      <c r="F20" t="s">
        <v>22</v>
      </c>
      <c r="G20" t="s">
        <v>70</v>
      </c>
      <c r="H20">
        <v>31</v>
      </c>
      <c r="I20" t="s">
        <v>95</v>
      </c>
      <c r="J20">
        <v>1.1000000000000001</v>
      </c>
      <c r="K20" t="s">
        <v>31</v>
      </c>
      <c r="L20" s="1">
        <v>0.75</v>
      </c>
    </row>
    <row r="21" spans="1:12" x14ac:dyDescent="0.35">
      <c r="A21" t="s">
        <v>96</v>
      </c>
      <c r="B21" t="s">
        <v>97</v>
      </c>
      <c r="C21" t="s">
        <v>94</v>
      </c>
      <c r="D21">
        <v>57</v>
      </c>
      <c r="E21" t="s">
        <v>15</v>
      </c>
      <c r="F21" t="s">
        <v>16</v>
      </c>
      <c r="G21" t="s">
        <v>35</v>
      </c>
      <c r="H21">
        <v>3</v>
      </c>
      <c r="I21" t="s">
        <v>24</v>
      </c>
      <c r="J21">
        <v>1.8</v>
      </c>
      <c r="K21" t="s">
        <v>65</v>
      </c>
      <c r="L21" s="1">
        <v>0.68</v>
      </c>
    </row>
    <row r="22" spans="1:12" x14ac:dyDescent="0.35">
      <c r="A22" t="s">
        <v>98</v>
      </c>
      <c r="B22" t="s">
        <v>99</v>
      </c>
      <c r="C22" t="s">
        <v>94</v>
      </c>
      <c r="E22" t="s">
        <v>47</v>
      </c>
      <c r="F22" t="s">
        <v>48</v>
      </c>
      <c r="G22" t="s">
        <v>43</v>
      </c>
      <c r="H22">
        <v>9</v>
      </c>
      <c r="I22">
        <v>50</v>
      </c>
      <c r="J22">
        <v>1.8</v>
      </c>
      <c r="K22" t="b">
        <v>0</v>
      </c>
      <c r="L22" s="1">
        <v>0.65</v>
      </c>
    </row>
    <row r="23" spans="1:12" x14ac:dyDescent="0.35">
      <c r="A23" t="s">
        <v>100</v>
      </c>
      <c r="B23" t="s">
        <v>101</v>
      </c>
      <c r="C23" t="s">
        <v>46</v>
      </c>
      <c r="D23">
        <v>51</v>
      </c>
      <c r="E23" t="s">
        <v>82</v>
      </c>
      <c r="F23" t="s">
        <v>83</v>
      </c>
      <c r="G23" t="s">
        <v>86</v>
      </c>
      <c r="J23">
        <v>2.4</v>
      </c>
      <c r="K23" t="s">
        <v>31</v>
      </c>
      <c r="L23" s="1">
        <v>0.69</v>
      </c>
    </row>
    <row r="24" spans="1:12" x14ac:dyDescent="0.35">
      <c r="A24" t="s">
        <v>102</v>
      </c>
      <c r="B24" t="s">
        <v>103</v>
      </c>
      <c r="C24" t="s">
        <v>46</v>
      </c>
      <c r="D24">
        <v>51</v>
      </c>
      <c r="E24" t="s">
        <v>104</v>
      </c>
      <c r="F24" t="s">
        <v>105</v>
      </c>
      <c r="G24" t="s">
        <v>75</v>
      </c>
      <c r="H24">
        <v>21</v>
      </c>
      <c r="I24" t="s">
        <v>106</v>
      </c>
      <c r="J24">
        <v>4.7</v>
      </c>
      <c r="K24" t="s">
        <v>31</v>
      </c>
    </row>
    <row r="25" spans="1:12" x14ac:dyDescent="0.35">
      <c r="A25" t="s">
        <v>107</v>
      </c>
      <c r="B25" t="s">
        <v>108</v>
      </c>
      <c r="C25" t="s">
        <v>38</v>
      </c>
      <c r="D25">
        <v>51</v>
      </c>
      <c r="E25" t="s">
        <v>109</v>
      </c>
      <c r="F25" t="s">
        <v>110</v>
      </c>
      <c r="G25" t="s">
        <v>111</v>
      </c>
      <c r="H25">
        <v>15</v>
      </c>
      <c r="I25" s="2">
        <v>50</v>
      </c>
      <c r="J25">
        <v>1.3</v>
      </c>
      <c r="K25">
        <v>1</v>
      </c>
      <c r="L25" s="1">
        <v>1</v>
      </c>
    </row>
    <row r="26" spans="1:12" x14ac:dyDescent="0.35">
      <c r="A26" t="s">
        <v>112</v>
      </c>
      <c r="B26" t="s">
        <v>113</v>
      </c>
      <c r="C26" t="s">
        <v>14</v>
      </c>
      <c r="D26">
        <v>54</v>
      </c>
      <c r="E26" t="s">
        <v>47</v>
      </c>
      <c r="F26" t="s">
        <v>48</v>
      </c>
      <c r="G26" t="s">
        <v>111</v>
      </c>
      <c r="H26">
        <v>13</v>
      </c>
      <c r="I26">
        <v>75</v>
      </c>
      <c r="J26">
        <v>2.9</v>
      </c>
      <c r="L26">
        <v>92</v>
      </c>
    </row>
    <row r="27" spans="1:12" x14ac:dyDescent="0.35">
      <c r="A27" t="s">
        <v>114</v>
      </c>
      <c r="B27" t="s">
        <v>115</v>
      </c>
      <c r="C27" t="s">
        <v>20</v>
      </c>
      <c r="D27">
        <v>22</v>
      </c>
      <c r="E27" t="s">
        <v>109</v>
      </c>
      <c r="F27" t="s">
        <v>110</v>
      </c>
      <c r="G27" t="s">
        <v>86</v>
      </c>
      <c r="H27">
        <v>0</v>
      </c>
      <c r="I27" t="s">
        <v>106</v>
      </c>
      <c r="J27">
        <v>1.2</v>
      </c>
      <c r="K27">
        <v>1</v>
      </c>
      <c r="L27" s="1">
        <v>0.7</v>
      </c>
    </row>
    <row r="28" spans="1:12" x14ac:dyDescent="0.35">
      <c r="A28" t="s">
        <v>116</v>
      </c>
      <c r="B28" t="s">
        <v>117</v>
      </c>
      <c r="C28" t="s">
        <v>38</v>
      </c>
      <c r="D28">
        <v>34</v>
      </c>
      <c r="E28" t="s">
        <v>82</v>
      </c>
      <c r="F28" t="s">
        <v>83</v>
      </c>
      <c r="G28" t="s">
        <v>17</v>
      </c>
      <c r="H28">
        <v>8</v>
      </c>
      <c r="I28" s="2">
        <v>20</v>
      </c>
      <c r="J28">
        <v>0</v>
      </c>
      <c r="K28" t="b">
        <v>1</v>
      </c>
      <c r="L28" s="1">
        <v>0.89</v>
      </c>
    </row>
    <row r="29" spans="1:12" x14ac:dyDescent="0.35">
      <c r="A29" t="s">
        <v>118</v>
      </c>
      <c r="B29" t="s">
        <v>119</v>
      </c>
      <c r="C29" t="s">
        <v>74</v>
      </c>
      <c r="D29">
        <v>36</v>
      </c>
      <c r="E29" t="s">
        <v>120</v>
      </c>
      <c r="F29" t="s">
        <v>121</v>
      </c>
      <c r="G29" t="s">
        <v>30</v>
      </c>
      <c r="H29">
        <v>11</v>
      </c>
      <c r="J29">
        <v>1.8</v>
      </c>
      <c r="K29" t="s">
        <v>71</v>
      </c>
      <c r="L29" s="1">
        <v>0.86</v>
      </c>
    </row>
    <row r="30" spans="1:12" x14ac:dyDescent="0.35">
      <c r="A30" t="s">
        <v>122</v>
      </c>
      <c r="B30" t="s">
        <v>123</v>
      </c>
      <c r="C30" t="s">
        <v>38</v>
      </c>
      <c r="D30">
        <v>47</v>
      </c>
      <c r="E30" t="s">
        <v>124</v>
      </c>
      <c r="F30" t="s">
        <v>22</v>
      </c>
      <c r="G30" t="s">
        <v>43</v>
      </c>
      <c r="H30">
        <v>22</v>
      </c>
      <c r="I30">
        <v>30</v>
      </c>
      <c r="J30">
        <v>1.3</v>
      </c>
      <c r="K30">
        <v>0</v>
      </c>
      <c r="L30" s="1">
        <v>0.62</v>
      </c>
    </row>
    <row r="31" spans="1:12" x14ac:dyDescent="0.35">
      <c r="A31" t="s">
        <v>125</v>
      </c>
      <c r="B31" t="s">
        <v>126</v>
      </c>
      <c r="C31" t="s">
        <v>20</v>
      </c>
      <c r="D31">
        <v>41</v>
      </c>
      <c r="E31" t="s">
        <v>41</v>
      </c>
      <c r="F31" t="s">
        <v>42</v>
      </c>
      <c r="G31" t="s">
        <v>49</v>
      </c>
      <c r="H31">
        <v>14</v>
      </c>
      <c r="I31" t="s">
        <v>50</v>
      </c>
      <c r="J31">
        <v>1.2</v>
      </c>
      <c r="K31">
        <v>0</v>
      </c>
    </row>
    <row r="32" spans="1:12" x14ac:dyDescent="0.35">
      <c r="A32" t="s">
        <v>127</v>
      </c>
      <c r="B32" t="s">
        <v>128</v>
      </c>
      <c r="C32" t="s">
        <v>94</v>
      </c>
      <c r="D32">
        <v>22</v>
      </c>
      <c r="E32" t="s">
        <v>41</v>
      </c>
      <c r="F32" t="s">
        <v>42</v>
      </c>
      <c r="G32" t="s">
        <v>86</v>
      </c>
      <c r="H32">
        <v>4</v>
      </c>
      <c r="J32">
        <v>1</v>
      </c>
      <c r="K32" t="s">
        <v>65</v>
      </c>
    </row>
    <row r="33" spans="1:12" x14ac:dyDescent="0.35">
      <c r="A33" t="s">
        <v>129</v>
      </c>
      <c r="B33" t="s">
        <v>130</v>
      </c>
      <c r="C33" t="s">
        <v>94</v>
      </c>
      <c r="D33">
        <v>38</v>
      </c>
      <c r="E33" t="s">
        <v>131</v>
      </c>
      <c r="F33" t="s">
        <v>132</v>
      </c>
      <c r="G33" t="s">
        <v>111</v>
      </c>
      <c r="H33">
        <v>19</v>
      </c>
      <c r="I33" t="s">
        <v>24</v>
      </c>
      <c r="J33">
        <v>4.2</v>
      </c>
      <c r="K33" t="s">
        <v>31</v>
      </c>
      <c r="L33" s="1">
        <v>0.68</v>
      </c>
    </row>
    <row r="34" spans="1:12" x14ac:dyDescent="0.35">
      <c r="A34" t="s">
        <v>133</v>
      </c>
      <c r="B34" t="s">
        <v>134</v>
      </c>
      <c r="C34" t="s">
        <v>89</v>
      </c>
      <c r="D34">
        <v>46</v>
      </c>
      <c r="E34" t="s">
        <v>135</v>
      </c>
      <c r="F34" t="s">
        <v>136</v>
      </c>
      <c r="G34" t="s">
        <v>43</v>
      </c>
      <c r="H34">
        <v>9</v>
      </c>
      <c r="I34">
        <v>20</v>
      </c>
      <c r="J34">
        <v>1.4</v>
      </c>
      <c r="K34" t="b">
        <v>1</v>
      </c>
      <c r="L34" s="1">
        <v>0.76</v>
      </c>
    </row>
    <row r="35" spans="1:12" x14ac:dyDescent="0.35">
      <c r="A35" t="s">
        <v>137</v>
      </c>
      <c r="B35" t="s">
        <v>138</v>
      </c>
      <c r="C35" t="s">
        <v>27</v>
      </c>
      <c r="E35" t="s">
        <v>109</v>
      </c>
      <c r="F35" t="s">
        <v>110</v>
      </c>
      <c r="G35" t="s">
        <v>43</v>
      </c>
      <c r="H35">
        <v>9</v>
      </c>
      <c r="I35">
        <v>40</v>
      </c>
      <c r="J35">
        <v>2.4</v>
      </c>
      <c r="K35" t="s">
        <v>65</v>
      </c>
      <c r="L35">
        <v>82</v>
      </c>
    </row>
    <row r="36" spans="1:12" x14ac:dyDescent="0.35">
      <c r="A36" t="s">
        <v>139</v>
      </c>
      <c r="B36" t="s">
        <v>140</v>
      </c>
      <c r="C36" t="s">
        <v>20</v>
      </c>
      <c r="D36">
        <v>54</v>
      </c>
      <c r="E36" t="s">
        <v>56</v>
      </c>
      <c r="F36" t="s">
        <v>22</v>
      </c>
      <c r="G36" t="s">
        <v>35</v>
      </c>
      <c r="H36">
        <v>32</v>
      </c>
      <c r="I36">
        <v>75</v>
      </c>
      <c r="J36">
        <v>1</v>
      </c>
      <c r="K36" t="s">
        <v>65</v>
      </c>
      <c r="L36" s="1">
        <v>0.81</v>
      </c>
    </row>
    <row r="37" spans="1:12" x14ac:dyDescent="0.35">
      <c r="A37" t="s">
        <v>141</v>
      </c>
      <c r="B37" t="s">
        <v>142</v>
      </c>
      <c r="C37" t="s">
        <v>38</v>
      </c>
      <c r="D37">
        <v>52</v>
      </c>
      <c r="E37" t="s">
        <v>109</v>
      </c>
      <c r="F37" t="s">
        <v>110</v>
      </c>
      <c r="G37" t="s">
        <v>35</v>
      </c>
      <c r="H37">
        <v>28</v>
      </c>
      <c r="I37" s="2">
        <v>20</v>
      </c>
      <c r="K37">
        <v>0</v>
      </c>
    </row>
    <row r="38" spans="1:12" x14ac:dyDescent="0.35">
      <c r="A38" t="s">
        <v>143</v>
      </c>
      <c r="B38" t="s">
        <v>144</v>
      </c>
      <c r="C38" t="s">
        <v>14</v>
      </c>
      <c r="D38">
        <v>42</v>
      </c>
      <c r="E38" t="s">
        <v>82</v>
      </c>
      <c r="F38" t="s">
        <v>83</v>
      </c>
      <c r="G38" t="s">
        <v>23</v>
      </c>
      <c r="H38">
        <v>6</v>
      </c>
      <c r="I38">
        <v>40</v>
      </c>
      <c r="K38">
        <v>0</v>
      </c>
      <c r="L38" s="1">
        <v>0.63</v>
      </c>
    </row>
    <row r="39" spans="1:12" x14ac:dyDescent="0.35">
      <c r="A39" t="s">
        <v>145</v>
      </c>
      <c r="B39" t="s">
        <v>146</v>
      </c>
      <c r="C39" t="s">
        <v>34</v>
      </c>
      <c r="D39">
        <v>29</v>
      </c>
      <c r="E39" t="s">
        <v>41</v>
      </c>
      <c r="F39" t="s">
        <v>42</v>
      </c>
      <c r="G39" t="s">
        <v>30</v>
      </c>
      <c r="H39">
        <v>10</v>
      </c>
      <c r="I39">
        <v>40</v>
      </c>
      <c r="J39">
        <v>2.2000000000000002</v>
      </c>
      <c r="K39" t="s">
        <v>31</v>
      </c>
      <c r="L39" s="1">
        <v>0.67</v>
      </c>
    </row>
    <row r="40" spans="1:12" x14ac:dyDescent="0.35">
      <c r="A40" t="s">
        <v>147</v>
      </c>
      <c r="B40" t="s">
        <v>148</v>
      </c>
      <c r="C40" t="s">
        <v>34</v>
      </c>
      <c r="D40">
        <v>42</v>
      </c>
      <c r="E40" t="s">
        <v>149</v>
      </c>
      <c r="F40" t="s">
        <v>150</v>
      </c>
      <c r="G40" t="s">
        <v>23</v>
      </c>
      <c r="H40">
        <v>23</v>
      </c>
      <c r="I40">
        <v>50</v>
      </c>
      <c r="J40">
        <v>3.2</v>
      </c>
      <c r="K40" t="s">
        <v>65</v>
      </c>
    </row>
    <row r="41" spans="1:12" x14ac:dyDescent="0.35">
      <c r="A41" t="s">
        <v>151</v>
      </c>
      <c r="B41" t="s">
        <v>152</v>
      </c>
      <c r="C41" t="s">
        <v>94</v>
      </c>
      <c r="D41">
        <v>60</v>
      </c>
      <c r="E41" t="s">
        <v>82</v>
      </c>
      <c r="F41" t="s">
        <v>83</v>
      </c>
      <c r="G41" t="s">
        <v>35</v>
      </c>
      <c r="H41">
        <v>13</v>
      </c>
      <c r="I41" s="2">
        <v>20</v>
      </c>
      <c r="J41">
        <v>3.6</v>
      </c>
      <c r="K41">
        <v>0</v>
      </c>
      <c r="L41" s="1">
        <v>0.8</v>
      </c>
    </row>
    <row r="42" spans="1:12" x14ac:dyDescent="0.35">
      <c r="A42" t="s">
        <v>153</v>
      </c>
      <c r="B42" t="s">
        <v>154</v>
      </c>
      <c r="C42" t="s">
        <v>74</v>
      </c>
      <c r="D42">
        <v>59</v>
      </c>
      <c r="E42" t="s">
        <v>64</v>
      </c>
      <c r="F42" t="s">
        <v>22</v>
      </c>
      <c r="G42" t="s">
        <v>43</v>
      </c>
      <c r="H42">
        <v>3</v>
      </c>
      <c r="I42" t="s">
        <v>95</v>
      </c>
      <c r="J42">
        <v>0</v>
      </c>
      <c r="K42" t="s">
        <v>155</v>
      </c>
    </row>
    <row r="43" spans="1:12" x14ac:dyDescent="0.35">
      <c r="A43" t="s">
        <v>156</v>
      </c>
      <c r="B43" t="s">
        <v>157</v>
      </c>
      <c r="C43" t="s">
        <v>74</v>
      </c>
      <c r="D43">
        <v>21</v>
      </c>
      <c r="E43" t="s">
        <v>124</v>
      </c>
      <c r="F43" t="s">
        <v>22</v>
      </c>
      <c r="G43" t="s">
        <v>35</v>
      </c>
      <c r="H43">
        <v>0</v>
      </c>
      <c r="I43">
        <v>30</v>
      </c>
      <c r="J43">
        <v>2.7</v>
      </c>
      <c r="K43">
        <v>1</v>
      </c>
      <c r="L43" s="1">
        <v>0.84</v>
      </c>
    </row>
    <row r="44" spans="1:12" x14ac:dyDescent="0.35">
      <c r="A44" t="s">
        <v>158</v>
      </c>
      <c r="B44" t="s">
        <v>159</v>
      </c>
      <c r="C44" t="s">
        <v>74</v>
      </c>
      <c r="D44">
        <v>35</v>
      </c>
      <c r="E44" t="s">
        <v>28</v>
      </c>
      <c r="F44" t="s">
        <v>29</v>
      </c>
      <c r="G44" t="s">
        <v>86</v>
      </c>
      <c r="H44">
        <v>10</v>
      </c>
      <c r="I44" s="2">
        <v>50</v>
      </c>
      <c r="J44">
        <v>0</v>
      </c>
      <c r="K44" t="s">
        <v>155</v>
      </c>
    </row>
    <row r="45" spans="1:12" x14ac:dyDescent="0.35">
      <c r="A45" t="s">
        <v>160</v>
      </c>
      <c r="B45" t="s">
        <v>161</v>
      </c>
      <c r="C45" t="s">
        <v>27</v>
      </c>
      <c r="D45">
        <v>41</v>
      </c>
      <c r="E45" t="s">
        <v>64</v>
      </c>
      <c r="F45" t="s">
        <v>22</v>
      </c>
      <c r="G45" t="s">
        <v>49</v>
      </c>
      <c r="I45">
        <v>20</v>
      </c>
      <c r="J45">
        <v>2.8</v>
      </c>
      <c r="K45" t="b">
        <v>1</v>
      </c>
      <c r="L45" s="1">
        <v>0.63</v>
      </c>
    </row>
    <row r="46" spans="1:12" x14ac:dyDescent="0.35">
      <c r="A46" t="s">
        <v>162</v>
      </c>
      <c r="B46" t="s">
        <v>163</v>
      </c>
      <c r="C46" t="s">
        <v>74</v>
      </c>
      <c r="D46">
        <v>51</v>
      </c>
      <c r="E46" t="s">
        <v>41</v>
      </c>
      <c r="F46" t="s">
        <v>42</v>
      </c>
      <c r="G46" t="s">
        <v>111</v>
      </c>
      <c r="H46">
        <v>23</v>
      </c>
      <c r="I46">
        <v>20</v>
      </c>
      <c r="J46">
        <v>2.5</v>
      </c>
      <c r="K46" t="b">
        <v>0</v>
      </c>
      <c r="L46" s="1">
        <v>0.8</v>
      </c>
    </row>
    <row r="47" spans="1:12" x14ac:dyDescent="0.35">
      <c r="A47" t="s">
        <v>164</v>
      </c>
      <c r="B47" t="s">
        <v>165</v>
      </c>
      <c r="C47" t="s">
        <v>27</v>
      </c>
      <c r="D47">
        <v>41</v>
      </c>
      <c r="E47" t="s">
        <v>149</v>
      </c>
      <c r="F47" t="s">
        <v>150</v>
      </c>
      <c r="G47" t="s">
        <v>35</v>
      </c>
      <c r="H47">
        <v>9</v>
      </c>
      <c r="I47" s="2">
        <v>75</v>
      </c>
      <c r="J47">
        <v>4.9000000000000004</v>
      </c>
      <c r="K47">
        <v>1</v>
      </c>
      <c r="L47" s="1">
        <v>0.74</v>
      </c>
    </row>
    <row r="48" spans="1:12" x14ac:dyDescent="0.35">
      <c r="A48" t="s">
        <v>166</v>
      </c>
      <c r="B48" t="s">
        <v>167</v>
      </c>
      <c r="C48" t="s">
        <v>74</v>
      </c>
      <c r="D48">
        <v>47</v>
      </c>
      <c r="E48" t="s">
        <v>135</v>
      </c>
      <c r="F48" t="s">
        <v>136</v>
      </c>
      <c r="G48" t="s">
        <v>86</v>
      </c>
      <c r="H48">
        <v>15</v>
      </c>
      <c r="I48" t="s">
        <v>106</v>
      </c>
      <c r="J48">
        <v>4.5</v>
      </c>
      <c r="K48">
        <v>1</v>
      </c>
      <c r="L48" s="1">
        <v>0.85</v>
      </c>
    </row>
    <row r="49" spans="1:12" x14ac:dyDescent="0.35">
      <c r="A49" t="s">
        <v>168</v>
      </c>
      <c r="B49" t="s">
        <v>169</v>
      </c>
      <c r="C49" t="s">
        <v>27</v>
      </c>
      <c r="D49">
        <v>25</v>
      </c>
      <c r="E49" t="s">
        <v>170</v>
      </c>
      <c r="F49" t="s">
        <v>171</v>
      </c>
      <c r="G49" t="s">
        <v>30</v>
      </c>
      <c r="H49">
        <v>4</v>
      </c>
      <c r="I49">
        <v>50</v>
      </c>
      <c r="J49">
        <v>2.7</v>
      </c>
      <c r="K49" t="s">
        <v>31</v>
      </c>
      <c r="L49" s="1">
        <v>0.77</v>
      </c>
    </row>
    <row r="50" spans="1:12" x14ac:dyDescent="0.35">
      <c r="A50" t="s">
        <v>172</v>
      </c>
      <c r="B50" t="s">
        <v>173</v>
      </c>
      <c r="C50" t="s">
        <v>34</v>
      </c>
      <c r="D50">
        <v>25</v>
      </c>
      <c r="E50" t="s">
        <v>174</v>
      </c>
      <c r="F50" t="s">
        <v>69</v>
      </c>
      <c r="G50" t="s">
        <v>23</v>
      </c>
      <c r="H50">
        <v>7</v>
      </c>
      <c r="I50">
        <v>20</v>
      </c>
      <c r="J50">
        <v>1.9</v>
      </c>
      <c r="K50">
        <v>0</v>
      </c>
    </row>
    <row r="51" spans="1:12" x14ac:dyDescent="0.35">
      <c r="A51" t="s">
        <v>175</v>
      </c>
      <c r="B51" t="s">
        <v>176</v>
      </c>
      <c r="C51" t="s">
        <v>46</v>
      </c>
      <c r="D51">
        <v>29</v>
      </c>
      <c r="E51" t="s">
        <v>41</v>
      </c>
      <c r="F51" t="s">
        <v>42</v>
      </c>
      <c r="G51" t="s">
        <v>70</v>
      </c>
      <c r="H51">
        <v>1</v>
      </c>
      <c r="I51">
        <v>20</v>
      </c>
      <c r="J51">
        <v>1.4</v>
      </c>
      <c r="K51">
        <v>1</v>
      </c>
      <c r="L51" s="1">
        <v>0.63</v>
      </c>
    </row>
    <row r="52" spans="1:12" x14ac:dyDescent="0.35">
      <c r="A52" t="s">
        <v>177</v>
      </c>
      <c r="B52" t="s">
        <v>178</v>
      </c>
      <c r="C52" t="s">
        <v>20</v>
      </c>
      <c r="D52">
        <v>23</v>
      </c>
      <c r="E52" t="s">
        <v>68</v>
      </c>
      <c r="F52" t="s">
        <v>69</v>
      </c>
      <c r="G52" t="s">
        <v>75</v>
      </c>
      <c r="H52">
        <v>0</v>
      </c>
      <c r="I52">
        <v>75</v>
      </c>
      <c r="J52">
        <v>1.9</v>
      </c>
      <c r="K52" t="b">
        <v>1</v>
      </c>
      <c r="L52" s="1">
        <v>0.79</v>
      </c>
    </row>
    <row r="53" spans="1:12" x14ac:dyDescent="0.35">
      <c r="A53" t="s">
        <v>179</v>
      </c>
      <c r="B53" t="s">
        <v>180</v>
      </c>
      <c r="C53" t="s">
        <v>27</v>
      </c>
      <c r="D53">
        <v>31</v>
      </c>
      <c r="E53" t="s">
        <v>131</v>
      </c>
      <c r="F53" t="s">
        <v>132</v>
      </c>
      <c r="G53" t="s">
        <v>49</v>
      </c>
      <c r="H53">
        <v>8</v>
      </c>
      <c r="I53">
        <v>50</v>
      </c>
      <c r="J53">
        <v>3.4</v>
      </c>
      <c r="K53">
        <v>0</v>
      </c>
    </row>
    <row r="54" spans="1:12" x14ac:dyDescent="0.35">
      <c r="A54" t="s">
        <v>181</v>
      </c>
      <c r="B54" t="s">
        <v>182</v>
      </c>
      <c r="C54" t="s">
        <v>94</v>
      </c>
      <c r="D54">
        <v>51</v>
      </c>
      <c r="E54" t="s">
        <v>28</v>
      </c>
      <c r="F54" t="s">
        <v>29</v>
      </c>
      <c r="G54" t="s">
        <v>111</v>
      </c>
      <c r="H54">
        <v>33</v>
      </c>
      <c r="I54">
        <v>75</v>
      </c>
      <c r="J54">
        <v>3.3</v>
      </c>
      <c r="L54" s="1">
        <v>0.68</v>
      </c>
    </row>
    <row r="55" spans="1:12" x14ac:dyDescent="0.35">
      <c r="A55" t="s">
        <v>183</v>
      </c>
      <c r="B55" t="s">
        <v>184</v>
      </c>
      <c r="C55" t="s">
        <v>46</v>
      </c>
      <c r="E55" t="s">
        <v>185</v>
      </c>
      <c r="F55" t="s">
        <v>69</v>
      </c>
      <c r="G55" t="s">
        <v>70</v>
      </c>
      <c r="H55">
        <v>1</v>
      </c>
      <c r="I55">
        <v>30</v>
      </c>
      <c r="J55">
        <v>0</v>
      </c>
      <c r="K55">
        <v>0</v>
      </c>
      <c r="L55" s="1">
        <v>0.68</v>
      </c>
    </row>
    <row r="56" spans="1:12" x14ac:dyDescent="0.35">
      <c r="A56" t="s">
        <v>186</v>
      </c>
      <c r="B56" t="s">
        <v>187</v>
      </c>
      <c r="C56" t="s">
        <v>14</v>
      </c>
      <c r="D56">
        <v>29</v>
      </c>
      <c r="E56" t="s">
        <v>60</v>
      </c>
      <c r="F56" t="s">
        <v>61</v>
      </c>
      <c r="G56" t="s">
        <v>75</v>
      </c>
      <c r="H56">
        <v>11</v>
      </c>
      <c r="I56">
        <v>100</v>
      </c>
      <c r="J56">
        <v>2.2999999999999998</v>
      </c>
      <c r="K56" t="b">
        <v>1</v>
      </c>
      <c r="L56" s="1">
        <v>0.72</v>
      </c>
    </row>
    <row r="57" spans="1:12" x14ac:dyDescent="0.35">
      <c r="A57" t="s">
        <v>188</v>
      </c>
      <c r="B57" t="s">
        <v>189</v>
      </c>
      <c r="C57" t="s">
        <v>46</v>
      </c>
      <c r="D57">
        <v>50</v>
      </c>
      <c r="E57" t="s">
        <v>64</v>
      </c>
      <c r="F57" t="s">
        <v>22</v>
      </c>
      <c r="G57" t="s">
        <v>43</v>
      </c>
      <c r="H57">
        <v>15</v>
      </c>
      <c r="J57">
        <v>2</v>
      </c>
      <c r="K57" t="s">
        <v>65</v>
      </c>
      <c r="L57" s="1">
        <v>0.65</v>
      </c>
    </row>
    <row r="58" spans="1:12" x14ac:dyDescent="0.35">
      <c r="A58" t="s">
        <v>190</v>
      </c>
      <c r="B58" t="s">
        <v>191</v>
      </c>
      <c r="C58" t="s">
        <v>14</v>
      </c>
      <c r="D58">
        <v>26</v>
      </c>
      <c r="E58" t="s">
        <v>64</v>
      </c>
      <c r="F58" t="s">
        <v>22</v>
      </c>
      <c r="G58" t="s">
        <v>86</v>
      </c>
      <c r="H58">
        <v>8</v>
      </c>
      <c r="I58">
        <v>50</v>
      </c>
      <c r="J58">
        <v>1.3</v>
      </c>
      <c r="K58" t="b">
        <v>0</v>
      </c>
      <c r="L58" s="1">
        <v>0.76</v>
      </c>
    </row>
    <row r="59" spans="1:12" x14ac:dyDescent="0.35">
      <c r="A59" t="s">
        <v>192</v>
      </c>
      <c r="B59" t="s">
        <v>193</v>
      </c>
      <c r="C59" t="s">
        <v>94</v>
      </c>
      <c r="D59">
        <v>38</v>
      </c>
      <c r="E59" t="s">
        <v>124</v>
      </c>
      <c r="F59" t="s">
        <v>22</v>
      </c>
      <c r="G59" t="s">
        <v>43</v>
      </c>
      <c r="H59">
        <v>17</v>
      </c>
      <c r="I59" t="s">
        <v>53</v>
      </c>
      <c r="J59">
        <v>4</v>
      </c>
      <c r="K59" t="b">
        <v>1</v>
      </c>
      <c r="L59" s="1">
        <v>0.9</v>
      </c>
    </row>
    <row r="60" spans="1:12" x14ac:dyDescent="0.35">
      <c r="A60" t="s">
        <v>194</v>
      </c>
      <c r="B60" t="s">
        <v>195</v>
      </c>
      <c r="C60" t="s">
        <v>20</v>
      </c>
      <c r="D60">
        <v>23</v>
      </c>
      <c r="E60" t="s">
        <v>90</v>
      </c>
      <c r="F60" t="s">
        <v>91</v>
      </c>
      <c r="G60" t="s">
        <v>23</v>
      </c>
      <c r="I60">
        <v>75</v>
      </c>
      <c r="J60">
        <v>3.6</v>
      </c>
      <c r="K60">
        <v>1</v>
      </c>
      <c r="L60" s="1">
        <v>0.65</v>
      </c>
    </row>
    <row r="61" spans="1:12" x14ac:dyDescent="0.35">
      <c r="A61" t="s">
        <v>196</v>
      </c>
      <c r="B61" t="s">
        <v>197</v>
      </c>
      <c r="C61" t="s">
        <v>74</v>
      </c>
      <c r="D61">
        <v>51</v>
      </c>
      <c r="E61" t="s">
        <v>149</v>
      </c>
      <c r="F61" t="s">
        <v>150</v>
      </c>
      <c r="G61" t="s">
        <v>86</v>
      </c>
      <c r="H61">
        <v>28</v>
      </c>
      <c r="I61">
        <v>40</v>
      </c>
      <c r="J61">
        <v>3.9</v>
      </c>
      <c r="K61">
        <v>0</v>
      </c>
      <c r="L61" s="1">
        <v>0.63</v>
      </c>
    </row>
    <row r="62" spans="1:12" x14ac:dyDescent="0.35">
      <c r="A62" t="s">
        <v>198</v>
      </c>
      <c r="B62" t="s">
        <v>199</v>
      </c>
      <c r="C62" t="s">
        <v>34</v>
      </c>
      <c r="D62">
        <v>51</v>
      </c>
      <c r="E62" t="s">
        <v>47</v>
      </c>
      <c r="F62" t="s">
        <v>48</v>
      </c>
      <c r="G62" t="s">
        <v>43</v>
      </c>
      <c r="H62">
        <v>33</v>
      </c>
      <c r="I62" s="2">
        <v>75</v>
      </c>
      <c r="J62">
        <v>0</v>
      </c>
      <c r="K62" t="b">
        <v>1</v>
      </c>
    </row>
    <row r="63" spans="1:12" x14ac:dyDescent="0.35">
      <c r="A63" t="s">
        <v>200</v>
      </c>
      <c r="B63" t="s">
        <v>201</v>
      </c>
      <c r="C63" t="s">
        <v>94</v>
      </c>
      <c r="D63">
        <v>47</v>
      </c>
      <c r="E63" t="s">
        <v>28</v>
      </c>
      <c r="F63" t="s">
        <v>29</v>
      </c>
      <c r="G63" t="s">
        <v>43</v>
      </c>
      <c r="H63">
        <v>18</v>
      </c>
      <c r="I63">
        <v>75</v>
      </c>
      <c r="J63">
        <v>0</v>
      </c>
      <c r="K63">
        <v>0</v>
      </c>
    </row>
    <row r="64" spans="1:12" x14ac:dyDescent="0.35">
      <c r="A64" t="s">
        <v>202</v>
      </c>
      <c r="B64" t="s">
        <v>203</v>
      </c>
      <c r="C64" t="s">
        <v>74</v>
      </c>
      <c r="D64">
        <v>34</v>
      </c>
      <c r="E64" t="s">
        <v>120</v>
      </c>
      <c r="F64" t="s">
        <v>121</v>
      </c>
      <c r="G64" t="s">
        <v>70</v>
      </c>
      <c r="H64">
        <v>16</v>
      </c>
      <c r="I64" s="2">
        <v>20</v>
      </c>
      <c r="J64">
        <v>2.2999999999999998</v>
      </c>
      <c r="K64" t="s">
        <v>65</v>
      </c>
      <c r="L64" s="1">
        <v>0.93</v>
      </c>
    </row>
    <row r="65" spans="1:12" x14ac:dyDescent="0.35">
      <c r="A65" t="s">
        <v>204</v>
      </c>
      <c r="B65" t="s">
        <v>205</v>
      </c>
      <c r="C65" t="s">
        <v>14</v>
      </c>
      <c r="D65">
        <v>58</v>
      </c>
      <c r="E65" t="s">
        <v>47</v>
      </c>
      <c r="F65" t="s">
        <v>48</v>
      </c>
      <c r="G65" t="s">
        <v>49</v>
      </c>
      <c r="H65">
        <v>35</v>
      </c>
      <c r="I65" t="s">
        <v>95</v>
      </c>
      <c r="J65">
        <v>4.7</v>
      </c>
      <c r="K65" t="s">
        <v>155</v>
      </c>
      <c r="L65" s="1">
        <v>0.7</v>
      </c>
    </row>
    <row r="66" spans="1:12" x14ac:dyDescent="0.35">
      <c r="A66" t="s">
        <v>206</v>
      </c>
      <c r="B66" t="s">
        <v>207</v>
      </c>
      <c r="C66" t="s">
        <v>34</v>
      </c>
      <c r="D66">
        <v>50</v>
      </c>
      <c r="E66" t="s">
        <v>120</v>
      </c>
      <c r="F66" t="s">
        <v>121</v>
      </c>
      <c r="G66" t="s">
        <v>43</v>
      </c>
      <c r="H66">
        <v>14</v>
      </c>
      <c r="J66">
        <v>3.5</v>
      </c>
      <c r="K66" t="s">
        <v>71</v>
      </c>
      <c r="L66" s="1">
        <v>0.83</v>
      </c>
    </row>
    <row r="67" spans="1:12" x14ac:dyDescent="0.35">
      <c r="A67" t="s">
        <v>208</v>
      </c>
      <c r="B67" t="s">
        <v>209</v>
      </c>
      <c r="C67" t="s">
        <v>20</v>
      </c>
      <c r="D67">
        <v>34</v>
      </c>
      <c r="E67" t="s">
        <v>185</v>
      </c>
      <c r="F67" t="s">
        <v>69</v>
      </c>
      <c r="G67" t="s">
        <v>35</v>
      </c>
      <c r="H67">
        <v>12</v>
      </c>
      <c r="I67">
        <v>40</v>
      </c>
      <c r="J67">
        <v>2.4</v>
      </c>
      <c r="K67">
        <v>1</v>
      </c>
      <c r="L67">
        <v>64</v>
      </c>
    </row>
    <row r="68" spans="1:12" x14ac:dyDescent="0.35">
      <c r="A68" t="s">
        <v>210</v>
      </c>
      <c r="B68" t="s">
        <v>211</v>
      </c>
      <c r="C68" t="s">
        <v>74</v>
      </c>
      <c r="D68">
        <v>45</v>
      </c>
      <c r="E68" t="s">
        <v>104</v>
      </c>
      <c r="F68" t="s">
        <v>105</v>
      </c>
      <c r="G68" t="s">
        <v>43</v>
      </c>
      <c r="H68">
        <v>11</v>
      </c>
      <c r="I68" t="s">
        <v>50</v>
      </c>
      <c r="J68">
        <v>4</v>
      </c>
      <c r="K68" t="s">
        <v>31</v>
      </c>
      <c r="L68" s="1">
        <v>1</v>
      </c>
    </row>
    <row r="69" spans="1:12" x14ac:dyDescent="0.35">
      <c r="A69" t="s">
        <v>212</v>
      </c>
      <c r="B69" t="s">
        <v>213</v>
      </c>
      <c r="C69" t="s">
        <v>20</v>
      </c>
      <c r="D69">
        <v>55</v>
      </c>
      <c r="E69" t="s">
        <v>104</v>
      </c>
      <c r="F69" t="s">
        <v>105</v>
      </c>
      <c r="G69" t="s">
        <v>35</v>
      </c>
      <c r="H69">
        <v>0</v>
      </c>
      <c r="I69" s="2">
        <v>40</v>
      </c>
      <c r="J69">
        <v>0</v>
      </c>
      <c r="K69" t="b">
        <v>1</v>
      </c>
    </row>
    <row r="70" spans="1:12" x14ac:dyDescent="0.35">
      <c r="A70" t="s">
        <v>214</v>
      </c>
      <c r="B70" t="s">
        <v>215</v>
      </c>
      <c r="C70" t="s">
        <v>46</v>
      </c>
      <c r="E70" t="s">
        <v>68</v>
      </c>
      <c r="F70" t="s">
        <v>69</v>
      </c>
      <c r="G70" t="s">
        <v>70</v>
      </c>
      <c r="H70">
        <v>6</v>
      </c>
      <c r="I70">
        <v>100</v>
      </c>
      <c r="J70">
        <v>1.5</v>
      </c>
      <c r="K70" t="b">
        <v>0</v>
      </c>
    </row>
    <row r="71" spans="1:12" x14ac:dyDescent="0.35">
      <c r="A71" t="s">
        <v>216</v>
      </c>
      <c r="B71" t="s">
        <v>217</v>
      </c>
      <c r="C71" t="s">
        <v>20</v>
      </c>
      <c r="D71">
        <v>60</v>
      </c>
      <c r="E71" t="s">
        <v>170</v>
      </c>
      <c r="F71" t="s">
        <v>171</v>
      </c>
      <c r="G71" t="s">
        <v>70</v>
      </c>
      <c r="H71">
        <v>38</v>
      </c>
      <c r="I71" s="2">
        <v>20</v>
      </c>
      <c r="J71">
        <v>2</v>
      </c>
      <c r="K71" t="s">
        <v>155</v>
      </c>
      <c r="L71" s="1">
        <v>0.71</v>
      </c>
    </row>
    <row r="72" spans="1:12" x14ac:dyDescent="0.35">
      <c r="A72" t="s">
        <v>218</v>
      </c>
      <c r="B72" t="s">
        <v>219</v>
      </c>
      <c r="C72" t="s">
        <v>14</v>
      </c>
      <c r="D72">
        <v>33</v>
      </c>
      <c r="E72" t="s">
        <v>149</v>
      </c>
      <c r="F72" t="s">
        <v>150</v>
      </c>
      <c r="G72" t="s">
        <v>23</v>
      </c>
      <c r="H72">
        <v>11</v>
      </c>
      <c r="K72" t="s">
        <v>65</v>
      </c>
      <c r="L72" s="1">
        <v>0.84</v>
      </c>
    </row>
    <row r="73" spans="1:12" x14ac:dyDescent="0.35">
      <c r="A73" t="s">
        <v>220</v>
      </c>
      <c r="B73" t="s">
        <v>221</v>
      </c>
      <c r="C73" t="s">
        <v>89</v>
      </c>
      <c r="D73">
        <v>60</v>
      </c>
      <c r="E73" t="s">
        <v>15</v>
      </c>
      <c r="F73" t="s">
        <v>16</v>
      </c>
      <c r="G73" t="s">
        <v>86</v>
      </c>
      <c r="H73">
        <v>13</v>
      </c>
      <c r="I73" t="s">
        <v>95</v>
      </c>
      <c r="J73">
        <v>1</v>
      </c>
      <c r="K73" t="b">
        <v>0</v>
      </c>
    </row>
    <row r="74" spans="1:12" x14ac:dyDescent="0.35">
      <c r="A74" t="s">
        <v>222</v>
      </c>
      <c r="B74" t="s">
        <v>223</v>
      </c>
      <c r="C74" t="s">
        <v>59</v>
      </c>
      <c r="D74">
        <v>40</v>
      </c>
      <c r="E74" t="s">
        <v>56</v>
      </c>
      <c r="F74" t="s">
        <v>22</v>
      </c>
      <c r="G74" t="s">
        <v>35</v>
      </c>
      <c r="H74">
        <v>9</v>
      </c>
      <c r="I74" s="2">
        <v>100</v>
      </c>
      <c r="J74">
        <v>4.5</v>
      </c>
      <c r="K74" t="s">
        <v>65</v>
      </c>
      <c r="L74" s="1">
        <v>0.69</v>
      </c>
    </row>
    <row r="75" spans="1:12" x14ac:dyDescent="0.35">
      <c r="A75" t="s">
        <v>224</v>
      </c>
      <c r="B75" t="s">
        <v>225</v>
      </c>
      <c r="C75" t="s">
        <v>94</v>
      </c>
      <c r="D75">
        <v>59</v>
      </c>
      <c r="E75" t="s">
        <v>21</v>
      </c>
      <c r="F75" t="s">
        <v>22</v>
      </c>
      <c r="G75" t="s">
        <v>17</v>
      </c>
      <c r="H75">
        <v>4</v>
      </c>
      <c r="J75">
        <v>1.9</v>
      </c>
      <c r="K75" t="b">
        <v>0</v>
      </c>
      <c r="L75">
        <v>88</v>
      </c>
    </row>
    <row r="76" spans="1:12" x14ac:dyDescent="0.35">
      <c r="A76" t="s">
        <v>226</v>
      </c>
      <c r="B76" t="s">
        <v>227</v>
      </c>
      <c r="C76" t="s">
        <v>89</v>
      </c>
      <c r="D76">
        <v>36</v>
      </c>
      <c r="E76" t="s">
        <v>15</v>
      </c>
      <c r="F76" t="s">
        <v>16</v>
      </c>
      <c r="G76" t="s">
        <v>111</v>
      </c>
      <c r="H76">
        <v>14</v>
      </c>
      <c r="I76" s="2">
        <v>100</v>
      </c>
      <c r="J76">
        <v>3.7</v>
      </c>
      <c r="K76">
        <v>0</v>
      </c>
    </row>
    <row r="77" spans="1:12" x14ac:dyDescent="0.35">
      <c r="A77" t="s">
        <v>228</v>
      </c>
      <c r="B77" t="s">
        <v>229</v>
      </c>
      <c r="C77" t="s">
        <v>94</v>
      </c>
      <c r="D77">
        <v>32</v>
      </c>
      <c r="E77" t="s">
        <v>90</v>
      </c>
      <c r="F77" t="s">
        <v>91</v>
      </c>
      <c r="G77" t="s">
        <v>49</v>
      </c>
      <c r="I77">
        <v>30</v>
      </c>
      <c r="J77">
        <v>1.9</v>
      </c>
      <c r="K77" t="b">
        <v>1</v>
      </c>
      <c r="L77" s="1">
        <v>0.96</v>
      </c>
    </row>
    <row r="78" spans="1:12" x14ac:dyDescent="0.35">
      <c r="A78" t="s">
        <v>230</v>
      </c>
      <c r="B78" t="s">
        <v>231</v>
      </c>
      <c r="C78" t="s">
        <v>27</v>
      </c>
      <c r="D78">
        <v>59</v>
      </c>
      <c r="E78" t="s">
        <v>21</v>
      </c>
      <c r="F78" t="s">
        <v>22</v>
      </c>
      <c r="G78" t="s">
        <v>43</v>
      </c>
      <c r="H78">
        <v>9</v>
      </c>
      <c r="I78" t="s">
        <v>50</v>
      </c>
      <c r="J78">
        <v>4</v>
      </c>
      <c r="K78">
        <v>1</v>
      </c>
      <c r="L78">
        <v>96</v>
      </c>
    </row>
    <row r="79" spans="1:12" x14ac:dyDescent="0.35">
      <c r="A79" t="s">
        <v>232</v>
      </c>
      <c r="B79" t="s">
        <v>233</v>
      </c>
      <c r="C79" t="s">
        <v>34</v>
      </c>
      <c r="D79">
        <v>54</v>
      </c>
      <c r="E79" t="s">
        <v>185</v>
      </c>
      <c r="F79" t="s">
        <v>69</v>
      </c>
      <c r="G79" t="s">
        <v>86</v>
      </c>
      <c r="H79">
        <v>32</v>
      </c>
      <c r="I79" t="s">
        <v>53</v>
      </c>
      <c r="J79">
        <v>1.8</v>
      </c>
      <c r="K79" t="s">
        <v>31</v>
      </c>
    </row>
    <row r="80" spans="1:12" x14ac:dyDescent="0.35">
      <c r="A80" t="s">
        <v>234</v>
      </c>
      <c r="B80" t="s">
        <v>235</v>
      </c>
      <c r="C80" t="s">
        <v>14</v>
      </c>
      <c r="D80">
        <v>37</v>
      </c>
      <c r="E80" t="s">
        <v>124</v>
      </c>
      <c r="F80" t="s">
        <v>22</v>
      </c>
      <c r="G80" t="s">
        <v>30</v>
      </c>
      <c r="H80">
        <v>9</v>
      </c>
      <c r="J80">
        <v>0</v>
      </c>
      <c r="K80">
        <v>1</v>
      </c>
      <c r="L80" s="1">
        <v>0.89</v>
      </c>
    </row>
    <row r="81" spans="1:12" x14ac:dyDescent="0.35">
      <c r="A81" t="s">
        <v>236</v>
      </c>
      <c r="B81" t="s">
        <v>237</v>
      </c>
      <c r="C81" t="s">
        <v>59</v>
      </c>
      <c r="D81">
        <v>54</v>
      </c>
      <c r="E81" t="s">
        <v>90</v>
      </c>
      <c r="F81" t="s">
        <v>91</v>
      </c>
      <c r="G81" t="s">
        <v>111</v>
      </c>
      <c r="H81">
        <v>21</v>
      </c>
      <c r="I81" s="2">
        <v>100</v>
      </c>
      <c r="J81">
        <v>4.5999999999999996</v>
      </c>
      <c r="K81" t="b">
        <v>0</v>
      </c>
    </row>
    <row r="82" spans="1:12" x14ac:dyDescent="0.35">
      <c r="A82" t="s">
        <v>238</v>
      </c>
      <c r="B82" t="s">
        <v>239</v>
      </c>
      <c r="C82" t="s">
        <v>74</v>
      </c>
      <c r="D82">
        <v>33</v>
      </c>
      <c r="E82" t="s">
        <v>68</v>
      </c>
      <c r="F82" t="s">
        <v>69</v>
      </c>
      <c r="G82" t="s">
        <v>70</v>
      </c>
      <c r="H82">
        <v>12</v>
      </c>
      <c r="I82">
        <v>100</v>
      </c>
      <c r="J82">
        <v>3.6</v>
      </c>
      <c r="K82">
        <v>0</v>
      </c>
      <c r="L82" s="1">
        <v>0.63</v>
      </c>
    </row>
    <row r="83" spans="1:12" x14ac:dyDescent="0.35">
      <c r="A83" t="s">
        <v>240</v>
      </c>
      <c r="B83" t="s">
        <v>241</v>
      </c>
      <c r="C83" t="s">
        <v>14</v>
      </c>
      <c r="D83">
        <v>25</v>
      </c>
      <c r="E83" t="s">
        <v>135</v>
      </c>
      <c r="F83" t="s">
        <v>136</v>
      </c>
      <c r="G83" t="s">
        <v>35</v>
      </c>
      <c r="H83">
        <v>7</v>
      </c>
      <c r="I83" t="s">
        <v>53</v>
      </c>
      <c r="J83">
        <v>4.4000000000000004</v>
      </c>
      <c r="L83">
        <v>81</v>
      </c>
    </row>
    <row r="84" spans="1:12" x14ac:dyDescent="0.35">
      <c r="A84" t="s">
        <v>242</v>
      </c>
      <c r="B84" t="s">
        <v>243</v>
      </c>
      <c r="C84" t="s">
        <v>94</v>
      </c>
      <c r="E84" t="s">
        <v>170</v>
      </c>
      <c r="F84" t="s">
        <v>171</v>
      </c>
      <c r="G84" t="s">
        <v>86</v>
      </c>
      <c r="H84">
        <v>3</v>
      </c>
      <c r="I84">
        <v>40</v>
      </c>
      <c r="J84">
        <v>4.5999999999999996</v>
      </c>
      <c r="K84" t="s">
        <v>31</v>
      </c>
      <c r="L84" s="1">
        <v>0.74</v>
      </c>
    </row>
    <row r="85" spans="1:12" x14ac:dyDescent="0.35">
      <c r="A85" t="s">
        <v>244</v>
      </c>
      <c r="B85" t="s">
        <v>245</v>
      </c>
      <c r="C85" t="s">
        <v>27</v>
      </c>
      <c r="D85">
        <v>35</v>
      </c>
      <c r="E85" t="s">
        <v>109</v>
      </c>
      <c r="F85" t="s">
        <v>110</v>
      </c>
      <c r="G85" t="s">
        <v>35</v>
      </c>
      <c r="H85">
        <v>5</v>
      </c>
      <c r="I85" s="2">
        <v>75</v>
      </c>
      <c r="J85">
        <v>3.2</v>
      </c>
      <c r="K85" t="b">
        <v>0</v>
      </c>
      <c r="L85" s="1">
        <v>0.72</v>
      </c>
    </row>
    <row r="86" spans="1:12" x14ac:dyDescent="0.35">
      <c r="A86" t="s">
        <v>246</v>
      </c>
      <c r="B86" t="s">
        <v>247</v>
      </c>
      <c r="C86" t="s">
        <v>94</v>
      </c>
      <c r="D86">
        <v>59</v>
      </c>
      <c r="E86" t="s">
        <v>109</v>
      </c>
      <c r="F86" t="s">
        <v>110</v>
      </c>
      <c r="G86" t="s">
        <v>43</v>
      </c>
      <c r="H86">
        <v>30</v>
      </c>
      <c r="I86" s="2">
        <v>40</v>
      </c>
      <c r="J86">
        <v>0</v>
      </c>
      <c r="K86" t="b">
        <v>1</v>
      </c>
    </row>
    <row r="87" spans="1:12" x14ac:dyDescent="0.35">
      <c r="A87" t="s">
        <v>248</v>
      </c>
      <c r="B87" t="s">
        <v>249</v>
      </c>
      <c r="C87" t="s">
        <v>38</v>
      </c>
      <c r="D87">
        <v>21</v>
      </c>
      <c r="E87" t="s">
        <v>170</v>
      </c>
      <c r="F87" t="s">
        <v>171</v>
      </c>
      <c r="G87" t="s">
        <v>86</v>
      </c>
      <c r="H87">
        <v>2</v>
      </c>
      <c r="I87">
        <v>100</v>
      </c>
      <c r="J87">
        <v>2.6</v>
      </c>
      <c r="K87" t="s">
        <v>71</v>
      </c>
      <c r="L87" s="1">
        <v>0.85</v>
      </c>
    </row>
    <row r="88" spans="1:12" x14ac:dyDescent="0.35">
      <c r="A88" t="s">
        <v>250</v>
      </c>
      <c r="B88" t="s">
        <v>251</v>
      </c>
      <c r="C88" t="s">
        <v>89</v>
      </c>
      <c r="D88">
        <v>25</v>
      </c>
      <c r="E88" t="s">
        <v>56</v>
      </c>
      <c r="F88" t="s">
        <v>22</v>
      </c>
      <c r="G88" t="s">
        <v>23</v>
      </c>
      <c r="H88">
        <v>2</v>
      </c>
      <c r="I88" s="2">
        <v>75</v>
      </c>
      <c r="J88">
        <v>3.7</v>
      </c>
      <c r="K88" t="s">
        <v>31</v>
      </c>
    </row>
    <row r="89" spans="1:12" x14ac:dyDescent="0.35">
      <c r="A89" t="s">
        <v>252</v>
      </c>
      <c r="B89" t="s">
        <v>253</v>
      </c>
      <c r="C89" t="s">
        <v>14</v>
      </c>
      <c r="D89">
        <v>38</v>
      </c>
      <c r="E89" t="s">
        <v>174</v>
      </c>
      <c r="F89" t="s">
        <v>69</v>
      </c>
      <c r="G89" t="s">
        <v>35</v>
      </c>
      <c r="H89">
        <v>19</v>
      </c>
      <c r="I89">
        <v>75</v>
      </c>
      <c r="J89">
        <v>2.2999999999999998</v>
      </c>
      <c r="K89" t="b">
        <v>0</v>
      </c>
      <c r="L89" s="1">
        <v>0.61</v>
      </c>
    </row>
    <row r="90" spans="1:12" x14ac:dyDescent="0.35">
      <c r="A90" t="s">
        <v>254</v>
      </c>
      <c r="B90" t="s">
        <v>255</v>
      </c>
      <c r="C90" t="s">
        <v>94</v>
      </c>
      <c r="D90">
        <v>57</v>
      </c>
      <c r="E90" t="s">
        <v>120</v>
      </c>
      <c r="F90" t="s">
        <v>121</v>
      </c>
      <c r="G90" t="s">
        <v>43</v>
      </c>
      <c r="H90">
        <v>16</v>
      </c>
      <c r="I90">
        <v>100</v>
      </c>
      <c r="J90">
        <v>3.1</v>
      </c>
      <c r="K90" t="b">
        <v>0</v>
      </c>
    </row>
    <row r="91" spans="1:12" x14ac:dyDescent="0.35">
      <c r="A91" t="s">
        <v>256</v>
      </c>
      <c r="B91" t="s">
        <v>257</v>
      </c>
      <c r="C91" t="s">
        <v>46</v>
      </c>
      <c r="D91">
        <v>32</v>
      </c>
      <c r="E91" t="s">
        <v>90</v>
      </c>
      <c r="F91" t="s">
        <v>91</v>
      </c>
      <c r="G91" t="s">
        <v>23</v>
      </c>
      <c r="H91">
        <v>10</v>
      </c>
      <c r="I91" s="2">
        <v>20</v>
      </c>
      <c r="J91">
        <v>2.4</v>
      </c>
      <c r="K91">
        <v>0</v>
      </c>
      <c r="L91" s="1">
        <v>0.86</v>
      </c>
    </row>
    <row r="92" spans="1:12" x14ac:dyDescent="0.35">
      <c r="A92" t="s">
        <v>258</v>
      </c>
      <c r="B92" t="s">
        <v>259</v>
      </c>
      <c r="C92" t="s">
        <v>27</v>
      </c>
      <c r="D92">
        <v>21</v>
      </c>
      <c r="E92" t="s">
        <v>15</v>
      </c>
      <c r="F92" t="s">
        <v>16</v>
      </c>
      <c r="G92" t="s">
        <v>86</v>
      </c>
      <c r="H92">
        <v>2</v>
      </c>
      <c r="I92" t="s">
        <v>24</v>
      </c>
      <c r="J92">
        <v>1.6</v>
      </c>
      <c r="K92" t="s">
        <v>65</v>
      </c>
      <c r="L92" s="1">
        <v>0.97</v>
      </c>
    </row>
    <row r="93" spans="1:12" x14ac:dyDescent="0.35">
      <c r="A93" t="s">
        <v>260</v>
      </c>
      <c r="B93" t="s">
        <v>261</v>
      </c>
      <c r="C93" t="s">
        <v>74</v>
      </c>
      <c r="D93">
        <v>57</v>
      </c>
      <c r="E93" t="s">
        <v>124</v>
      </c>
      <c r="F93" t="s">
        <v>22</v>
      </c>
      <c r="G93" t="s">
        <v>75</v>
      </c>
      <c r="H93">
        <v>18</v>
      </c>
      <c r="I93">
        <v>50</v>
      </c>
      <c r="J93">
        <v>2.4</v>
      </c>
      <c r="K93">
        <v>1</v>
      </c>
      <c r="L93" s="1">
        <v>0.63</v>
      </c>
    </row>
    <row r="94" spans="1:12" x14ac:dyDescent="0.35">
      <c r="A94" t="s">
        <v>262</v>
      </c>
      <c r="B94" t="s">
        <v>263</v>
      </c>
      <c r="C94" t="s">
        <v>27</v>
      </c>
      <c r="D94">
        <v>53</v>
      </c>
      <c r="E94" t="s">
        <v>170</v>
      </c>
      <c r="F94" t="s">
        <v>171</v>
      </c>
      <c r="G94" t="s">
        <v>70</v>
      </c>
      <c r="H94">
        <v>21</v>
      </c>
      <c r="I94" t="s">
        <v>24</v>
      </c>
      <c r="K94" t="s">
        <v>71</v>
      </c>
      <c r="L94" s="1">
        <v>0.97</v>
      </c>
    </row>
    <row r="95" spans="1:12" x14ac:dyDescent="0.35">
      <c r="A95" t="s">
        <v>264</v>
      </c>
      <c r="B95" t="s">
        <v>265</v>
      </c>
      <c r="C95" t="s">
        <v>89</v>
      </c>
      <c r="D95">
        <v>35</v>
      </c>
      <c r="E95" t="s">
        <v>120</v>
      </c>
      <c r="F95" t="s">
        <v>121</v>
      </c>
      <c r="G95" t="s">
        <v>17</v>
      </c>
      <c r="H95">
        <v>3</v>
      </c>
      <c r="I95" t="s">
        <v>106</v>
      </c>
      <c r="J95">
        <v>3.8</v>
      </c>
      <c r="K95" t="s">
        <v>65</v>
      </c>
      <c r="L95" s="1">
        <v>0.81</v>
      </c>
    </row>
    <row r="96" spans="1:12" x14ac:dyDescent="0.35">
      <c r="A96" t="s">
        <v>266</v>
      </c>
      <c r="B96" t="s">
        <v>267</v>
      </c>
      <c r="C96" t="s">
        <v>14</v>
      </c>
      <c r="D96">
        <v>54</v>
      </c>
      <c r="E96" t="s">
        <v>170</v>
      </c>
      <c r="F96" t="s">
        <v>171</v>
      </c>
      <c r="G96" t="s">
        <v>111</v>
      </c>
      <c r="H96">
        <v>17</v>
      </c>
      <c r="I96">
        <v>20</v>
      </c>
      <c r="J96">
        <v>1.7</v>
      </c>
      <c r="K96">
        <v>0</v>
      </c>
      <c r="L96" s="1">
        <v>0.69</v>
      </c>
    </row>
    <row r="97" spans="1:12" x14ac:dyDescent="0.35">
      <c r="A97" t="s">
        <v>268</v>
      </c>
      <c r="B97" t="s">
        <v>269</v>
      </c>
      <c r="C97" t="s">
        <v>20</v>
      </c>
      <c r="D97">
        <v>36</v>
      </c>
      <c r="E97" t="s">
        <v>15</v>
      </c>
      <c r="F97" t="s">
        <v>16</v>
      </c>
      <c r="G97" t="s">
        <v>70</v>
      </c>
      <c r="H97">
        <v>0</v>
      </c>
      <c r="I97">
        <v>20</v>
      </c>
      <c r="J97">
        <v>1.3</v>
      </c>
      <c r="K97" t="s">
        <v>71</v>
      </c>
      <c r="L97" s="1">
        <v>0.64</v>
      </c>
    </row>
    <row r="98" spans="1:12" x14ac:dyDescent="0.35">
      <c r="A98" t="s">
        <v>270</v>
      </c>
      <c r="B98" t="s">
        <v>271</v>
      </c>
      <c r="C98" t="s">
        <v>14</v>
      </c>
      <c r="D98">
        <v>49</v>
      </c>
      <c r="E98" t="s">
        <v>185</v>
      </c>
      <c r="F98" t="s">
        <v>69</v>
      </c>
      <c r="G98" t="s">
        <v>75</v>
      </c>
      <c r="H98">
        <v>25</v>
      </c>
      <c r="I98">
        <v>50</v>
      </c>
      <c r="J98">
        <v>5</v>
      </c>
      <c r="K98" t="s">
        <v>31</v>
      </c>
      <c r="L98" s="1">
        <v>0.77</v>
      </c>
    </row>
    <row r="99" spans="1:12" x14ac:dyDescent="0.35">
      <c r="A99" t="s">
        <v>272</v>
      </c>
      <c r="B99" t="s">
        <v>273</v>
      </c>
      <c r="C99" t="s">
        <v>94</v>
      </c>
      <c r="D99">
        <v>37</v>
      </c>
      <c r="E99" t="s">
        <v>56</v>
      </c>
      <c r="F99" t="s">
        <v>22</v>
      </c>
      <c r="G99" t="s">
        <v>17</v>
      </c>
      <c r="H99">
        <v>17</v>
      </c>
      <c r="I99">
        <v>20</v>
      </c>
      <c r="J99">
        <v>3.3</v>
      </c>
      <c r="K99">
        <v>0</v>
      </c>
      <c r="L99">
        <v>96</v>
      </c>
    </row>
    <row r="100" spans="1:12" x14ac:dyDescent="0.35">
      <c r="A100" t="s">
        <v>274</v>
      </c>
      <c r="B100" t="s">
        <v>275</v>
      </c>
      <c r="C100" t="s">
        <v>59</v>
      </c>
      <c r="E100" t="s">
        <v>56</v>
      </c>
      <c r="F100" t="s">
        <v>22</v>
      </c>
      <c r="G100" t="s">
        <v>70</v>
      </c>
      <c r="H100">
        <v>5</v>
      </c>
      <c r="I100" s="2">
        <v>20</v>
      </c>
      <c r="J100">
        <v>1.1000000000000001</v>
      </c>
      <c r="K100" t="s">
        <v>155</v>
      </c>
      <c r="L100" s="1">
        <v>0.74</v>
      </c>
    </row>
    <row r="101" spans="1:12" x14ac:dyDescent="0.35">
      <c r="A101" t="s">
        <v>276</v>
      </c>
      <c r="B101" t="s">
        <v>277</v>
      </c>
      <c r="C101" t="s">
        <v>46</v>
      </c>
      <c r="D101">
        <v>32</v>
      </c>
      <c r="E101" t="s">
        <v>135</v>
      </c>
      <c r="F101" t="s">
        <v>136</v>
      </c>
      <c r="G101" t="s">
        <v>70</v>
      </c>
      <c r="H101">
        <v>10</v>
      </c>
      <c r="I101">
        <v>50</v>
      </c>
      <c r="J101">
        <v>1.2</v>
      </c>
      <c r="K101" t="b">
        <v>0</v>
      </c>
      <c r="L101" s="1">
        <v>0.89</v>
      </c>
    </row>
    <row r="102" spans="1:12" x14ac:dyDescent="0.35">
      <c r="A102" t="s">
        <v>278</v>
      </c>
      <c r="B102" t="s">
        <v>279</v>
      </c>
      <c r="C102" t="s">
        <v>46</v>
      </c>
      <c r="D102">
        <v>35</v>
      </c>
      <c r="E102" t="s">
        <v>90</v>
      </c>
      <c r="F102" t="s">
        <v>91</v>
      </c>
      <c r="G102" t="s">
        <v>23</v>
      </c>
      <c r="H102">
        <v>0</v>
      </c>
      <c r="J102">
        <v>2</v>
      </c>
      <c r="K102">
        <v>1</v>
      </c>
      <c r="L102" s="1">
        <v>0.64</v>
      </c>
    </row>
    <row r="103" spans="1:12" x14ac:dyDescent="0.35">
      <c r="A103" t="s">
        <v>280</v>
      </c>
      <c r="B103" t="s">
        <v>281</v>
      </c>
      <c r="C103" t="s">
        <v>14</v>
      </c>
      <c r="D103">
        <v>51</v>
      </c>
      <c r="E103" t="s">
        <v>120</v>
      </c>
      <c r="F103" t="s">
        <v>121</v>
      </c>
      <c r="G103" t="s">
        <v>30</v>
      </c>
      <c r="H103">
        <v>2</v>
      </c>
      <c r="I103" s="2">
        <v>30</v>
      </c>
      <c r="J103">
        <v>4.5</v>
      </c>
      <c r="K103">
        <v>0</v>
      </c>
      <c r="L103">
        <v>64</v>
      </c>
    </row>
    <row r="104" spans="1:12" x14ac:dyDescent="0.35">
      <c r="A104" t="s">
        <v>282</v>
      </c>
      <c r="B104" t="s">
        <v>283</v>
      </c>
      <c r="C104" t="s">
        <v>14</v>
      </c>
      <c r="D104">
        <v>50</v>
      </c>
      <c r="E104" t="s">
        <v>120</v>
      </c>
      <c r="F104" t="s">
        <v>121</v>
      </c>
      <c r="G104" t="s">
        <v>86</v>
      </c>
      <c r="H104">
        <v>30</v>
      </c>
      <c r="I104">
        <v>100</v>
      </c>
      <c r="J104">
        <v>3</v>
      </c>
      <c r="K104">
        <v>1</v>
      </c>
      <c r="L104" s="1">
        <v>0.73</v>
      </c>
    </row>
    <row r="105" spans="1:12" x14ac:dyDescent="0.35">
      <c r="A105" t="s">
        <v>284</v>
      </c>
      <c r="B105" t="s">
        <v>285</v>
      </c>
      <c r="C105" t="s">
        <v>14</v>
      </c>
      <c r="D105">
        <v>21</v>
      </c>
      <c r="E105" t="s">
        <v>60</v>
      </c>
      <c r="F105" t="s">
        <v>61</v>
      </c>
      <c r="G105" t="s">
        <v>17</v>
      </c>
      <c r="H105">
        <v>2</v>
      </c>
      <c r="I105" s="2">
        <v>50</v>
      </c>
      <c r="J105">
        <v>4.9000000000000004</v>
      </c>
      <c r="K105" t="s">
        <v>65</v>
      </c>
      <c r="L105" s="1">
        <v>0.68</v>
      </c>
    </row>
    <row r="106" spans="1:12" x14ac:dyDescent="0.35">
      <c r="A106" t="s">
        <v>286</v>
      </c>
      <c r="B106" t="s">
        <v>287</v>
      </c>
      <c r="C106" t="s">
        <v>59</v>
      </c>
      <c r="D106">
        <v>25</v>
      </c>
      <c r="E106" t="s">
        <v>56</v>
      </c>
      <c r="F106" t="s">
        <v>22</v>
      </c>
      <c r="G106" t="s">
        <v>30</v>
      </c>
      <c r="H106">
        <v>3</v>
      </c>
      <c r="I106" s="2">
        <v>30</v>
      </c>
      <c r="K106" t="s">
        <v>155</v>
      </c>
      <c r="L106" s="1">
        <v>0.88</v>
      </c>
    </row>
    <row r="107" spans="1:12" x14ac:dyDescent="0.35">
      <c r="A107" t="s">
        <v>288</v>
      </c>
      <c r="B107" t="s">
        <v>289</v>
      </c>
      <c r="C107" t="s">
        <v>20</v>
      </c>
      <c r="D107">
        <v>57</v>
      </c>
      <c r="E107" t="s">
        <v>131</v>
      </c>
      <c r="F107" t="s">
        <v>132</v>
      </c>
      <c r="G107" t="s">
        <v>86</v>
      </c>
      <c r="H107">
        <v>21</v>
      </c>
      <c r="I107" s="2">
        <v>40</v>
      </c>
      <c r="J107">
        <v>2.5</v>
      </c>
      <c r="K107">
        <v>0</v>
      </c>
      <c r="L107" s="1">
        <v>0.77</v>
      </c>
    </row>
    <row r="108" spans="1:12" x14ac:dyDescent="0.35">
      <c r="A108" t="s">
        <v>290</v>
      </c>
      <c r="B108" t="s">
        <v>291</v>
      </c>
      <c r="C108" t="s">
        <v>46</v>
      </c>
      <c r="D108">
        <v>58</v>
      </c>
      <c r="E108" t="s">
        <v>120</v>
      </c>
      <c r="F108" t="s">
        <v>121</v>
      </c>
      <c r="G108" t="s">
        <v>17</v>
      </c>
      <c r="H108">
        <v>3</v>
      </c>
      <c r="J108">
        <v>0</v>
      </c>
      <c r="K108">
        <v>1</v>
      </c>
    </row>
    <row r="109" spans="1:12" x14ac:dyDescent="0.35">
      <c r="A109" t="s">
        <v>292</v>
      </c>
      <c r="B109" t="s">
        <v>293</v>
      </c>
      <c r="C109" t="s">
        <v>34</v>
      </c>
      <c r="D109">
        <v>45</v>
      </c>
      <c r="E109" t="s">
        <v>47</v>
      </c>
      <c r="F109" t="s">
        <v>48</v>
      </c>
      <c r="G109" t="s">
        <v>23</v>
      </c>
      <c r="H109">
        <v>19</v>
      </c>
      <c r="I109">
        <v>40</v>
      </c>
      <c r="K109">
        <v>1</v>
      </c>
      <c r="L109" s="1">
        <v>0.72</v>
      </c>
    </row>
    <row r="110" spans="1:12" x14ac:dyDescent="0.35">
      <c r="A110" t="s">
        <v>294</v>
      </c>
      <c r="B110" t="s">
        <v>295</v>
      </c>
      <c r="C110" t="s">
        <v>34</v>
      </c>
      <c r="D110">
        <v>23</v>
      </c>
      <c r="E110" t="s">
        <v>56</v>
      </c>
      <c r="F110" t="s">
        <v>22</v>
      </c>
      <c r="G110" t="s">
        <v>35</v>
      </c>
      <c r="H110">
        <v>0</v>
      </c>
      <c r="I110">
        <v>20</v>
      </c>
      <c r="J110">
        <v>4.7</v>
      </c>
      <c r="K110" t="s">
        <v>71</v>
      </c>
      <c r="L110" s="1">
        <v>0.6</v>
      </c>
    </row>
    <row r="111" spans="1:12" x14ac:dyDescent="0.35">
      <c r="A111" t="s">
        <v>296</v>
      </c>
      <c r="B111" t="s">
        <v>297</v>
      </c>
      <c r="C111" t="s">
        <v>20</v>
      </c>
      <c r="D111">
        <v>46</v>
      </c>
      <c r="E111" t="s">
        <v>56</v>
      </c>
      <c r="F111" t="s">
        <v>22</v>
      </c>
      <c r="G111" t="s">
        <v>43</v>
      </c>
      <c r="H111">
        <v>9</v>
      </c>
      <c r="I111" s="2">
        <v>30</v>
      </c>
      <c r="J111">
        <v>3.5</v>
      </c>
      <c r="L111">
        <v>72</v>
      </c>
    </row>
    <row r="112" spans="1:12" x14ac:dyDescent="0.35">
      <c r="A112" t="s">
        <v>298</v>
      </c>
      <c r="B112" t="s">
        <v>299</v>
      </c>
      <c r="C112" t="s">
        <v>59</v>
      </c>
      <c r="D112">
        <v>27</v>
      </c>
      <c r="E112" t="s">
        <v>68</v>
      </c>
      <c r="F112" t="s">
        <v>69</v>
      </c>
      <c r="G112" t="s">
        <v>70</v>
      </c>
      <c r="H112">
        <v>5</v>
      </c>
      <c r="I112">
        <v>30</v>
      </c>
      <c r="K112" t="s">
        <v>31</v>
      </c>
      <c r="L112" s="1">
        <v>0.92</v>
      </c>
    </row>
    <row r="113" spans="1:12" x14ac:dyDescent="0.35">
      <c r="A113" t="s">
        <v>300</v>
      </c>
      <c r="B113" t="s">
        <v>301</v>
      </c>
      <c r="C113" t="s">
        <v>20</v>
      </c>
      <c r="D113">
        <v>32</v>
      </c>
      <c r="E113" t="s">
        <v>56</v>
      </c>
      <c r="F113" t="s">
        <v>22</v>
      </c>
      <c r="G113" t="s">
        <v>111</v>
      </c>
      <c r="H113">
        <v>6</v>
      </c>
      <c r="I113" t="s">
        <v>95</v>
      </c>
      <c r="J113">
        <v>3.4</v>
      </c>
      <c r="K113">
        <v>1</v>
      </c>
    </row>
    <row r="114" spans="1:12" x14ac:dyDescent="0.35">
      <c r="A114" t="s">
        <v>302</v>
      </c>
      <c r="B114" t="s">
        <v>303</v>
      </c>
      <c r="C114" t="s">
        <v>14</v>
      </c>
      <c r="D114">
        <v>48</v>
      </c>
      <c r="E114" t="s">
        <v>68</v>
      </c>
      <c r="F114" t="s">
        <v>69</v>
      </c>
      <c r="G114" t="s">
        <v>111</v>
      </c>
      <c r="H114">
        <v>6</v>
      </c>
      <c r="I114" t="s">
        <v>50</v>
      </c>
      <c r="J114">
        <v>2.5</v>
      </c>
      <c r="L114" s="1">
        <v>0.92</v>
      </c>
    </row>
    <row r="115" spans="1:12" x14ac:dyDescent="0.35">
      <c r="A115" t="s">
        <v>304</v>
      </c>
      <c r="B115" t="s">
        <v>305</v>
      </c>
      <c r="C115" t="s">
        <v>27</v>
      </c>
      <c r="D115">
        <v>30</v>
      </c>
      <c r="E115" t="s">
        <v>60</v>
      </c>
      <c r="F115" t="s">
        <v>61</v>
      </c>
      <c r="G115" t="s">
        <v>23</v>
      </c>
      <c r="H115">
        <v>3</v>
      </c>
      <c r="I115" s="2">
        <v>30</v>
      </c>
      <c r="J115">
        <v>1.1000000000000001</v>
      </c>
      <c r="K115" t="b">
        <v>1</v>
      </c>
    </row>
    <row r="116" spans="1:12" x14ac:dyDescent="0.35">
      <c r="A116" t="s">
        <v>306</v>
      </c>
      <c r="B116" t="s">
        <v>307</v>
      </c>
      <c r="C116" t="s">
        <v>94</v>
      </c>
      <c r="D116">
        <v>59</v>
      </c>
      <c r="E116" t="s">
        <v>60</v>
      </c>
      <c r="F116" t="s">
        <v>61</v>
      </c>
      <c r="G116" t="s">
        <v>43</v>
      </c>
      <c r="H116">
        <v>13</v>
      </c>
      <c r="I116" t="s">
        <v>308</v>
      </c>
      <c r="J116">
        <v>4.8</v>
      </c>
    </row>
    <row r="117" spans="1:12" x14ac:dyDescent="0.35">
      <c r="A117" t="s">
        <v>309</v>
      </c>
      <c r="B117" t="s">
        <v>310</v>
      </c>
      <c r="C117" t="s">
        <v>38</v>
      </c>
      <c r="D117">
        <v>32</v>
      </c>
      <c r="E117" t="s">
        <v>174</v>
      </c>
      <c r="F117" t="s">
        <v>69</v>
      </c>
      <c r="G117" t="s">
        <v>43</v>
      </c>
      <c r="H117">
        <v>5</v>
      </c>
      <c r="I117" s="2">
        <v>30</v>
      </c>
      <c r="K117">
        <v>0</v>
      </c>
      <c r="L117" s="1">
        <v>0.86</v>
      </c>
    </row>
    <row r="118" spans="1:12" x14ac:dyDescent="0.35">
      <c r="A118" t="s">
        <v>311</v>
      </c>
      <c r="B118" t="s">
        <v>312</v>
      </c>
      <c r="C118" t="s">
        <v>74</v>
      </c>
      <c r="D118">
        <v>57</v>
      </c>
      <c r="E118" t="s">
        <v>135</v>
      </c>
      <c r="F118" t="s">
        <v>136</v>
      </c>
      <c r="G118" t="s">
        <v>70</v>
      </c>
      <c r="H118">
        <v>4</v>
      </c>
      <c r="I118" t="s">
        <v>53</v>
      </c>
      <c r="J118">
        <v>3.4</v>
      </c>
      <c r="K118">
        <v>1</v>
      </c>
      <c r="L118" s="1">
        <v>0.68</v>
      </c>
    </row>
    <row r="119" spans="1:12" x14ac:dyDescent="0.35">
      <c r="A119" t="s">
        <v>313</v>
      </c>
      <c r="B119" t="s">
        <v>314</v>
      </c>
      <c r="C119" t="s">
        <v>59</v>
      </c>
      <c r="D119">
        <v>27</v>
      </c>
      <c r="E119" t="s">
        <v>21</v>
      </c>
      <c r="F119" t="s">
        <v>22</v>
      </c>
      <c r="G119" t="s">
        <v>111</v>
      </c>
      <c r="H119">
        <v>7</v>
      </c>
      <c r="I119" t="s">
        <v>308</v>
      </c>
      <c r="J119">
        <v>3.2</v>
      </c>
      <c r="K119">
        <v>1</v>
      </c>
      <c r="L119" s="1">
        <v>0.62</v>
      </c>
    </row>
    <row r="120" spans="1:12" x14ac:dyDescent="0.35">
      <c r="A120" t="s">
        <v>315</v>
      </c>
      <c r="B120" t="s">
        <v>316</v>
      </c>
      <c r="C120" t="s">
        <v>34</v>
      </c>
      <c r="D120">
        <v>33</v>
      </c>
      <c r="E120" t="s">
        <v>47</v>
      </c>
      <c r="F120" t="s">
        <v>48</v>
      </c>
      <c r="G120" t="s">
        <v>111</v>
      </c>
      <c r="H120">
        <v>13</v>
      </c>
      <c r="I120">
        <v>20</v>
      </c>
      <c r="J120">
        <v>3.2</v>
      </c>
      <c r="K120" t="b">
        <v>0</v>
      </c>
    </row>
    <row r="121" spans="1:12" x14ac:dyDescent="0.35">
      <c r="A121" t="s">
        <v>317</v>
      </c>
      <c r="B121" t="s">
        <v>318</v>
      </c>
      <c r="C121" t="s">
        <v>27</v>
      </c>
      <c r="D121">
        <v>29</v>
      </c>
      <c r="E121" t="s">
        <v>109</v>
      </c>
      <c r="F121" t="s">
        <v>110</v>
      </c>
      <c r="G121" t="s">
        <v>49</v>
      </c>
      <c r="H121">
        <v>4</v>
      </c>
      <c r="I121">
        <v>30</v>
      </c>
      <c r="J121">
        <v>0</v>
      </c>
      <c r="K121" t="s">
        <v>71</v>
      </c>
      <c r="L121" s="1">
        <v>0.82</v>
      </c>
    </row>
    <row r="122" spans="1:12" x14ac:dyDescent="0.35">
      <c r="A122" t="s">
        <v>319</v>
      </c>
      <c r="B122" t="s">
        <v>320</v>
      </c>
      <c r="C122" t="s">
        <v>38</v>
      </c>
      <c r="D122">
        <v>36</v>
      </c>
      <c r="E122" t="s">
        <v>47</v>
      </c>
      <c r="F122" t="s">
        <v>48</v>
      </c>
      <c r="G122" t="s">
        <v>70</v>
      </c>
      <c r="H122">
        <v>13</v>
      </c>
      <c r="I122">
        <v>75</v>
      </c>
      <c r="K122">
        <v>1</v>
      </c>
    </row>
    <row r="123" spans="1:12" x14ac:dyDescent="0.35">
      <c r="A123" t="s">
        <v>321</v>
      </c>
      <c r="B123" t="s">
        <v>322</v>
      </c>
      <c r="C123" t="s">
        <v>74</v>
      </c>
      <c r="D123">
        <v>47</v>
      </c>
      <c r="E123" t="s">
        <v>15</v>
      </c>
      <c r="F123" t="s">
        <v>16</v>
      </c>
      <c r="G123" t="s">
        <v>86</v>
      </c>
      <c r="H123">
        <v>5</v>
      </c>
      <c r="I123" s="2">
        <v>40</v>
      </c>
      <c r="J123">
        <v>3.7</v>
      </c>
      <c r="K123" t="b">
        <v>0</v>
      </c>
      <c r="L123">
        <v>93</v>
      </c>
    </row>
    <row r="124" spans="1:12" x14ac:dyDescent="0.35">
      <c r="A124" t="s">
        <v>323</v>
      </c>
      <c r="B124" t="s">
        <v>324</v>
      </c>
      <c r="C124" t="s">
        <v>59</v>
      </c>
      <c r="D124">
        <v>48</v>
      </c>
      <c r="E124" t="s">
        <v>124</v>
      </c>
      <c r="F124" t="s">
        <v>22</v>
      </c>
      <c r="G124" t="s">
        <v>111</v>
      </c>
      <c r="H124">
        <v>15</v>
      </c>
      <c r="I124" t="s">
        <v>95</v>
      </c>
      <c r="J124">
        <v>1</v>
      </c>
      <c r="K124" t="s">
        <v>71</v>
      </c>
      <c r="L124" s="1">
        <v>0.64</v>
      </c>
    </row>
    <row r="125" spans="1:12" x14ac:dyDescent="0.35">
      <c r="A125" t="s">
        <v>325</v>
      </c>
      <c r="B125" t="s">
        <v>326</v>
      </c>
      <c r="C125" t="s">
        <v>14</v>
      </c>
      <c r="D125">
        <v>27</v>
      </c>
      <c r="E125" t="s">
        <v>170</v>
      </c>
      <c r="F125" t="s">
        <v>171</v>
      </c>
      <c r="G125" t="s">
        <v>70</v>
      </c>
      <c r="H125">
        <v>8</v>
      </c>
      <c r="I125" s="2">
        <v>50</v>
      </c>
      <c r="J125">
        <v>0</v>
      </c>
    </row>
    <row r="126" spans="1:12" x14ac:dyDescent="0.35">
      <c r="A126" t="s">
        <v>327</v>
      </c>
      <c r="B126" t="s">
        <v>328</v>
      </c>
      <c r="C126" t="s">
        <v>27</v>
      </c>
      <c r="D126">
        <v>34</v>
      </c>
      <c r="E126" t="s">
        <v>21</v>
      </c>
      <c r="F126" t="s">
        <v>22</v>
      </c>
      <c r="G126" t="s">
        <v>35</v>
      </c>
      <c r="H126">
        <v>10</v>
      </c>
      <c r="J126">
        <v>1.7</v>
      </c>
      <c r="K126" t="s">
        <v>31</v>
      </c>
      <c r="L126" s="1">
        <v>0.96</v>
      </c>
    </row>
    <row r="127" spans="1:12" x14ac:dyDescent="0.35">
      <c r="A127" t="s">
        <v>329</v>
      </c>
      <c r="B127" t="s">
        <v>330</v>
      </c>
      <c r="C127" t="s">
        <v>94</v>
      </c>
      <c r="D127">
        <v>49</v>
      </c>
      <c r="E127" t="s">
        <v>109</v>
      </c>
      <c r="F127" t="s">
        <v>110</v>
      </c>
      <c r="G127" t="s">
        <v>49</v>
      </c>
      <c r="H127">
        <v>19</v>
      </c>
      <c r="J127">
        <v>5</v>
      </c>
      <c r="K127" t="s">
        <v>71</v>
      </c>
      <c r="L127" s="1">
        <v>0.83</v>
      </c>
    </row>
    <row r="128" spans="1:12" x14ac:dyDescent="0.35">
      <c r="A128" t="s">
        <v>331</v>
      </c>
      <c r="B128" t="s">
        <v>332</v>
      </c>
      <c r="C128" t="s">
        <v>27</v>
      </c>
      <c r="D128">
        <v>30</v>
      </c>
      <c r="E128" t="s">
        <v>104</v>
      </c>
      <c r="F128" t="s">
        <v>105</v>
      </c>
      <c r="G128" t="s">
        <v>23</v>
      </c>
      <c r="H128">
        <v>10</v>
      </c>
      <c r="I128" s="2">
        <v>100</v>
      </c>
      <c r="J128">
        <v>1.7</v>
      </c>
      <c r="K128" t="s">
        <v>65</v>
      </c>
      <c r="L128" s="1">
        <v>0.64</v>
      </c>
    </row>
    <row r="129" spans="1:12" x14ac:dyDescent="0.35">
      <c r="A129" t="s">
        <v>333</v>
      </c>
      <c r="B129" t="s">
        <v>334</v>
      </c>
      <c r="C129" t="s">
        <v>27</v>
      </c>
      <c r="D129">
        <v>31</v>
      </c>
      <c r="E129" t="s">
        <v>135</v>
      </c>
      <c r="F129" t="s">
        <v>136</v>
      </c>
      <c r="G129" t="s">
        <v>30</v>
      </c>
      <c r="H129">
        <v>8</v>
      </c>
      <c r="I129">
        <v>40</v>
      </c>
      <c r="J129">
        <v>4.4000000000000004</v>
      </c>
      <c r="K129">
        <v>0</v>
      </c>
      <c r="L129" s="1">
        <v>0.7</v>
      </c>
    </row>
    <row r="130" spans="1:12" x14ac:dyDescent="0.35">
      <c r="A130" t="s">
        <v>335</v>
      </c>
      <c r="B130" t="s">
        <v>336</v>
      </c>
      <c r="C130" t="s">
        <v>46</v>
      </c>
      <c r="D130">
        <v>58</v>
      </c>
      <c r="E130" t="s">
        <v>170</v>
      </c>
      <c r="F130" t="s">
        <v>171</v>
      </c>
      <c r="G130" t="s">
        <v>111</v>
      </c>
      <c r="H130">
        <v>9</v>
      </c>
      <c r="I130">
        <v>20</v>
      </c>
      <c r="J130">
        <v>0</v>
      </c>
      <c r="K130" t="s">
        <v>31</v>
      </c>
      <c r="L130" s="1">
        <v>0.65</v>
      </c>
    </row>
    <row r="131" spans="1:12" x14ac:dyDescent="0.35">
      <c r="A131" t="s">
        <v>337</v>
      </c>
      <c r="B131" t="s">
        <v>338</v>
      </c>
      <c r="C131" t="s">
        <v>94</v>
      </c>
      <c r="D131">
        <v>47</v>
      </c>
      <c r="E131" t="s">
        <v>131</v>
      </c>
      <c r="F131" t="s">
        <v>132</v>
      </c>
      <c r="G131" t="s">
        <v>111</v>
      </c>
      <c r="H131">
        <v>13</v>
      </c>
      <c r="I131">
        <v>40</v>
      </c>
      <c r="J131">
        <v>3.4</v>
      </c>
      <c r="L131" s="1">
        <v>0.67</v>
      </c>
    </row>
    <row r="132" spans="1:12" x14ac:dyDescent="0.35">
      <c r="A132" t="s">
        <v>339</v>
      </c>
      <c r="B132" t="s">
        <v>340</v>
      </c>
      <c r="C132" t="s">
        <v>14</v>
      </c>
      <c r="D132">
        <v>45</v>
      </c>
      <c r="E132" t="s">
        <v>64</v>
      </c>
      <c r="F132" t="s">
        <v>22</v>
      </c>
      <c r="G132" t="s">
        <v>75</v>
      </c>
      <c r="H132">
        <v>14</v>
      </c>
      <c r="I132" t="s">
        <v>24</v>
      </c>
      <c r="J132">
        <v>1.1000000000000001</v>
      </c>
      <c r="K132" t="s">
        <v>155</v>
      </c>
      <c r="L132">
        <v>93</v>
      </c>
    </row>
    <row r="133" spans="1:12" x14ac:dyDescent="0.35">
      <c r="A133" t="s">
        <v>341</v>
      </c>
      <c r="B133" t="s">
        <v>342</v>
      </c>
      <c r="C133" t="s">
        <v>20</v>
      </c>
      <c r="D133">
        <v>57</v>
      </c>
      <c r="E133" t="s">
        <v>131</v>
      </c>
      <c r="F133" t="s">
        <v>132</v>
      </c>
      <c r="G133" t="s">
        <v>111</v>
      </c>
      <c r="H133">
        <v>0</v>
      </c>
      <c r="I133">
        <v>50</v>
      </c>
      <c r="J133">
        <v>1.6</v>
      </c>
      <c r="K133" t="s">
        <v>31</v>
      </c>
      <c r="L133" s="1">
        <v>0.6</v>
      </c>
    </row>
    <row r="134" spans="1:12" x14ac:dyDescent="0.35">
      <c r="A134" t="s">
        <v>343</v>
      </c>
      <c r="B134" t="s">
        <v>344</v>
      </c>
      <c r="C134" t="s">
        <v>59</v>
      </c>
      <c r="D134">
        <v>50</v>
      </c>
      <c r="E134" t="s">
        <v>90</v>
      </c>
      <c r="F134" t="s">
        <v>91</v>
      </c>
      <c r="G134" t="s">
        <v>35</v>
      </c>
      <c r="H134">
        <v>22</v>
      </c>
      <c r="I134">
        <v>100</v>
      </c>
      <c r="J134">
        <v>4.0999999999999996</v>
      </c>
      <c r="K134" t="s">
        <v>31</v>
      </c>
      <c r="L134" s="1">
        <v>0.62</v>
      </c>
    </row>
    <row r="135" spans="1:12" x14ac:dyDescent="0.35">
      <c r="A135" t="s">
        <v>345</v>
      </c>
      <c r="B135" t="s">
        <v>346</v>
      </c>
      <c r="C135" t="s">
        <v>20</v>
      </c>
      <c r="E135" t="s">
        <v>104</v>
      </c>
      <c r="F135" t="s">
        <v>105</v>
      </c>
      <c r="G135" t="s">
        <v>111</v>
      </c>
      <c r="H135">
        <v>4</v>
      </c>
      <c r="J135">
        <v>2.5</v>
      </c>
      <c r="L135" s="1">
        <v>0.7</v>
      </c>
    </row>
    <row r="136" spans="1:12" x14ac:dyDescent="0.35">
      <c r="A136" t="s">
        <v>347</v>
      </c>
      <c r="B136" t="s">
        <v>348</v>
      </c>
      <c r="C136" t="s">
        <v>74</v>
      </c>
      <c r="D136">
        <v>45</v>
      </c>
      <c r="E136" t="s">
        <v>47</v>
      </c>
      <c r="F136" t="s">
        <v>48</v>
      </c>
      <c r="G136" t="s">
        <v>17</v>
      </c>
      <c r="H136">
        <v>22</v>
      </c>
      <c r="I136" s="2">
        <v>100</v>
      </c>
      <c r="J136">
        <v>4</v>
      </c>
      <c r="K136" t="s">
        <v>71</v>
      </c>
      <c r="L136" s="1">
        <v>0.75</v>
      </c>
    </row>
    <row r="137" spans="1:12" x14ac:dyDescent="0.35">
      <c r="A137" t="s">
        <v>349</v>
      </c>
      <c r="B137" t="s">
        <v>350</v>
      </c>
      <c r="C137" t="s">
        <v>59</v>
      </c>
      <c r="D137">
        <v>60</v>
      </c>
      <c r="E137" t="s">
        <v>149</v>
      </c>
      <c r="F137" t="s">
        <v>150</v>
      </c>
      <c r="G137" t="s">
        <v>75</v>
      </c>
      <c r="H137">
        <v>39</v>
      </c>
      <c r="I137">
        <v>75</v>
      </c>
      <c r="J137">
        <v>1.4</v>
      </c>
      <c r="K137" t="s">
        <v>155</v>
      </c>
      <c r="L137" s="1">
        <v>0.7</v>
      </c>
    </row>
    <row r="138" spans="1:12" x14ac:dyDescent="0.35">
      <c r="A138" t="s">
        <v>351</v>
      </c>
      <c r="B138" t="s">
        <v>352</v>
      </c>
      <c r="C138" t="s">
        <v>38</v>
      </c>
      <c r="D138">
        <v>43</v>
      </c>
      <c r="E138" t="s">
        <v>64</v>
      </c>
      <c r="F138" t="s">
        <v>22</v>
      </c>
      <c r="G138" t="s">
        <v>75</v>
      </c>
      <c r="H138">
        <v>5</v>
      </c>
      <c r="I138" t="s">
        <v>95</v>
      </c>
      <c r="K138">
        <v>1</v>
      </c>
      <c r="L138" s="1">
        <v>0.84</v>
      </c>
    </row>
    <row r="139" spans="1:12" x14ac:dyDescent="0.35">
      <c r="A139" t="s">
        <v>353</v>
      </c>
      <c r="B139" t="s">
        <v>354</v>
      </c>
      <c r="C139" t="s">
        <v>34</v>
      </c>
      <c r="D139">
        <v>39</v>
      </c>
      <c r="E139" t="s">
        <v>131</v>
      </c>
      <c r="F139" t="s">
        <v>132</v>
      </c>
      <c r="G139" t="s">
        <v>75</v>
      </c>
      <c r="H139">
        <v>5</v>
      </c>
      <c r="I139" t="s">
        <v>53</v>
      </c>
      <c r="J139">
        <v>1.2</v>
      </c>
      <c r="K139">
        <v>0</v>
      </c>
      <c r="L139">
        <v>83</v>
      </c>
    </row>
    <row r="140" spans="1:12" x14ac:dyDescent="0.35">
      <c r="A140" t="s">
        <v>355</v>
      </c>
      <c r="B140" t="s">
        <v>356</v>
      </c>
      <c r="C140" t="s">
        <v>27</v>
      </c>
      <c r="D140">
        <v>26</v>
      </c>
      <c r="E140" t="s">
        <v>174</v>
      </c>
      <c r="F140" t="s">
        <v>69</v>
      </c>
      <c r="G140" t="s">
        <v>70</v>
      </c>
      <c r="H140">
        <v>5</v>
      </c>
      <c r="I140">
        <v>50</v>
      </c>
      <c r="J140">
        <v>0</v>
      </c>
      <c r="K140" t="s">
        <v>31</v>
      </c>
    </row>
    <row r="141" spans="1:12" x14ac:dyDescent="0.35">
      <c r="A141" t="s">
        <v>357</v>
      </c>
      <c r="B141" t="s">
        <v>358</v>
      </c>
      <c r="C141" t="s">
        <v>46</v>
      </c>
      <c r="D141">
        <v>31</v>
      </c>
      <c r="E141" t="s">
        <v>28</v>
      </c>
      <c r="F141" t="s">
        <v>29</v>
      </c>
      <c r="G141" t="s">
        <v>75</v>
      </c>
      <c r="H141">
        <v>11</v>
      </c>
      <c r="I141">
        <v>50</v>
      </c>
      <c r="J141">
        <v>3.1</v>
      </c>
      <c r="K141" t="b">
        <v>0</v>
      </c>
      <c r="L141" s="1">
        <v>0.88</v>
      </c>
    </row>
    <row r="142" spans="1:12" x14ac:dyDescent="0.35">
      <c r="A142" t="s">
        <v>359</v>
      </c>
      <c r="B142" t="s">
        <v>360</v>
      </c>
      <c r="C142" t="s">
        <v>46</v>
      </c>
      <c r="D142">
        <v>52</v>
      </c>
      <c r="E142" t="s">
        <v>131</v>
      </c>
      <c r="F142" t="s">
        <v>132</v>
      </c>
      <c r="G142" t="s">
        <v>70</v>
      </c>
      <c r="H142">
        <v>15</v>
      </c>
      <c r="I142">
        <v>50</v>
      </c>
      <c r="J142">
        <v>0</v>
      </c>
      <c r="K142" t="s">
        <v>65</v>
      </c>
      <c r="L142" s="1">
        <v>0.81</v>
      </c>
    </row>
    <row r="143" spans="1:12" x14ac:dyDescent="0.35">
      <c r="A143" t="s">
        <v>361</v>
      </c>
      <c r="B143" t="s">
        <v>362</v>
      </c>
      <c r="C143" t="s">
        <v>38</v>
      </c>
      <c r="D143">
        <v>34</v>
      </c>
      <c r="E143" t="s">
        <v>90</v>
      </c>
      <c r="F143" t="s">
        <v>91</v>
      </c>
      <c r="G143" t="s">
        <v>49</v>
      </c>
      <c r="H143">
        <v>5</v>
      </c>
      <c r="I143" t="s">
        <v>308</v>
      </c>
      <c r="J143">
        <v>2.2000000000000002</v>
      </c>
      <c r="K143" t="s">
        <v>71</v>
      </c>
      <c r="L143" s="1">
        <v>0.8</v>
      </c>
    </row>
    <row r="144" spans="1:12" x14ac:dyDescent="0.35">
      <c r="A144" t="s">
        <v>363</v>
      </c>
      <c r="B144" t="s">
        <v>364</v>
      </c>
      <c r="C144" t="s">
        <v>27</v>
      </c>
      <c r="D144">
        <v>45</v>
      </c>
      <c r="E144" t="s">
        <v>64</v>
      </c>
      <c r="F144" t="s">
        <v>22</v>
      </c>
      <c r="G144" t="s">
        <v>35</v>
      </c>
      <c r="H144">
        <v>7</v>
      </c>
      <c r="I144">
        <v>75</v>
      </c>
      <c r="J144">
        <v>3</v>
      </c>
      <c r="K144">
        <v>1</v>
      </c>
      <c r="L144" s="1">
        <v>0.67</v>
      </c>
    </row>
    <row r="145" spans="1:12" x14ac:dyDescent="0.35">
      <c r="A145" t="s">
        <v>365</v>
      </c>
      <c r="B145" t="s">
        <v>366</v>
      </c>
      <c r="C145" t="s">
        <v>46</v>
      </c>
      <c r="D145">
        <v>46</v>
      </c>
      <c r="E145" t="s">
        <v>64</v>
      </c>
      <c r="F145" t="s">
        <v>22</v>
      </c>
      <c r="G145" t="s">
        <v>75</v>
      </c>
      <c r="H145">
        <v>9</v>
      </c>
      <c r="I145" s="2">
        <v>20</v>
      </c>
      <c r="J145">
        <v>0</v>
      </c>
      <c r="K145" t="s">
        <v>31</v>
      </c>
      <c r="L145" s="1">
        <v>0.82</v>
      </c>
    </row>
    <row r="146" spans="1:12" x14ac:dyDescent="0.35">
      <c r="A146" t="s">
        <v>367</v>
      </c>
      <c r="B146" t="s">
        <v>368</v>
      </c>
      <c r="C146" t="s">
        <v>46</v>
      </c>
      <c r="D146">
        <v>56</v>
      </c>
      <c r="E146" t="s">
        <v>131</v>
      </c>
      <c r="F146" t="s">
        <v>132</v>
      </c>
      <c r="G146" t="s">
        <v>70</v>
      </c>
      <c r="H146">
        <v>21</v>
      </c>
      <c r="I146" t="s">
        <v>24</v>
      </c>
      <c r="J146">
        <v>0</v>
      </c>
      <c r="K146" t="b">
        <v>1</v>
      </c>
      <c r="L146">
        <v>78</v>
      </c>
    </row>
    <row r="147" spans="1:12" x14ac:dyDescent="0.35">
      <c r="A147" t="s">
        <v>369</v>
      </c>
      <c r="B147" t="s">
        <v>370</v>
      </c>
      <c r="C147" t="s">
        <v>20</v>
      </c>
      <c r="D147">
        <v>59</v>
      </c>
      <c r="E147" t="s">
        <v>28</v>
      </c>
      <c r="F147" t="s">
        <v>29</v>
      </c>
      <c r="G147" t="s">
        <v>43</v>
      </c>
      <c r="H147">
        <v>7</v>
      </c>
      <c r="I147" s="2">
        <v>40</v>
      </c>
      <c r="J147">
        <v>1.4</v>
      </c>
      <c r="K147" t="b">
        <v>0</v>
      </c>
      <c r="L147" s="1">
        <v>0.81</v>
      </c>
    </row>
    <row r="148" spans="1:12" x14ac:dyDescent="0.35">
      <c r="A148" t="s">
        <v>371</v>
      </c>
      <c r="B148" t="s">
        <v>372</v>
      </c>
      <c r="C148" t="s">
        <v>20</v>
      </c>
      <c r="D148">
        <v>54</v>
      </c>
      <c r="E148" t="s">
        <v>135</v>
      </c>
      <c r="F148" t="s">
        <v>136</v>
      </c>
      <c r="G148" t="s">
        <v>17</v>
      </c>
      <c r="H148">
        <v>4</v>
      </c>
      <c r="J148">
        <v>1.4</v>
      </c>
      <c r="K148" t="b">
        <v>1</v>
      </c>
      <c r="L148" s="1">
        <v>0.74</v>
      </c>
    </row>
    <row r="149" spans="1:12" x14ac:dyDescent="0.35">
      <c r="A149" t="s">
        <v>373</v>
      </c>
      <c r="B149" t="s">
        <v>374</v>
      </c>
      <c r="C149" t="s">
        <v>89</v>
      </c>
      <c r="D149">
        <v>36</v>
      </c>
      <c r="E149" t="s">
        <v>28</v>
      </c>
      <c r="F149" t="s">
        <v>29</v>
      </c>
      <c r="G149" t="s">
        <v>70</v>
      </c>
      <c r="H149">
        <v>7</v>
      </c>
      <c r="I149">
        <v>30</v>
      </c>
      <c r="J149">
        <v>0</v>
      </c>
      <c r="K149" t="s">
        <v>31</v>
      </c>
      <c r="L149" s="1">
        <v>0.88</v>
      </c>
    </row>
    <row r="150" spans="1:12" x14ac:dyDescent="0.35">
      <c r="A150" t="s">
        <v>375</v>
      </c>
      <c r="B150" t="s">
        <v>376</v>
      </c>
      <c r="C150" t="s">
        <v>27</v>
      </c>
      <c r="D150">
        <v>25</v>
      </c>
      <c r="E150" t="s">
        <v>174</v>
      </c>
      <c r="F150" t="s">
        <v>69</v>
      </c>
      <c r="G150" t="s">
        <v>49</v>
      </c>
      <c r="H150">
        <v>0</v>
      </c>
      <c r="I150">
        <v>40</v>
      </c>
      <c r="J150">
        <v>0</v>
      </c>
      <c r="K150">
        <v>0</v>
      </c>
      <c r="L150" s="1">
        <v>0.9</v>
      </c>
    </row>
    <row r="151" spans="1:12" x14ac:dyDescent="0.35">
      <c r="A151" t="s">
        <v>377</v>
      </c>
      <c r="B151" t="s">
        <v>378</v>
      </c>
      <c r="C151" t="s">
        <v>20</v>
      </c>
      <c r="D151">
        <v>37</v>
      </c>
      <c r="E151" t="s">
        <v>120</v>
      </c>
      <c r="F151" t="s">
        <v>121</v>
      </c>
      <c r="G151" t="s">
        <v>49</v>
      </c>
      <c r="H151">
        <v>15</v>
      </c>
      <c r="I151" s="2">
        <v>40</v>
      </c>
      <c r="J151">
        <v>2.9</v>
      </c>
      <c r="K151" t="b">
        <v>0</v>
      </c>
    </row>
    <row r="152" spans="1:12" x14ac:dyDescent="0.35">
      <c r="A152" t="s">
        <v>379</v>
      </c>
      <c r="B152" t="s">
        <v>380</v>
      </c>
      <c r="C152" t="s">
        <v>89</v>
      </c>
      <c r="E152" t="s">
        <v>60</v>
      </c>
      <c r="F152" t="s">
        <v>61</v>
      </c>
      <c r="G152" t="s">
        <v>49</v>
      </c>
      <c r="H152">
        <v>10</v>
      </c>
      <c r="I152" t="s">
        <v>53</v>
      </c>
      <c r="J152">
        <v>0</v>
      </c>
    </row>
    <row r="153" spans="1:12" x14ac:dyDescent="0.35">
      <c r="A153" t="s">
        <v>381</v>
      </c>
      <c r="B153" t="s">
        <v>382</v>
      </c>
      <c r="C153" t="s">
        <v>46</v>
      </c>
      <c r="D153">
        <v>29</v>
      </c>
      <c r="E153" t="s">
        <v>185</v>
      </c>
      <c r="F153" t="s">
        <v>69</v>
      </c>
      <c r="G153" t="s">
        <v>49</v>
      </c>
      <c r="H153">
        <v>11</v>
      </c>
      <c r="I153">
        <v>20</v>
      </c>
      <c r="J153">
        <v>2.7</v>
      </c>
      <c r="K153" t="s">
        <v>155</v>
      </c>
      <c r="L153" s="1">
        <v>0.93</v>
      </c>
    </row>
    <row r="154" spans="1:12" x14ac:dyDescent="0.35">
      <c r="A154" t="s">
        <v>383</v>
      </c>
      <c r="B154" t="s">
        <v>384</v>
      </c>
      <c r="C154" t="s">
        <v>38</v>
      </c>
      <c r="D154">
        <v>55</v>
      </c>
      <c r="E154" t="s">
        <v>68</v>
      </c>
      <c r="F154" t="s">
        <v>69</v>
      </c>
      <c r="G154" t="s">
        <v>23</v>
      </c>
      <c r="H154">
        <v>12</v>
      </c>
      <c r="I154">
        <v>100</v>
      </c>
      <c r="J154">
        <v>1.8</v>
      </c>
      <c r="K154">
        <v>1</v>
      </c>
    </row>
    <row r="155" spans="1:12" x14ac:dyDescent="0.35">
      <c r="A155" t="s">
        <v>385</v>
      </c>
      <c r="B155" t="s">
        <v>386</v>
      </c>
      <c r="C155" t="s">
        <v>74</v>
      </c>
      <c r="D155">
        <v>38</v>
      </c>
      <c r="E155" t="s">
        <v>82</v>
      </c>
      <c r="F155" t="s">
        <v>83</v>
      </c>
      <c r="G155" t="s">
        <v>86</v>
      </c>
      <c r="H155">
        <v>20</v>
      </c>
      <c r="I155" s="2">
        <v>75</v>
      </c>
      <c r="J155">
        <v>1.1000000000000001</v>
      </c>
      <c r="K155" t="s">
        <v>155</v>
      </c>
      <c r="L155" s="1">
        <v>0.71</v>
      </c>
    </row>
    <row r="156" spans="1:12" x14ac:dyDescent="0.35">
      <c r="A156" t="s">
        <v>387</v>
      </c>
      <c r="B156" t="s">
        <v>388</v>
      </c>
      <c r="C156" t="s">
        <v>94</v>
      </c>
      <c r="D156">
        <v>47</v>
      </c>
      <c r="E156" t="s">
        <v>109</v>
      </c>
      <c r="F156" t="s">
        <v>110</v>
      </c>
      <c r="G156" t="s">
        <v>86</v>
      </c>
      <c r="H156">
        <v>29</v>
      </c>
      <c r="I156" s="2">
        <v>40</v>
      </c>
      <c r="J156">
        <v>4.3</v>
      </c>
      <c r="K156">
        <v>1</v>
      </c>
      <c r="L156" s="1">
        <v>0.95</v>
      </c>
    </row>
    <row r="157" spans="1:12" x14ac:dyDescent="0.35">
      <c r="A157" t="s">
        <v>389</v>
      </c>
      <c r="B157" t="s">
        <v>390</v>
      </c>
      <c r="C157" t="s">
        <v>89</v>
      </c>
      <c r="D157">
        <v>60</v>
      </c>
      <c r="E157" t="s">
        <v>104</v>
      </c>
      <c r="F157" t="s">
        <v>105</v>
      </c>
      <c r="G157" t="s">
        <v>35</v>
      </c>
      <c r="H157">
        <v>15</v>
      </c>
      <c r="I157">
        <v>100</v>
      </c>
      <c r="J157">
        <v>1.5</v>
      </c>
      <c r="K157">
        <v>0</v>
      </c>
      <c r="L157">
        <v>80</v>
      </c>
    </row>
    <row r="158" spans="1:12" x14ac:dyDescent="0.35">
      <c r="A158" t="s">
        <v>391</v>
      </c>
      <c r="B158" t="s">
        <v>392</v>
      </c>
      <c r="C158" t="s">
        <v>20</v>
      </c>
      <c r="D158">
        <v>43</v>
      </c>
      <c r="E158" t="s">
        <v>15</v>
      </c>
      <c r="F158" t="s">
        <v>16</v>
      </c>
      <c r="G158" t="s">
        <v>49</v>
      </c>
      <c r="H158">
        <v>9</v>
      </c>
      <c r="I158" s="2">
        <v>20</v>
      </c>
      <c r="J158">
        <v>2.2000000000000002</v>
      </c>
      <c r="K158" t="s">
        <v>31</v>
      </c>
    </row>
    <row r="159" spans="1:12" x14ac:dyDescent="0.35">
      <c r="A159" t="s">
        <v>393</v>
      </c>
      <c r="B159" t="s">
        <v>394</v>
      </c>
      <c r="C159" t="s">
        <v>94</v>
      </c>
      <c r="D159">
        <v>56</v>
      </c>
      <c r="E159" t="s">
        <v>149</v>
      </c>
      <c r="F159" t="s">
        <v>150</v>
      </c>
      <c r="G159" t="s">
        <v>49</v>
      </c>
      <c r="I159">
        <v>100</v>
      </c>
      <c r="J159">
        <v>3.2</v>
      </c>
      <c r="K159">
        <v>0</v>
      </c>
      <c r="L159" s="1">
        <v>0.62</v>
      </c>
    </row>
    <row r="160" spans="1:12" x14ac:dyDescent="0.35">
      <c r="A160" t="s">
        <v>395</v>
      </c>
      <c r="B160" t="s">
        <v>396</v>
      </c>
      <c r="C160" t="s">
        <v>27</v>
      </c>
      <c r="D160">
        <v>42</v>
      </c>
      <c r="E160" t="s">
        <v>120</v>
      </c>
      <c r="F160" t="s">
        <v>121</v>
      </c>
      <c r="G160" t="s">
        <v>86</v>
      </c>
      <c r="H160">
        <v>2</v>
      </c>
      <c r="I160" s="2">
        <v>50</v>
      </c>
      <c r="J160">
        <v>1.9</v>
      </c>
      <c r="K160" t="b">
        <v>0</v>
      </c>
      <c r="L160" s="1">
        <v>0.95</v>
      </c>
    </row>
    <row r="161" spans="1:12" x14ac:dyDescent="0.35">
      <c r="A161" t="s">
        <v>397</v>
      </c>
      <c r="B161" t="s">
        <v>398</v>
      </c>
      <c r="C161" t="s">
        <v>74</v>
      </c>
      <c r="D161">
        <v>20</v>
      </c>
      <c r="E161" t="s">
        <v>185</v>
      </c>
      <c r="F161" t="s">
        <v>69</v>
      </c>
      <c r="G161" t="s">
        <v>30</v>
      </c>
      <c r="H161">
        <v>0</v>
      </c>
      <c r="I161">
        <v>40</v>
      </c>
      <c r="J161">
        <v>2.5</v>
      </c>
      <c r="K161">
        <v>0</v>
      </c>
      <c r="L161" s="1">
        <v>0.79</v>
      </c>
    </row>
    <row r="162" spans="1:12" x14ac:dyDescent="0.35">
      <c r="A162" t="s">
        <v>399</v>
      </c>
      <c r="B162" t="s">
        <v>400</v>
      </c>
      <c r="C162" t="s">
        <v>38</v>
      </c>
      <c r="D162">
        <v>47</v>
      </c>
      <c r="E162" t="s">
        <v>47</v>
      </c>
      <c r="F162" t="s">
        <v>48</v>
      </c>
      <c r="G162" t="s">
        <v>70</v>
      </c>
      <c r="H162">
        <v>12</v>
      </c>
      <c r="I162">
        <v>40</v>
      </c>
      <c r="J162">
        <v>4.5</v>
      </c>
      <c r="K162" t="s">
        <v>155</v>
      </c>
      <c r="L162" s="1">
        <v>0.62</v>
      </c>
    </row>
    <row r="163" spans="1:12" x14ac:dyDescent="0.35">
      <c r="A163" t="s">
        <v>401</v>
      </c>
      <c r="B163" t="s">
        <v>402</v>
      </c>
      <c r="C163" t="s">
        <v>46</v>
      </c>
      <c r="E163" t="s">
        <v>68</v>
      </c>
      <c r="F163" t="s">
        <v>69</v>
      </c>
      <c r="G163" t="s">
        <v>49</v>
      </c>
      <c r="H163">
        <v>12</v>
      </c>
      <c r="I163" s="2">
        <v>30</v>
      </c>
      <c r="J163">
        <v>4.0999999999999996</v>
      </c>
      <c r="K163" t="s">
        <v>155</v>
      </c>
      <c r="L163" s="1">
        <v>0.68</v>
      </c>
    </row>
    <row r="164" spans="1:12" x14ac:dyDescent="0.35">
      <c r="A164" t="s">
        <v>403</v>
      </c>
      <c r="B164" t="s">
        <v>404</v>
      </c>
      <c r="C164" t="s">
        <v>89</v>
      </c>
      <c r="D164">
        <v>56</v>
      </c>
      <c r="E164" t="s">
        <v>47</v>
      </c>
      <c r="F164" t="s">
        <v>48</v>
      </c>
      <c r="G164" t="s">
        <v>86</v>
      </c>
      <c r="H164">
        <v>15</v>
      </c>
      <c r="I164" t="s">
        <v>50</v>
      </c>
      <c r="J164">
        <v>0</v>
      </c>
      <c r="K164" t="s">
        <v>155</v>
      </c>
    </row>
    <row r="165" spans="1:12" x14ac:dyDescent="0.35">
      <c r="A165" t="s">
        <v>405</v>
      </c>
      <c r="B165" t="s">
        <v>406</v>
      </c>
      <c r="C165" t="s">
        <v>94</v>
      </c>
      <c r="D165">
        <v>59</v>
      </c>
      <c r="E165" t="s">
        <v>64</v>
      </c>
      <c r="F165" t="s">
        <v>22</v>
      </c>
      <c r="G165" t="s">
        <v>86</v>
      </c>
      <c r="H165">
        <v>29</v>
      </c>
      <c r="I165" t="s">
        <v>50</v>
      </c>
      <c r="K165">
        <v>0</v>
      </c>
      <c r="L165" s="1">
        <v>0.8</v>
      </c>
    </row>
    <row r="166" spans="1:12" x14ac:dyDescent="0.35">
      <c r="A166" t="s">
        <v>407</v>
      </c>
      <c r="B166" t="s">
        <v>408</v>
      </c>
      <c r="C166" t="s">
        <v>59</v>
      </c>
      <c r="D166">
        <v>56</v>
      </c>
      <c r="E166" t="s">
        <v>82</v>
      </c>
      <c r="F166" t="s">
        <v>83</v>
      </c>
      <c r="G166" t="s">
        <v>75</v>
      </c>
      <c r="H166">
        <v>15</v>
      </c>
      <c r="I166">
        <v>40</v>
      </c>
      <c r="J166">
        <v>3.7</v>
      </c>
      <c r="L166" s="1">
        <v>0.92</v>
      </c>
    </row>
    <row r="167" spans="1:12" x14ac:dyDescent="0.35">
      <c r="A167" t="s">
        <v>409</v>
      </c>
      <c r="B167" t="s">
        <v>410</v>
      </c>
      <c r="C167" t="s">
        <v>38</v>
      </c>
      <c r="D167">
        <v>31</v>
      </c>
      <c r="E167" t="s">
        <v>149</v>
      </c>
      <c r="F167" t="s">
        <v>150</v>
      </c>
      <c r="G167" t="s">
        <v>35</v>
      </c>
      <c r="I167" t="s">
        <v>50</v>
      </c>
      <c r="J167">
        <v>1.3</v>
      </c>
      <c r="K167">
        <v>1</v>
      </c>
      <c r="L167" s="1">
        <v>0.65</v>
      </c>
    </row>
    <row r="168" spans="1:12" x14ac:dyDescent="0.35">
      <c r="A168" t="s">
        <v>411</v>
      </c>
      <c r="B168" t="s">
        <v>412</v>
      </c>
      <c r="C168" t="s">
        <v>46</v>
      </c>
      <c r="D168">
        <v>60</v>
      </c>
      <c r="E168" t="s">
        <v>109</v>
      </c>
      <c r="F168" t="s">
        <v>110</v>
      </c>
      <c r="G168" t="s">
        <v>23</v>
      </c>
      <c r="H168">
        <v>33</v>
      </c>
      <c r="I168">
        <v>40</v>
      </c>
      <c r="J168">
        <v>3.6</v>
      </c>
      <c r="K168">
        <v>1</v>
      </c>
      <c r="L168" s="1">
        <v>0.87</v>
      </c>
    </row>
    <row r="169" spans="1:12" x14ac:dyDescent="0.35">
      <c r="A169" t="s">
        <v>413</v>
      </c>
      <c r="B169" t="s">
        <v>414</v>
      </c>
      <c r="C169" t="s">
        <v>20</v>
      </c>
      <c r="D169">
        <v>31</v>
      </c>
      <c r="E169" t="s">
        <v>124</v>
      </c>
      <c r="F169" t="s">
        <v>22</v>
      </c>
      <c r="G169" t="s">
        <v>35</v>
      </c>
      <c r="H169">
        <v>10</v>
      </c>
      <c r="I169">
        <v>75</v>
      </c>
      <c r="J169">
        <v>0</v>
      </c>
      <c r="K169" t="s">
        <v>155</v>
      </c>
      <c r="L169" s="1">
        <v>0.7</v>
      </c>
    </row>
    <row r="170" spans="1:12" x14ac:dyDescent="0.35">
      <c r="A170" t="s">
        <v>415</v>
      </c>
      <c r="B170" t="s">
        <v>416</v>
      </c>
      <c r="C170" t="s">
        <v>59</v>
      </c>
      <c r="D170">
        <v>60</v>
      </c>
      <c r="E170" t="s">
        <v>68</v>
      </c>
      <c r="F170" t="s">
        <v>69</v>
      </c>
      <c r="G170" t="s">
        <v>75</v>
      </c>
      <c r="H170">
        <v>20</v>
      </c>
      <c r="I170">
        <v>40</v>
      </c>
      <c r="J170">
        <v>1.4</v>
      </c>
      <c r="K170" t="s">
        <v>155</v>
      </c>
      <c r="L170">
        <v>87</v>
      </c>
    </row>
    <row r="171" spans="1:12" x14ac:dyDescent="0.35">
      <c r="A171" t="s">
        <v>417</v>
      </c>
      <c r="B171" t="s">
        <v>418</v>
      </c>
      <c r="C171" t="s">
        <v>59</v>
      </c>
      <c r="D171">
        <v>46</v>
      </c>
      <c r="E171" t="s">
        <v>131</v>
      </c>
      <c r="F171" t="s">
        <v>132</v>
      </c>
      <c r="G171" t="s">
        <v>86</v>
      </c>
      <c r="H171">
        <v>23</v>
      </c>
      <c r="I171">
        <v>20</v>
      </c>
      <c r="J171">
        <v>2.9</v>
      </c>
      <c r="K171" t="s">
        <v>31</v>
      </c>
      <c r="L171" s="1">
        <v>0.72</v>
      </c>
    </row>
    <row r="172" spans="1:12" x14ac:dyDescent="0.35">
      <c r="A172" t="s">
        <v>419</v>
      </c>
      <c r="B172" t="s">
        <v>420</v>
      </c>
      <c r="C172" t="s">
        <v>34</v>
      </c>
      <c r="E172" t="s">
        <v>41</v>
      </c>
      <c r="F172" t="s">
        <v>42</v>
      </c>
      <c r="G172" t="s">
        <v>17</v>
      </c>
      <c r="I172">
        <v>40</v>
      </c>
      <c r="J172">
        <v>2.8</v>
      </c>
      <c r="K172" t="s">
        <v>31</v>
      </c>
      <c r="L172" s="1">
        <v>0.8</v>
      </c>
    </row>
    <row r="173" spans="1:12" x14ac:dyDescent="0.35">
      <c r="A173" t="s">
        <v>421</v>
      </c>
      <c r="B173" t="s">
        <v>422</v>
      </c>
      <c r="C173" t="s">
        <v>94</v>
      </c>
      <c r="D173">
        <v>34</v>
      </c>
      <c r="E173" t="s">
        <v>82</v>
      </c>
      <c r="F173" t="s">
        <v>83</v>
      </c>
      <c r="G173" t="s">
        <v>70</v>
      </c>
      <c r="H173">
        <v>0</v>
      </c>
      <c r="I173">
        <v>20</v>
      </c>
      <c r="J173">
        <v>1.7</v>
      </c>
      <c r="K173">
        <v>0</v>
      </c>
      <c r="L173" s="1">
        <v>0.66</v>
      </c>
    </row>
    <row r="174" spans="1:12" x14ac:dyDescent="0.35">
      <c r="A174" t="s">
        <v>423</v>
      </c>
      <c r="B174" t="s">
        <v>424</v>
      </c>
      <c r="C174" t="s">
        <v>14</v>
      </c>
      <c r="D174">
        <v>42</v>
      </c>
      <c r="E174" t="s">
        <v>41</v>
      </c>
      <c r="F174" t="s">
        <v>42</v>
      </c>
      <c r="G174" t="s">
        <v>30</v>
      </c>
      <c r="H174">
        <v>7</v>
      </c>
      <c r="I174" t="s">
        <v>53</v>
      </c>
      <c r="J174">
        <v>0</v>
      </c>
      <c r="K174">
        <v>1</v>
      </c>
    </row>
    <row r="175" spans="1:12" x14ac:dyDescent="0.35">
      <c r="A175" t="s">
        <v>425</v>
      </c>
      <c r="B175" t="s">
        <v>426</v>
      </c>
      <c r="C175" t="s">
        <v>89</v>
      </c>
      <c r="D175">
        <v>31</v>
      </c>
      <c r="E175" t="s">
        <v>64</v>
      </c>
      <c r="F175" t="s">
        <v>22</v>
      </c>
      <c r="G175" t="s">
        <v>49</v>
      </c>
      <c r="H175">
        <v>4</v>
      </c>
      <c r="I175" t="s">
        <v>50</v>
      </c>
      <c r="J175">
        <v>1.1000000000000001</v>
      </c>
      <c r="K175" t="b">
        <v>1</v>
      </c>
      <c r="L175" s="1">
        <v>0.64</v>
      </c>
    </row>
    <row r="176" spans="1:12" x14ac:dyDescent="0.35">
      <c r="A176" t="s">
        <v>427</v>
      </c>
      <c r="B176" t="s">
        <v>428</v>
      </c>
      <c r="C176" t="s">
        <v>27</v>
      </c>
      <c r="D176">
        <v>29</v>
      </c>
      <c r="E176" t="s">
        <v>104</v>
      </c>
      <c r="F176" t="s">
        <v>105</v>
      </c>
      <c r="G176" t="s">
        <v>70</v>
      </c>
      <c r="H176">
        <v>9</v>
      </c>
      <c r="I176">
        <v>20</v>
      </c>
      <c r="L176" s="1">
        <v>0.68</v>
      </c>
    </row>
    <row r="177" spans="1:12" x14ac:dyDescent="0.35">
      <c r="A177" t="s">
        <v>429</v>
      </c>
      <c r="B177" t="s">
        <v>430</v>
      </c>
      <c r="C177" t="s">
        <v>38</v>
      </c>
      <c r="D177">
        <v>57</v>
      </c>
      <c r="E177" t="s">
        <v>21</v>
      </c>
      <c r="F177" t="s">
        <v>22</v>
      </c>
      <c r="G177" t="s">
        <v>30</v>
      </c>
      <c r="H177">
        <v>17</v>
      </c>
      <c r="I177">
        <v>20</v>
      </c>
      <c r="J177">
        <v>3.6</v>
      </c>
      <c r="K177">
        <v>0</v>
      </c>
      <c r="L177" s="1">
        <v>0.63</v>
      </c>
    </row>
    <row r="178" spans="1:12" x14ac:dyDescent="0.35">
      <c r="A178" t="s">
        <v>431</v>
      </c>
      <c r="B178" t="s">
        <v>432</v>
      </c>
      <c r="C178" t="s">
        <v>59</v>
      </c>
      <c r="D178">
        <v>47</v>
      </c>
      <c r="E178" t="s">
        <v>90</v>
      </c>
      <c r="F178" t="s">
        <v>91</v>
      </c>
      <c r="G178" t="s">
        <v>86</v>
      </c>
      <c r="H178">
        <v>8</v>
      </c>
      <c r="I178">
        <v>20</v>
      </c>
      <c r="J178">
        <v>4.5</v>
      </c>
      <c r="K178">
        <v>1</v>
      </c>
      <c r="L178" s="1">
        <v>0.72</v>
      </c>
    </row>
    <row r="179" spans="1:12" x14ac:dyDescent="0.35">
      <c r="A179" t="s">
        <v>433</v>
      </c>
      <c r="B179" t="s">
        <v>434</v>
      </c>
      <c r="C179" t="s">
        <v>59</v>
      </c>
      <c r="D179">
        <v>47</v>
      </c>
      <c r="E179" t="s">
        <v>149</v>
      </c>
      <c r="F179" t="s">
        <v>150</v>
      </c>
      <c r="G179" t="s">
        <v>43</v>
      </c>
      <c r="H179">
        <v>14</v>
      </c>
      <c r="I179" s="2">
        <v>30</v>
      </c>
      <c r="J179">
        <v>0</v>
      </c>
      <c r="K179" t="b">
        <v>1</v>
      </c>
      <c r="L179" s="1">
        <v>0.86</v>
      </c>
    </row>
    <row r="180" spans="1:12" x14ac:dyDescent="0.35">
      <c r="A180" t="s">
        <v>435</v>
      </c>
      <c r="B180" t="s">
        <v>436</v>
      </c>
      <c r="C180" t="s">
        <v>20</v>
      </c>
      <c r="D180">
        <v>45</v>
      </c>
      <c r="E180" t="s">
        <v>131</v>
      </c>
      <c r="F180" t="s">
        <v>132</v>
      </c>
      <c r="G180" t="s">
        <v>30</v>
      </c>
      <c r="H180">
        <v>21</v>
      </c>
      <c r="I180" t="s">
        <v>106</v>
      </c>
      <c r="J180">
        <v>1.5</v>
      </c>
      <c r="K180">
        <v>1</v>
      </c>
      <c r="L180" s="1">
        <v>0.73</v>
      </c>
    </row>
    <row r="181" spans="1:12" x14ac:dyDescent="0.35">
      <c r="A181" t="s">
        <v>437</v>
      </c>
      <c r="B181" t="s">
        <v>438</v>
      </c>
      <c r="C181" t="s">
        <v>46</v>
      </c>
      <c r="D181">
        <v>24</v>
      </c>
      <c r="E181" t="s">
        <v>60</v>
      </c>
      <c r="F181" t="s">
        <v>61</v>
      </c>
      <c r="G181" t="s">
        <v>111</v>
      </c>
      <c r="H181">
        <v>1</v>
      </c>
      <c r="I181" s="2">
        <v>30</v>
      </c>
      <c r="J181">
        <v>3.7</v>
      </c>
      <c r="K181" t="s">
        <v>155</v>
      </c>
      <c r="L181" s="1">
        <v>0.95</v>
      </c>
    </row>
    <row r="182" spans="1:12" x14ac:dyDescent="0.35">
      <c r="A182" t="s">
        <v>439</v>
      </c>
      <c r="B182" t="s">
        <v>440</v>
      </c>
      <c r="C182" t="s">
        <v>20</v>
      </c>
      <c r="D182">
        <v>31</v>
      </c>
      <c r="E182" t="s">
        <v>68</v>
      </c>
      <c r="F182" t="s">
        <v>69</v>
      </c>
      <c r="G182" t="s">
        <v>23</v>
      </c>
      <c r="H182">
        <v>12</v>
      </c>
      <c r="I182">
        <v>20</v>
      </c>
      <c r="J182">
        <v>2.2999999999999998</v>
      </c>
      <c r="K182" t="b">
        <v>0</v>
      </c>
      <c r="L182" s="1">
        <v>0.9</v>
      </c>
    </row>
    <row r="183" spans="1:12" x14ac:dyDescent="0.35">
      <c r="A183" t="s">
        <v>441</v>
      </c>
      <c r="B183" t="s">
        <v>442</v>
      </c>
      <c r="C183" t="s">
        <v>34</v>
      </c>
      <c r="D183">
        <v>20</v>
      </c>
      <c r="E183" t="s">
        <v>174</v>
      </c>
      <c r="F183" t="s">
        <v>69</v>
      </c>
      <c r="G183" t="s">
        <v>30</v>
      </c>
      <c r="H183">
        <v>2</v>
      </c>
      <c r="I183" s="2">
        <v>20</v>
      </c>
      <c r="J183">
        <v>2.8</v>
      </c>
      <c r="K183">
        <v>0</v>
      </c>
      <c r="L183" s="1">
        <v>0.78</v>
      </c>
    </row>
    <row r="184" spans="1:12" x14ac:dyDescent="0.35">
      <c r="A184" t="s">
        <v>443</v>
      </c>
      <c r="B184" t="s">
        <v>444</v>
      </c>
      <c r="C184" t="s">
        <v>59</v>
      </c>
      <c r="D184">
        <v>38</v>
      </c>
      <c r="E184" t="s">
        <v>82</v>
      </c>
      <c r="F184" t="s">
        <v>83</v>
      </c>
      <c r="G184" t="s">
        <v>35</v>
      </c>
      <c r="H184">
        <v>3</v>
      </c>
      <c r="I184">
        <v>30</v>
      </c>
      <c r="J184">
        <v>3.5</v>
      </c>
      <c r="K184" t="s">
        <v>155</v>
      </c>
      <c r="L184" s="1">
        <v>0.97</v>
      </c>
    </row>
    <row r="185" spans="1:12" x14ac:dyDescent="0.35">
      <c r="A185" t="s">
        <v>445</v>
      </c>
      <c r="B185" t="s">
        <v>446</v>
      </c>
      <c r="C185" t="s">
        <v>38</v>
      </c>
      <c r="D185">
        <v>33</v>
      </c>
      <c r="E185" t="s">
        <v>28</v>
      </c>
      <c r="F185" t="s">
        <v>29</v>
      </c>
      <c r="G185" t="s">
        <v>70</v>
      </c>
      <c r="H185">
        <v>11</v>
      </c>
      <c r="J185">
        <v>0</v>
      </c>
      <c r="K185" t="s">
        <v>65</v>
      </c>
      <c r="L185" s="1">
        <v>0.65</v>
      </c>
    </row>
    <row r="186" spans="1:12" x14ac:dyDescent="0.35">
      <c r="A186" t="s">
        <v>447</v>
      </c>
      <c r="B186" t="s">
        <v>448</v>
      </c>
      <c r="C186" t="s">
        <v>34</v>
      </c>
      <c r="D186">
        <v>31</v>
      </c>
      <c r="E186" t="s">
        <v>21</v>
      </c>
      <c r="F186" t="s">
        <v>22</v>
      </c>
      <c r="G186" t="s">
        <v>35</v>
      </c>
      <c r="H186">
        <v>4</v>
      </c>
      <c r="I186">
        <v>40</v>
      </c>
      <c r="J186">
        <v>3.2</v>
      </c>
      <c r="K186">
        <v>1</v>
      </c>
      <c r="L186" s="1">
        <v>0.78</v>
      </c>
    </row>
    <row r="187" spans="1:12" x14ac:dyDescent="0.35">
      <c r="A187" t="s">
        <v>449</v>
      </c>
      <c r="B187" t="s">
        <v>450</v>
      </c>
      <c r="C187" t="s">
        <v>46</v>
      </c>
      <c r="D187">
        <v>41</v>
      </c>
      <c r="E187" t="s">
        <v>185</v>
      </c>
      <c r="F187" t="s">
        <v>69</v>
      </c>
      <c r="G187" t="s">
        <v>111</v>
      </c>
      <c r="H187">
        <v>21</v>
      </c>
      <c r="I187">
        <v>50</v>
      </c>
      <c r="J187">
        <v>3.3</v>
      </c>
      <c r="K187" t="s">
        <v>71</v>
      </c>
      <c r="L187" s="1">
        <v>0.65</v>
      </c>
    </row>
    <row r="188" spans="1:12" x14ac:dyDescent="0.35">
      <c r="A188" t="s">
        <v>451</v>
      </c>
      <c r="B188" t="s">
        <v>452</v>
      </c>
      <c r="C188" t="s">
        <v>59</v>
      </c>
      <c r="D188">
        <v>54</v>
      </c>
      <c r="E188" t="s">
        <v>60</v>
      </c>
      <c r="F188" t="s">
        <v>61</v>
      </c>
      <c r="G188" t="s">
        <v>35</v>
      </c>
      <c r="H188">
        <v>0</v>
      </c>
      <c r="I188" s="2">
        <v>20</v>
      </c>
      <c r="J188">
        <v>4.9000000000000004</v>
      </c>
    </row>
    <row r="189" spans="1:12" x14ac:dyDescent="0.35">
      <c r="A189" t="s">
        <v>453</v>
      </c>
      <c r="B189" t="s">
        <v>454</v>
      </c>
      <c r="C189" t="s">
        <v>27</v>
      </c>
      <c r="D189">
        <v>50</v>
      </c>
      <c r="E189" t="s">
        <v>174</v>
      </c>
      <c r="F189" t="s">
        <v>69</v>
      </c>
      <c r="G189" t="s">
        <v>49</v>
      </c>
      <c r="H189">
        <v>6</v>
      </c>
      <c r="I189">
        <v>30</v>
      </c>
      <c r="J189">
        <v>2.2000000000000002</v>
      </c>
      <c r="K189">
        <v>1</v>
      </c>
      <c r="L189" s="1">
        <v>0.95</v>
      </c>
    </row>
    <row r="190" spans="1:12" x14ac:dyDescent="0.35">
      <c r="A190" t="s">
        <v>455</v>
      </c>
      <c r="B190" t="s">
        <v>456</v>
      </c>
      <c r="C190" t="s">
        <v>59</v>
      </c>
      <c r="D190">
        <v>48</v>
      </c>
      <c r="E190" t="s">
        <v>104</v>
      </c>
      <c r="F190" t="s">
        <v>105</v>
      </c>
      <c r="G190" t="s">
        <v>111</v>
      </c>
      <c r="H190">
        <v>18</v>
      </c>
      <c r="I190" t="s">
        <v>53</v>
      </c>
      <c r="K190">
        <v>1</v>
      </c>
      <c r="L190" s="1">
        <v>0.88</v>
      </c>
    </row>
    <row r="191" spans="1:12" x14ac:dyDescent="0.35">
      <c r="A191" t="s">
        <v>457</v>
      </c>
      <c r="B191" t="s">
        <v>458</v>
      </c>
      <c r="C191" t="s">
        <v>14</v>
      </c>
      <c r="D191">
        <v>49</v>
      </c>
      <c r="E191" t="s">
        <v>174</v>
      </c>
      <c r="F191" t="s">
        <v>69</v>
      </c>
      <c r="G191" t="s">
        <v>30</v>
      </c>
      <c r="J191">
        <v>1.8</v>
      </c>
      <c r="K191">
        <v>0</v>
      </c>
    </row>
    <row r="192" spans="1:12" x14ac:dyDescent="0.35">
      <c r="A192" t="s">
        <v>459</v>
      </c>
      <c r="B192" t="s">
        <v>460</v>
      </c>
      <c r="C192" t="s">
        <v>94</v>
      </c>
      <c r="D192">
        <v>21</v>
      </c>
      <c r="E192" t="s">
        <v>109</v>
      </c>
      <c r="F192" t="s">
        <v>110</v>
      </c>
      <c r="G192" t="s">
        <v>30</v>
      </c>
      <c r="H192">
        <v>1</v>
      </c>
      <c r="I192">
        <v>75</v>
      </c>
      <c r="J192">
        <v>4.5999999999999996</v>
      </c>
      <c r="K192">
        <v>0</v>
      </c>
      <c r="L192" s="1">
        <v>0.92</v>
      </c>
    </row>
    <row r="193" spans="1:12" x14ac:dyDescent="0.35">
      <c r="A193" t="s">
        <v>461</v>
      </c>
      <c r="B193" t="s">
        <v>462</v>
      </c>
      <c r="C193" t="s">
        <v>89</v>
      </c>
      <c r="D193">
        <v>58</v>
      </c>
      <c r="E193" t="s">
        <v>21</v>
      </c>
      <c r="F193" t="s">
        <v>22</v>
      </c>
      <c r="G193" t="s">
        <v>30</v>
      </c>
      <c r="H193">
        <v>20</v>
      </c>
      <c r="I193">
        <v>75</v>
      </c>
      <c r="J193">
        <v>2.8</v>
      </c>
      <c r="K193" t="s">
        <v>155</v>
      </c>
      <c r="L193" s="1">
        <v>0.75</v>
      </c>
    </row>
    <row r="194" spans="1:12" x14ac:dyDescent="0.35">
      <c r="A194" t="s">
        <v>463</v>
      </c>
      <c r="B194" t="s">
        <v>257</v>
      </c>
      <c r="C194" t="s">
        <v>59</v>
      </c>
      <c r="D194">
        <v>41</v>
      </c>
      <c r="E194" t="s">
        <v>15</v>
      </c>
      <c r="F194" t="s">
        <v>16</v>
      </c>
      <c r="G194" t="s">
        <v>86</v>
      </c>
      <c r="I194" s="2">
        <v>30</v>
      </c>
      <c r="J194">
        <v>1.4</v>
      </c>
      <c r="K194" t="b">
        <v>0</v>
      </c>
      <c r="L194" s="1">
        <v>0.74</v>
      </c>
    </row>
    <row r="195" spans="1:12" x14ac:dyDescent="0.35">
      <c r="A195" t="s">
        <v>464</v>
      </c>
      <c r="B195" t="s">
        <v>465</v>
      </c>
      <c r="C195" t="s">
        <v>34</v>
      </c>
      <c r="D195">
        <v>58</v>
      </c>
      <c r="E195" t="s">
        <v>120</v>
      </c>
      <c r="F195" t="s">
        <v>121</v>
      </c>
      <c r="G195" t="s">
        <v>17</v>
      </c>
      <c r="H195">
        <v>25</v>
      </c>
      <c r="I195" s="2">
        <v>30</v>
      </c>
      <c r="J195">
        <v>4.2</v>
      </c>
      <c r="K195" t="s">
        <v>71</v>
      </c>
      <c r="L195" s="1">
        <v>0.71</v>
      </c>
    </row>
    <row r="196" spans="1:12" x14ac:dyDescent="0.35">
      <c r="A196" t="s">
        <v>466</v>
      </c>
      <c r="B196" t="s">
        <v>467</v>
      </c>
      <c r="C196" t="s">
        <v>38</v>
      </c>
      <c r="D196">
        <v>50</v>
      </c>
      <c r="E196" t="s">
        <v>149</v>
      </c>
      <c r="F196" t="s">
        <v>150</v>
      </c>
      <c r="G196" t="s">
        <v>30</v>
      </c>
      <c r="H196">
        <v>20</v>
      </c>
      <c r="I196" t="s">
        <v>53</v>
      </c>
      <c r="J196">
        <v>3.6</v>
      </c>
      <c r="K196">
        <v>1</v>
      </c>
      <c r="L196" s="1">
        <v>0.89</v>
      </c>
    </row>
    <row r="197" spans="1:12" x14ac:dyDescent="0.35">
      <c r="A197" t="s">
        <v>468</v>
      </c>
      <c r="B197" t="s">
        <v>469</v>
      </c>
      <c r="C197" t="s">
        <v>46</v>
      </c>
      <c r="D197">
        <v>52</v>
      </c>
      <c r="E197" t="s">
        <v>47</v>
      </c>
      <c r="F197" t="s">
        <v>48</v>
      </c>
      <c r="G197" t="s">
        <v>35</v>
      </c>
      <c r="H197">
        <v>33</v>
      </c>
      <c r="I197" s="2">
        <v>100</v>
      </c>
      <c r="J197">
        <v>1.6</v>
      </c>
      <c r="L197" s="1">
        <v>0.66</v>
      </c>
    </row>
    <row r="198" spans="1:12" x14ac:dyDescent="0.35">
      <c r="A198" t="s">
        <v>470</v>
      </c>
      <c r="B198" t="s">
        <v>471</v>
      </c>
      <c r="C198" t="s">
        <v>46</v>
      </c>
      <c r="D198">
        <v>34</v>
      </c>
      <c r="E198" t="s">
        <v>41</v>
      </c>
      <c r="F198" t="s">
        <v>42</v>
      </c>
      <c r="G198" t="s">
        <v>49</v>
      </c>
      <c r="H198">
        <v>6</v>
      </c>
      <c r="I198" s="2">
        <v>100</v>
      </c>
      <c r="J198">
        <v>2</v>
      </c>
      <c r="K198" t="s">
        <v>155</v>
      </c>
    </row>
    <row r="199" spans="1:12" x14ac:dyDescent="0.35">
      <c r="A199" t="s">
        <v>472</v>
      </c>
      <c r="B199" t="s">
        <v>473</v>
      </c>
      <c r="C199" t="s">
        <v>94</v>
      </c>
      <c r="D199">
        <v>32</v>
      </c>
      <c r="E199" t="s">
        <v>131</v>
      </c>
      <c r="F199" t="s">
        <v>132</v>
      </c>
      <c r="G199" t="s">
        <v>111</v>
      </c>
      <c r="H199">
        <v>11</v>
      </c>
      <c r="I199">
        <v>40</v>
      </c>
      <c r="J199">
        <v>4.3</v>
      </c>
      <c r="K199" t="b">
        <v>1</v>
      </c>
      <c r="L199" s="1">
        <v>0.86</v>
      </c>
    </row>
    <row r="200" spans="1:12" x14ac:dyDescent="0.35">
      <c r="A200" t="s">
        <v>474</v>
      </c>
      <c r="B200" t="s">
        <v>475</v>
      </c>
      <c r="C200" t="s">
        <v>34</v>
      </c>
      <c r="D200">
        <v>50</v>
      </c>
      <c r="E200" t="s">
        <v>90</v>
      </c>
      <c r="F200" t="s">
        <v>91</v>
      </c>
      <c r="G200" t="s">
        <v>30</v>
      </c>
      <c r="H200">
        <v>28</v>
      </c>
      <c r="I200" s="2">
        <v>100</v>
      </c>
      <c r="J200">
        <v>4.9000000000000004</v>
      </c>
      <c r="K200" t="s">
        <v>71</v>
      </c>
      <c r="L200" s="1">
        <v>0.86</v>
      </c>
    </row>
    <row r="201" spans="1:12" x14ac:dyDescent="0.35">
      <c r="A201" t="s">
        <v>476</v>
      </c>
      <c r="B201" t="s">
        <v>477</v>
      </c>
      <c r="C201" t="s">
        <v>38</v>
      </c>
      <c r="D201">
        <v>39</v>
      </c>
      <c r="E201" t="s">
        <v>68</v>
      </c>
      <c r="F201" t="s">
        <v>69</v>
      </c>
      <c r="G201" t="s">
        <v>49</v>
      </c>
      <c r="H201">
        <v>11</v>
      </c>
      <c r="I201">
        <v>100</v>
      </c>
      <c r="J201">
        <v>3.5</v>
      </c>
      <c r="K201" t="s">
        <v>71</v>
      </c>
      <c r="L201" s="1">
        <v>0.82</v>
      </c>
    </row>
    <row r="202" spans="1:12" x14ac:dyDescent="0.35">
      <c r="A202" t="s">
        <v>478</v>
      </c>
      <c r="B202" t="s">
        <v>479</v>
      </c>
      <c r="C202" t="s">
        <v>14</v>
      </c>
      <c r="D202">
        <v>25</v>
      </c>
      <c r="E202" t="s">
        <v>185</v>
      </c>
      <c r="F202" t="s">
        <v>69</v>
      </c>
      <c r="G202" t="s">
        <v>43</v>
      </c>
      <c r="H202">
        <v>2</v>
      </c>
      <c r="I202">
        <v>100</v>
      </c>
      <c r="J202">
        <v>2.5</v>
      </c>
      <c r="K202" t="s">
        <v>155</v>
      </c>
      <c r="L202">
        <v>87</v>
      </c>
    </row>
    <row r="203" spans="1:12" x14ac:dyDescent="0.35">
      <c r="A203" t="s">
        <v>480</v>
      </c>
      <c r="B203" t="s">
        <v>481</v>
      </c>
      <c r="C203" t="s">
        <v>20</v>
      </c>
      <c r="D203">
        <v>55</v>
      </c>
      <c r="E203" t="s">
        <v>170</v>
      </c>
      <c r="F203" t="s">
        <v>171</v>
      </c>
      <c r="G203" t="s">
        <v>111</v>
      </c>
      <c r="H203">
        <v>7</v>
      </c>
      <c r="I203">
        <v>100</v>
      </c>
      <c r="J203">
        <v>1.7</v>
      </c>
      <c r="K203">
        <v>1</v>
      </c>
      <c r="L203" s="1">
        <v>0.8</v>
      </c>
    </row>
    <row r="204" spans="1:12" x14ac:dyDescent="0.35">
      <c r="A204" t="s">
        <v>482</v>
      </c>
      <c r="B204" t="s">
        <v>483</v>
      </c>
      <c r="C204" t="s">
        <v>46</v>
      </c>
      <c r="D204">
        <v>42</v>
      </c>
      <c r="E204" t="s">
        <v>15</v>
      </c>
      <c r="F204" t="s">
        <v>16</v>
      </c>
      <c r="G204" t="s">
        <v>86</v>
      </c>
      <c r="H204">
        <v>10</v>
      </c>
      <c r="I204" t="s">
        <v>24</v>
      </c>
      <c r="J204">
        <v>4.5999999999999996</v>
      </c>
      <c r="K204" t="s">
        <v>71</v>
      </c>
      <c r="L204" s="1">
        <v>0.71</v>
      </c>
    </row>
    <row r="205" spans="1:12" x14ac:dyDescent="0.35">
      <c r="A205" t="s">
        <v>484</v>
      </c>
      <c r="B205" t="s">
        <v>485</v>
      </c>
      <c r="C205" t="s">
        <v>27</v>
      </c>
      <c r="D205">
        <v>43</v>
      </c>
      <c r="E205" t="s">
        <v>120</v>
      </c>
      <c r="F205" t="s">
        <v>121</v>
      </c>
      <c r="G205" t="s">
        <v>23</v>
      </c>
      <c r="H205">
        <v>6</v>
      </c>
      <c r="I205">
        <v>50</v>
      </c>
      <c r="K205" t="s">
        <v>31</v>
      </c>
      <c r="L205" s="1">
        <v>0.77</v>
      </c>
    </row>
    <row r="206" spans="1:12" x14ac:dyDescent="0.35">
      <c r="A206" t="s">
        <v>486</v>
      </c>
      <c r="B206" t="s">
        <v>487</v>
      </c>
      <c r="C206" t="s">
        <v>46</v>
      </c>
      <c r="D206">
        <v>54</v>
      </c>
      <c r="E206" t="s">
        <v>15</v>
      </c>
      <c r="F206" t="s">
        <v>16</v>
      </c>
      <c r="G206" t="s">
        <v>86</v>
      </c>
      <c r="H206">
        <v>29</v>
      </c>
      <c r="I206" s="2">
        <v>30</v>
      </c>
      <c r="J206">
        <v>1.7</v>
      </c>
      <c r="K206">
        <v>0</v>
      </c>
      <c r="L206">
        <v>68</v>
      </c>
    </row>
    <row r="207" spans="1:12" x14ac:dyDescent="0.35">
      <c r="A207" t="s">
        <v>488</v>
      </c>
      <c r="B207" t="s">
        <v>489</v>
      </c>
      <c r="C207" t="s">
        <v>20</v>
      </c>
      <c r="D207">
        <v>21</v>
      </c>
      <c r="E207" t="s">
        <v>135</v>
      </c>
      <c r="F207" t="s">
        <v>136</v>
      </c>
      <c r="G207" t="s">
        <v>30</v>
      </c>
      <c r="H207">
        <v>0</v>
      </c>
      <c r="I207">
        <v>20</v>
      </c>
      <c r="J207">
        <v>1.8</v>
      </c>
      <c r="K207" t="s">
        <v>31</v>
      </c>
      <c r="L207" s="1">
        <v>0.91</v>
      </c>
    </row>
    <row r="208" spans="1:12" x14ac:dyDescent="0.35">
      <c r="A208" t="s">
        <v>490</v>
      </c>
      <c r="B208" t="s">
        <v>491</v>
      </c>
      <c r="C208" t="s">
        <v>46</v>
      </c>
      <c r="D208">
        <v>46</v>
      </c>
      <c r="E208" t="s">
        <v>124</v>
      </c>
      <c r="F208" t="s">
        <v>22</v>
      </c>
      <c r="G208" t="s">
        <v>70</v>
      </c>
      <c r="H208">
        <v>5</v>
      </c>
      <c r="I208">
        <v>20</v>
      </c>
      <c r="J208">
        <v>2.2000000000000002</v>
      </c>
      <c r="K208" t="b">
        <v>0</v>
      </c>
      <c r="L208" s="1">
        <v>0.75</v>
      </c>
    </row>
    <row r="209" spans="1:12" x14ac:dyDescent="0.35">
      <c r="A209" t="s">
        <v>492</v>
      </c>
      <c r="B209" t="s">
        <v>493</v>
      </c>
      <c r="C209" t="s">
        <v>14</v>
      </c>
      <c r="D209">
        <v>30</v>
      </c>
      <c r="E209" t="s">
        <v>185</v>
      </c>
      <c r="F209" t="s">
        <v>69</v>
      </c>
      <c r="G209" t="s">
        <v>17</v>
      </c>
      <c r="H209">
        <v>11</v>
      </c>
      <c r="I209">
        <v>40</v>
      </c>
      <c r="J209">
        <v>1</v>
      </c>
      <c r="K209" t="s">
        <v>31</v>
      </c>
      <c r="L209" s="1">
        <v>0.9</v>
      </c>
    </row>
    <row r="210" spans="1:12" x14ac:dyDescent="0.35">
      <c r="A210" t="s">
        <v>494</v>
      </c>
      <c r="B210" t="s">
        <v>495</v>
      </c>
      <c r="C210" t="s">
        <v>27</v>
      </c>
      <c r="D210">
        <v>36</v>
      </c>
      <c r="E210" t="s">
        <v>170</v>
      </c>
      <c r="F210" t="s">
        <v>171</v>
      </c>
      <c r="G210" t="s">
        <v>111</v>
      </c>
      <c r="H210">
        <v>11</v>
      </c>
      <c r="I210" s="2">
        <v>75</v>
      </c>
      <c r="J210">
        <v>3.2</v>
      </c>
      <c r="K210">
        <v>0</v>
      </c>
      <c r="L210">
        <v>93</v>
      </c>
    </row>
    <row r="211" spans="1:12" x14ac:dyDescent="0.35">
      <c r="A211" t="s">
        <v>496</v>
      </c>
      <c r="B211" t="s">
        <v>497</v>
      </c>
      <c r="C211" t="s">
        <v>74</v>
      </c>
      <c r="D211">
        <v>47</v>
      </c>
      <c r="E211" t="s">
        <v>28</v>
      </c>
      <c r="F211" t="s">
        <v>29</v>
      </c>
      <c r="G211" t="s">
        <v>49</v>
      </c>
      <c r="H211">
        <v>15</v>
      </c>
      <c r="I211">
        <v>40</v>
      </c>
      <c r="J211">
        <v>2.1</v>
      </c>
      <c r="K211" t="s">
        <v>65</v>
      </c>
      <c r="L211" s="1">
        <v>0.94</v>
      </c>
    </row>
    <row r="212" spans="1:12" x14ac:dyDescent="0.35">
      <c r="A212" t="s">
        <v>498</v>
      </c>
      <c r="B212" t="s">
        <v>499</v>
      </c>
      <c r="C212" t="s">
        <v>34</v>
      </c>
      <c r="D212">
        <v>43</v>
      </c>
      <c r="E212" t="s">
        <v>124</v>
      </c>
      <c r="F212" t="s">
        <v>22</v>
      </c>
      <c r="G212" t="s">
        <v>23</v>
      </c>
      <c r="H212">
        <v>1</v>
      </c>
      <c r="I212" t="s">
        <v>95</v>
      </c>
      <c r="J212">
        <v>4.5999999999999996</v>
      </c>
      <c r="K212" t="b">
        <v>1</v>
      </c>
      <c r="L212">
        <v>64</v>
      </c>
    </row>
    <row r="213" spans="1:12" x14ac:dyDescent="0.35">
      <c r="A213" t="s">
        <v>500</v>
      </c>
      <c r="B213" t="s">
        <v>501</v>
      </c>
      <c r="C213" t="s">
        <v>46</v>
      </c>
      <c r="D213">
        <v>57</v>
      </c>
      <c r="E213" t="s">
        <v>109</v>
      </c>
      <c r="F213" t="s">
        <v>110</v>
      </c>
      <c r="G213" t="s">
        <v>75</v>
      </c>
      <c r="H213">
        <v>8</v>
      </c>
      <c r="I213" s="2">
        <v>20</v>
      </c>
      <c r="J213">
        <v>0</v>
      </c>
      <c r="K213" t="s">
        <v>65</v>
      </c>
      <c r="L213" s="1">
        <v>0.84</v>
      </c>
    </row>
    <row r="214" spans="1:12" x14ac:dyDescent="0.35">
      <c r="A214" t="s">
        <v>502</v>
      </c>
      <c r="B214" t="s">
        <v>503</v>
      </c>
      <c r="C214" t="s">
        <v>27</v>
      </c>
      <c r="D214">
        <v>52</v>
      </c>
      <c r="E214" t="s">
        <v>15</v>
      </c>
      <c r="F214" t="s">
        <v>16</v>
      </c>
      <c r="G214" t="s">
        <v>111</v>
      </c>
      <c r="H214">
        <v>30</v>
      </c>
      <c r="I214" s="2">
        <v>20</v>
      </c>
      <c r="J214">
        <v>2.8</v>
      </c>
      <c r="K214" t="s">
        <v>155</v>
      </c>
      <c r="L214" s="1">
        <v>0.87</v>
      </c>
    </row>
    <row r="215" spans="1:12" x14ac:dyDescent="0.35">
      <c r="A215" t="s">
        <v>504</v>
      </c>
      <c r="B215" t="s">
        <v>505</v>
      </c>
      <c r="C215" t="s">
        <v>59</v>
      </c>
      <c r="E215" t="s">
        <v>28</v>
      </c>
      <c r="F215" t="s">
        <v>29</v>
      </c>
      <c r="G215" t="s">
        <v>17</v>
      </c>
      <c r="H215">
        <v>8</v>
      </c>
      <c r="I215" s="2">
        <v>40</v>
      </c>
      <c r="J215">
        <v>0</v>
      </c>
      <c r="K215" t="s">
        <v>31</v>
      </c>
      <c r="L215" s="1">
        <v>0.64</v>
      </c>
    </row>
    <row r="216" spans="1:12" x14ac:dyDescent="0.35">
      <c r="A216" t="s">
        <v>506</v>
      </c>
      <c r="B216" t="s">
        <v>507</v>
      </c>
      <c r="C216" t="s">
        <v>38</v>
      </c>
      <c r="D216">
        <v>22</v>
      </c>
      <c r="E216" t="s">
        <v>47</v>
      </c>
      <c r="F216" t="s">
        <v>48</v>
      </c>
      <c r="G216" t="s">
        <v>111</v>
      </c>
      <c r="H216">
        <v>0</v>
      </c>
      <c r="I216">
        <v>100</v>
      </c>
      <c r="J216">
        <v>2.7</v>
      </c>
      <c r="K216" t="b">
        <v>1</v>
      </c>
      <c r="L216" s="1">
        <v>0.64</v>
      </c>
    </row>
    <row r="217" spans="1:12" x14ac:dyDescent="0.35">
      <c r="A217" t="s">
        <v>508</v>
      </c>
      <c r="B217" t="s">
        <v>509</v>
      </c>
      <c r="C217" t="s">
        <v>46</v>
      </c>
      <c r="E217" t="s">
        <v>90</v>
      </c>
      <c r="F217" t="s">
        <v>91</v>
      </c>
      <c r="G217" t="s">
        <v>111</v>
      </c>
      <c r="H217">
        <v>12</v>
      </c>
      <c r="I217" s="2">
        <v>20</v>
      </c>
      <c r="J217">
        <v>0</v>
      </c>
      <c r="K217" t="b">
        <v>1</v>
      </c>
      <c r="L217" s="1">
        <v>0.8</v>
      </c>
    </row>
    <row r="218" spans="1:12" x14ac:dyDescent="0.35">
      <c r="A218" t="s">
        <v>510</v>
      </c>
      <c r="B218" t="s">
        <v>511</v>
      </c>
      <c r="C218" t="s">
        <v>34</v>
      </c>
      <c r="D218">
        <v>58</v>
      </c>
      <c r="E218" t="s">
        <v>185</v>
      </c>
      <c r="F218" t="s">
        <v>69</v>
      </c>
      <c r="G218" t="s">
        <v>23</v>
      </c>
      <c r="H218">
        <v>4</v>
      </c>
      <c r="I218" s="2">
        <v>50</v>
      </c>
      <c r="J218">
        <v>3.1</v>
      </c>
      <c r="K218">
        <v>0</v>
      </c>
      <c r="L218" s="1">
        <v>0.9</v>
      </c>
    </row>
    <row r="219" spans="1:12" x14ac:dyDescent="0.35">
      <c r="A219" t="s">
        <v>512</v>
      </c>
      <c r="B219" t="s">
        <v>513</v>
      </c>
      <c r="C219" t="s">
        <v>89</v>
      </c>
      <c r="D219">
        <v>39</v>
      </c>
      <c r="E219" t="s">
        <v>109</v>
      </c>
      <c r="F219" t="s">
        <v>110</v>
      </c>
      <c r="G219" t="s">
        <v>35</v>
      </c>
      <c r="H219">
        <v>14</v>
      </c>
      <c r="I219" t="s">
        <v>24</v>
      </c>
      <c r="J219">
        <v>0</v>
      </c>
      <c r="K219" t="s">
        <v>71</v>
      </c>
      <c r="L219" s="1">
        <v>0.92</v>
      </c>
    </row>
    <row r="220" spans="1:12" x14ac:dyDescent="0.35">
      <c r="A220" t="s">
        <v>514</v>
      </c>
      <c r="B220" t="s">
        <v>515</v>
      </c>
      <c r="C220" t="s">
        <v>89</v>
      </c>
      <c r="D220">
        <v>32</v>
      </c>
      <c r="E220" t="s">
        <v>47</v>
      </c>
      <c r="F220" t="s">
        <v>48</v>
      </c>
      <c r="G220" t="s">
        <v>30</v>
      </c>
      <c r="H220">
        <v>14</v>
      </c>
      <c r="K220">
        <v>0</v>
      </c>
      <c r="L220" s="1">
        <v>0.96</v>
      </c>
    </row>
    <row r="221" spans="1:12" x14ac:dyDescent="0.35">
      <c r="A221" t="s">
        <v>516</v>
      </c>
      <c r="B221" t="s">
        <v>517</v>
      </c>
      <c r="C221" t="s">
        <v>46</v>
      </c>
      <c r="D221">
        <v>37</v>
      </c>
      <c r="E221" t="s">
        <v>124</v>
      </c>
      <c r="F221" t="s">
        <v>22</v>
      </c>
      <c r="G221" t="s">
        <v>70</v>
      </c>
      <c r="H221">
        <v>2</v>
      </c>
      <c r="I221" s="2">
        <v>30</v>
      </c>
      <c r="J221">
        <v>2.2999999999999998</v>
      </c>
      <c r="K221" t="s">
        <v>65</v>
      </c>
    </row>
    <row r="222" spans="1:12" x14ac:dyDescent="0.35">
      <c r="A222" t="s">
        <v>518</v>
      </c>
      <c r="B222" t="s">
        <v>519</v>
      </c>
      <c r="C222" t="s">
        <v>20</v>
      </c>
      <c r="D222">
        <v>21</v>
      </c>
      <c r="E222" t="s">
        <v>170</v>
      </c>
      <c r="F222" t="s">
        <v>171</v>
      </c>
      <c r="G222" t="s">
        <v>75</v>
      </c>
      <c r="H222">
        <v>2</v>
      </c>
      <c r="I222">
        <v>100</v>
      </c>
      <c r="J222">
        <v>2.4</v>
      </c>
      <c r="K222" t="s">
        <v>71</v>
      </c>
    </row>
    <row r="223" spans="1:12" x14ac:dyDescent="0.35">
      <c r="A223" t="s">
        <v>520</v>
      </c>
      <c r="B223" t="s">
        <v>521</v>
      </c>
      <c r="C223" t="s">
        <v>59</v>
      </c>
      <c r="D223">
        <v>41</v>
      </c>
      <c r="E223" t="s">
        <v>109</v>
      </c>
      <c r="F223" t="s">
        <v>110</v>
      </c>
      <c r="G223" t="s">
        <v>111</v>
      </c>
      <c r="H223">
        <v>4</v>
      </c>
      <c r="I223">
        <v>75</v>
      </c>
      <c r="J223">
        <v>2.6</v>
      </c>
      <c r="L223" s="1">
        <v>0.85</v>
      </c>
    </row>
    <row r="224" spans="1:12" x14ac:dyDescent="0.35">
      <c r="A224" t="s">
        <v>522</v>
      </c>
      <c r="B224" t="s">
        <v>523</v>
      </c>
      <c r="C224" t="s">
        <v>14</v>
      </c>
      <c r="D224">
        <v>21</v>
      </c>
      <c r="E224" t="s">
        <v>124</v>
      </c>
      <c r="F224" t="s">
        <v>22</v>
      </c>
      <c r="G224" t="s">
        <v>43</v>
      </c>
      <c r="H224">
        <v>0</v>
      </c>
      <c r="I224" t="s">
        <v>53</v>
      </c>
      <c r="J224">
        <v>1.1000000000000001</v>
      </c>
      <c r="K224">
        <v>0</v>
      </c>
      <c r="L224" s="1">
        <v>0.79</v>
      </c>
    </row>
    <row r="225" spans="1:12" x14ac:dyDescent="0.35">
      <c r="A225" t="s">
        <v>524</v>
      </c>
      <c r="B225" t="s">
        <v>525</v>
      </c>
      <c r="C225" t="s">
        <v>34</v>
      </c>
      <c r="D225">
        <v>58</v>
      </c>
      <c r="E225" t="s">
        <v>170</v>
      </c>
      <c r="F225" t="s">
        <v>171</v>
      </c>
      <c r="G225" t="s">
        <v>111</v>
      </c>
      <c r="H225">
        <v>9</v>
      </c>
      <c r="I225">
        <v>30</v>
      </c>
      <c r="J225">
        <v>0</v>
      </c>
      <c r="K225">
        <v>1</v>
      </c>
      <c r="L225" s="1">
        <v>0.65</v>
      </c>
    </row>
    <row r="226" spans="1:12" x14ac:dyDescent="0.35">
      <c r="A226" t="s">
        <v>526</v>
      </c>
      <c r="B226" t="s">
        <v>527</v>
      </c>
      <c r="C226" t="s">
        <v>94</v>
      </c>
      <c r="D226">
        <v>60</v>
      </c>
      <c r="E226" t="s">
        <v>124</v>
      </c>
      <c r="F226" t="s">
        <v>22</v>
      </c>
      <c r="G226" t="s">
        <v>111</v>
      </c>
      <c r="H226">
        <v>3</v>
      </c>
      <c r="I226">
        <v>40</v>
      </c>
      <c r="J226">
        <v>4.7</v>
      </c>
      <c r="K226" t="b">
        <v>0</v>
      </c>
      <c r="L226" s="1">
        <v>0.63</v>
      </c>
    </row>
    <row r="227" spans="1:12" x14ac:dyDescent="0.35">
      <c r="A227" t="s">
        <v>528</v>
      </c>
      <c r="B227" t="s">
        <v>529</v>
      </c>
      <c r="C227" t="s">
        <v>89</v>
      </c>
      <c r="D227">
        <v>27</v>
      </c>
      <c r="E227" t="s">
        <v>149</v>
      </c>
      <c r="F227" t="s">
        <v>150</v>
      </c>
      <c r="G227" t="s">
        <v>35</v>
      </c>
      <c r="H227">
        <v>2</v>
      </c>
      <c r="I227" s="2">
        <v>40</v>
      </c>
      <c r="J227">
        <v>1.2</v>
      </c>
      <c r="K227" t="b">
        <v>0</v>
      </c>
    </row>
    <row r="228" spans="1:12" x14ac:dyDescent="0.35">
      <c r="A228" t="s">
        <v>530</v>
      </c>
      <c r="B228" t="s">
        <v>531</v>
      </c>
      <c r="C228" t="s">
        <v>14</v>
      </c>
      <c r="D228">
        <v>29</v>
      </c>
      <c r="E228" t="s">
        <v>28</v>
      </c>
      <c r="F228" t="s">
        <v>29</v>
      </c>
      <c r="G228" t="s">
        <v>111</v>
      </c>
      <c r="H228">
        <v>10</v>
      </c>
      <c r="I228" t="s">
        <v>53</v>
      </c>
      <c r="J228">
        <v>1.2</v>
      </c>
      <c r="K228" t="b">
        <v>0</v>
      </c>
      <c r="L228" s="1">
        <v>0.78</v>
      </c>
    </row>
    <row r="229" spans="1:12" x14ac:dyDescent="0.35">
      <c r="A229" t="s">
        <v>532</v>
      </c>
      <c r="B229" t="s">
        <v>533</v>
      </c>
      <c r="C229" t="s">
        <v>74</v>
      </c>
      <c r="D229">
        <v>54</v>
      </c>
      <c r="E229" t="s">
        <v>124</v>
      </c>
      <c r="F229" t="s">
        <v>22</v>
      </c>
      <c r="G229" t="s">
        <v>30</v>
      </c>
      <c r="H229">
        <v>33</v>
      </c>
      <c r="I229" s="2">
        <v>75</v>
      </c>
      <c r="J229">
        <v>0</v>
      </c>
      <c r="K229">
        <v>1</v>
      </c>
      <c r="L229" s="1">
        <v>0.62</v>
      </c>
    </row>
    <row r="230" spans="1:12" x14ac:dyDescent="0.35">
      <c r="A230" t="s">
        <v>534</v>
      </c>
      <c r="B230" t="s">
        <v>535</v>
      </c>
      <c r="C230" t="s">
        <v>89</v>
      </c>
      <c r="D230">
        <v>52</v>
      </c>
      <c r="E230" t="s">
        <v>174</v>
      </c>
      <c r="F230" t="s">
        <v>69</v>
      </c>
      <c r="G230" t="s">
        <v>111</v>
      </c>
      <c r="H230">
        <v>12</v>
      </c>
      <c r="I230">
        <v>40</v>
      </c>
      <c r="J230">
        <v>1.2</v>
      </c>
      <c r="K230">
        <v>0</v>
      </c>
      <c r="L230" s="1">
        <v>0.76</v>
      </c>
    </row>
    <row r="231" spans="1:12" x14ac:dyDescent="0.35">
      <c r="A231" t="s">
        <v>536</v>
      </c>
      <c r="B231" t="s">
        <v>537</v>
      </c>
      <c r="C231" t="s">
        <v>20</v>
      </c>
      <c r="D231">
        <v>55</v>
      </c>
      <c r="E231" t="s">
        <v>47</v>
      </c>
      <c r="F231" t="s">
        <v>48</v>
      </c>
      <c r="G231" t="s">
        <v>17</v>
      </c>
      <c r="H231">
        <v>18</v>
      </c>
      <c r="I231">
        <v>100</v>
      </c>
      <c r="J231">
        <v>2.9</v>
      </c>
      <c r="K231">
        <v>0</v>
      </c>
      <c r="L231">
        <v>97</v>
      </c>
    </row>
    <row r="232" spans="1:12" x14ac:dyDescent="0.35">
      <c r="A232" t="s">
        <v>538</v>
      </c>
      <c r="B232" t="s">
        <v>539</v>
      </c>
      <c r="C232" t="s">
        <v>27</v>
      </c>
      <c r="D232">
        <v>37</v>
      </c>
      <c r="E232" t="s">
        <v>104</v>
      </c>
      <c r="F232" t="s">
        <v>105</v>
      </c>
      <c r="G232" t="s">
        <v>17</v>
      </c>
      <c r="H232">
        <v>4</v>
      </c>
      <c r="K232" t="s">
        <v>31</v>
      </c>
    </row>
    <row r="233" spans="1:12" x14ac:dyDescent="0.35">
      <c r="A233" t="s">
        <v>540</v>
      </c>
      <c r="B233" t="s">
        <v>541</v>
      </c>
      <c r="C233" t="s">
        <v>14</v>
      </c>
      <c r="D233">
        <v>34</v>
      </c>
      <c r="E233" t="s">
        <v>135</v>
      </c>
      <c r="F233" t="s">
        <v>136</v>
      </c>
      <c r="G233" t="s">
        <v>49</v>
      </c>
      <c r="H233">
        <v>11</v>
      </c>
      <c r="I233" s="2">
        <v>50</v>
      </c>
      <c r="J233">
        <v>3.9</v>
      </c>
      <c r="K233">
        <v>1</v>
      </c>
      <c r="L233" s="1">
        <v>0.82</v>
      </c>
    </row>
    <row r="234" spans="1:12" x14ac:dyDescent="0.35">
      <c r="A234" t="s">
        <v>542</v>
      </c>
      <c r="B234" t="s">
        <v>543</v>
      </c>
      <c r="C234" t="s">
        <v>46</v>
      </c>
      <c r="D234">
        <v>20</v>
      </c>
      <c r="E234" t="s">
        <v>131</v>
      </c>
      <c r="F234" t="s">
        <v>132</v>
      </c>
      <c r="G234" t="s">
        <v>49</v>
      </c>
      <c r="H234">
        <v>1</v>
      </c>
      <c r="I234">
        <v>50</v>
      </c>
      <c r="J234">
        <v>3.1</v>
      </c>
      <c r="L234" s="1">
        <v>0.71</v>
      </c>
    </row>
    <row r="235" spans="1:12" x14ac:dyDescent="0.35">
      <c r="A235" t="s">
        <v>544</v>
      </c>
      <c r="B235" t="s">
        <v>545</v>
      </c>
      <c r="C235" t="s">
        <v>46</v>
      </c>
      <c r="D235">
        <v>22</v>
      </c>
      <c r="E235" t="s">
        <v>174</v>
      </c>
      <c r="F235" t="s">
        <v>69</v>
      </c>
      <c r="G235" t="s">
        <v>70</v>
      </c>
      <c r="H235">
        <v>2</v>
      </c>
      <c r="J235">
        <v>0</v>
      </c>
      <c r="K235">
        <v>1</v>
      </c>
    </row>
    <row r="236" spans="1:12" x14ac:dyDescent="0.35">
      <c r="A236" t="s">
        <v>546</v>
      </c>
      <c r="B236" t="s">
        <v>547</v>
      </c>
      <c r="C236" t="s">
        <v>14</v>
      </c>
      <c r="D236">
        <v>23</v>
      </c>
      <c r="E236" t="s">
        <v>109</v>
      </c>
      <c r="F236" t="s">
        <v>110</v>
      </c>
      <c r="G236" t="s">
        <v>30</v>
      </c>
      <c r="H236">
        <v>2</v>
      </c>
      <c r="I236">
        <v>50</v>
      </c>
      <c r="J236">
        <v>3.2</v>
      </c>
      <c r="K236" t="b">
        <v>1</v>
      </c>
    </row>
    <row r="237" spans="1:12" x14ac:dyDescent="0.35">
      <c r="A237" t="s">
        <v>548</v>
      </c>
      <c r="B237" t="s">
        <v>549</v>
      </c>
      <c r="C237" t="s">
        <v>34</v>
      </c>
      <c r="D237">
        <v>53</v>
      </c>
      <c r="E237" t="s">
        <v>109</v>
      </c>
      <c r="F237" t="s">
        <v>110</v>
      </c>
      <c r="G237" t="s">
        <v>17</v>
      </c>
      <c r="H237">
        <v>34</v>
      </c>
      <c r="I237">
        <v>30</v>
      </c>
      <c r="K237" t="s">
        <v>71</v>
      </c>
    </row>
    <row r="238" spans="1:12" x14ac:dyDescent="0.35">
      <c r="A238" t="s">
        <v>550</v>
      </c>
      <c r="B238" t="s">
        <v>551</v>
      </c>
      <c r="C238" t="s">
        <v>34</v>
      </c>
      <c r="D238">
        <v>56</v>
      </c>
      <c r="E238" t="s">
        <v>109</v>
      </c>
      <c r="F238" t="s">
        <v>110</v>
      </c>
      <c r="G238" t="s">
        <v>30</v>
      </c>
      <c r="H238">
        <v>27</v>
      </c>
      <c r="I238">
        <v>100</v>
      </c>
      <c r="J238">
        <v>4.7</v>
      </c>
      <c r="K238" t="b">
        <v>1</v>
      </c>
      <c r="L238" s="1">
        <v>0.69</v>
      </c>
    </row>
    <row r="239" spans="1:12" x14ac:dyDescent="0.35">
      <c r="A239" t="s">
        <v>552</v>
      </c>
      <c r="B239" t="s">
        <v>553</v>
      </c>
      <c r="C239" t="s">
        <v>89</v>
      </c>
      <c r="D239">
        <v>27</v>
      </c>
      <c r="E239" t="s">
        <v>124</v>
      </c>
      <c r="F239" t="s">
        <v>22</v>
      </c>
      <c r="G239" t="s">
        <v>43</v>
      </c>
      <c r="H239">
        <v>4</v>
      </c>
      <c r="I239">
        <v>75</v>
      </c>
      <c r="J239">
        <v>5</v>
      </c>
      <c r="K239">
        <v>0</v>
      </c>
      <c r="L239" s="1">
        <v>0.88</v>
      </c>
    </row>
    <row r="240" spans="1:12" x14ac:dyDescent="0.35">
      <c r="A240" t="s">
        <v>554</v>
      </c>
      <c r="B240" t="s">
        <v>555</v>
      </c>
      <c r="C240" t="s">
        <v>94</v>
      </c>
      <c r="D240">
        <v>34</v>
      </c>
      <c r="E240" t="s">
        <v>15</v>
      </c>
      <c r="F240" t="s">
        <v>16</v>
      </c>
      <c r="G240" t="s">
        <v>23</v>
      </c>
      <c r="H240">
        <v>11</v>
      </c>
      <c r="I240" t="s">
        <v>53</v>
      </c>
      <c r="K240" t="b">
        <v>0</v>
      </c>
      <c r="L240" s="1">
        <v>0.67</v>
      </c>
    </row>
    <row r="241" spans="1:12" x14ac:dyDescent="0.35">
      <c r="A241" t="s">
        <v>556</v>
      </c>
      <c r="B241" t="s">
        <v>557</v>
      </c>
      <c r="C241" t="s">
        <v>89</v>
      </c>
      <c r="D241">
        <v>29</v>
      </c>
      <c r="E241" t="s">
        <v>56</v>
      </c>
      <c r="F241" t="s">
        <v>22</v>
      </c>
      <c r="G241" t="s">
        <v>35</v>
      </c>
      <c r="H241">
        <v>4</v>
      </c>
      <c r="I241" t="s">
        <v>95</v>
      </c>
      <c r="J241">
        <v>4</v>
      </c>
      <c r="K241">
        <v>0</v>
      </c>
    </row>
    <row r="242" spans="1:12" x14ac:dyDescent="0.35">
      <c r="A242" t="s">
        <v>558</v>
      </c>
      <c r="B242" t="s">
        <v>559</v>
      </c>
      <c r="C242" t="s">
        <v>89</v>
      </c>
      <c r="D242">
        <v>34</v>
      </c>
      <c r="E242" t="s">
        <v>90</v>
      </c>
      <c r="F242" t="s">
        <v>91</v>
      </c>
      <c r="G242" t="s">
        <v>43</v>
      </c>
      <c r="H242">
        <v>11</v>
      </c>
      <c r="J242">
        <v>1.2</v>
      </c>
      <c r="K242">
        <v>1</v>
      </c>
    </row>
    <row r="243" spans="1:12" x14ac:dyDescent="0.35">
      <c r="A243" t="s">
        <v>560</v>
      </c>
      <c r="B243" t="s">
        <v>561</v>
      </c>
      <c r="C243" t="s">
        <v>38</v>
      </c>
      <c r="D243">
        <v>32</v>
      </c>
      <c r="E243" t="s">
        <v>174</v>
      </c>
      <c r="F243" t="s">
        <v>69</v>
      </c>
      <c r="G243" t="s">
        <v>43</v>
      </c>
      <c r="H243">
        <v>1</v>
      </c>
      <c r="I243">
        <v>100</v>
      </c>
      <c r="J243">
        <v>4.7</v>
      </c>
      <c r="K243">
        <v>0</v>
      </c>
      <c r="L243" s="1">
        <v>0.67</v>
      </c>
    </row>
    <row r="244" spans="1:12" x14ac:dyDescent="0.35">
      <c r="A244" t="s">
        <v>562</v>
      </c>
      <c r="B244" t="s">
        <v>563</v>
      </c>
      <c r="C244" t="s">
        <v>14</v>
      </c>
      <c r="D244">
        <v>21</v>
      </c>
      <c r="E244" t="s">
        <v>149</v>
      </c>
      <c r="F244" t="s">
        <v>150</v>
      </c>
      <c r="G244" t="s">
        <v>111</v>
      </c>
      <c r="H244">
        <v>2</v>
      </c>
      <c r="I244">
        <v>20</v>
      </c>
      <c r="J244">
        <v>2.4</v>
      </c>
      <c r="L244" s="1">
        <v>0.86</v>
      </c>
    </row>
    <row r="245" spans="1:12" x14ac:dyDescent="0.35">
      <c r="A245" t="s">
        <v>564</v>
      </c>
      <c r="B245" t="s">
        <v>565</v>
      </c>
      <c r="C245" t="s">
        <v>59</v>
      </c>
      <c r="D245">
        <v>20</v>
      </c>
      <c r="E245" t="s">
        <v>174</v>
      </c>
      <c r="F245" t="s">
        <v>69</v>
      </c>
      <c r="G245" t="s">
        <v>30</v>
      </c>
      <c r="H245">
        <v>2</v>
      </c>
      <c r="J245">
        <v>1.1000000000000001</v>
      </c>
      <c r="K245" t="b">
        <v>0</v>
      </c>
      <c r="L245" s="1">
        <v>0.69</v>
      </c>
    </row>
    <row r="246" spans="1:12" x14ac:dyDescent="0.35">
      <c r="A246" t="s">
        <v>566</v>
      </c>
      <c r="B246" t="s">
        <v>567</v>
      </c>
      <c r="C246" t="s">
        <v>20</v>
      </c>
      <c r="D246">
        <v>35</v>
      </c>
      <c r="E246" t="s">
        <v>56</v>
      </c>
      <c r="F246" t="s">
        <v>22</v>
      </c>
      <c r="G246" t="s">
        <v>23</v>
      </c>
      <c r="H246">
        <v>10</v>
      </c>
      <c r="I246">
        <v>50</v>
      </c>
      <c r="J246">
        <v>1.4</v>
      </c>
      <c r="K246" t="b">
        <v>1</v>
      </c>
      <c r="L246" s="1">
        <v>0.85</v>
      </c>
    </row>
    <row r="247" spans="1:12" x14ac:dyDescent="0.35">
      <c r="A247" t="s">
        <v>568</v>
      </c>
      <c r="B247" t="s">
        <v>569</v>
      </c>
      <c r="C247" t="s">
        <v>14</v>
      </c>
      <c r="D247">
        <v>47</v>
      </c>
      <c r="E247" t="s">
        <v>56</v>
      </c>
      <c r="F247" t="s">
        <v>22</v>
      </c>
      <c r="G247" t="s">
        <v>70</v>
      </c>
      <c r="H247">
        <v>18</v>
      </c>
      <c r="I247">
        <v>40</v>
      </c>
      <c r="J247">
        <v>3.4</v>
      </c>
      <c r="K247">
        <v>0</v>
      </c>
      <c r="L247">
        <v>60</v>
      </c>
    </row>
    <row r="248" spans="1:12" x14ac:dyDescent="0.35">
      <c r="A248" t="s">
        <v>570</v>
      </c>
      <c r="B248" t="s">
        <v>571</v>
      </c>
      <c r="C248" t="s">
        <v>14</v>
      </c>
      <c r="D248">
        <v>41</v>
      </c>
      <c r="E248" t="s">
        <v>60</v>
      </c>
      <c r="F248" t="s">
        <v>61</v>
      </c>
      <c r="G248" t="s">
        <v>17</v>
      </c>
      <c r="H248">
        <v>4</v>
      </c>
      <c r="I248">
        <v>40</v>
      </c>
      <c r="J248">
        <v>2.7</v>
      </c>
      <c r="K248">
        <v>1</v>
      </c>
      <c r="L248">
        <v>70</v>
      </c>
    </row>
    <row r="249" spans="1:12" x14ac:dyDescent="0.35">
      <c r="A249" t="s">
        <v>572</v>
      </c>
      <c r="B249" t="s">
        <v>573</v>
      </c>
      <c r="C249" t="s">
        <v>27</v>
      </c>
      <c r="D249">
        <v>58</v>
      </c>
      <c r="E249" t="s">
        <v>68</v>
      </c>
      <c r="F249" t="s">
        <v>69</v>
      </c>
      <c r="G249" t="s">
        <v>35</v>
      </c>
      <c r="H249">
        <v>23</v>
      </c>
      <c r="J249">
        <v>4.9000000000000004</v>
      </c>
      <c r="K249" t="b">
        <v>0</v>
      </c>
    </row>
    <row r="250" spans="1:12" x14ac:dyDescent="0.35">
      <c r="A250" t="s">
        <v>574</v>
      </c>
      <c r="B250" t="s">
        <v>575</v>
      </c>
      <c r="C250" t="s">
        <v>46</v>
      </c>
      <c r="D250">
        <v>34</v>
      </c>
      <c r="E250" t="s">
        <v>170</v>
      </c>
      <c r="F250" t="s">
        <v>171</v>
      </c>
      <c r="G250" t="s">
        <v>49</v>
      </c>
      <c r="H250">
        <v>6</v>
      </c>
      <c r="I250">
        <v>75</v>
      </c>
      <c r="J250">
        <v>1.9</v>
      </c>
      <c r="K250">
        <v>1</v>
      </c>
      <c r="L250" s="1">
        <v>0.81</v>
      </c>
    </row>
    <row r="251" spans="1:12" x14ac:dyDescent="0.35">
      <c r="A251" t="s">
        <v>576</v>
      </c>
      <c r="B251" t="s">
        <v>577</v>
      </c>
      <c r="C251" t="s">
        <v>14</v>
      </c>
      <c r="D251">
        <v>50</v>
      </c>
      <c r="E251" t="s">
        <v>90</v>
      </c>
      <c r="F251" t="s">
        <v>91</v>
      </c>
      <c r="G251" t="s">
        <v>23</v>
      </c>
      <c r="H251">
        <v>5</v>
      </c>
      <c r="I251">
        <v>100</v>
      </c>
      <c r="K251">
        <v>1</v>
      </c>
    </row>
    <row r="252" spans="1:12" x14ac:dyDescent="0.35">
      <c r="A252" t="s">
        <v>578</v>
      </c>
      <c r="B252" t="s">
        <v>579</v>
      </c>
      <c r="C252" t="s">
        <v>14</v>
      </c>
      <c r="D252">
        <v>42</v>
      </c>
      <c r="E252" t="s">
        <v>174</v>
      </c>
      <c r="F252" t="s">
        <v>69</v>
      </c>
      <c r="G252" t="s">
        <v>86</v>
      </c>
      <c r="H252">
        <v>19</v>
      </c>
      <c r="I252" t="s">
        <v>50</v>
      </c>
      <c r="J252">
        <v>4.5999999999999996</v>
      </c>
      <c r="K252">
        <v>0</v>
      </c>
      <c r="L252" s="1">
        <v>0.78</v>
      </c>
    </row>
    <row r="253" spans="1:12" x14ac:dyDescent="0.35">
      <c r="A253" t="s">
        <v>580</v>
      </c>
      <c r="B253" t="s">
        <v>581</v>
      </c>
      <c r="C253" t="s">
        <v>89</v>
      </c>
      <c r="D253">
        <v>43</v>
      </c>
      <c r="E253" t="s">
        <v>28</v>
      </c>
      <c r="F253" t="s">
        <v>29</v>
      </c>
      <c r="G253" t="s">
        <v>70</v>
      </c>
      <c r="H253">
        <v>6</v>
      </c>
      <c r="I253">
        <v>50</v>
      </c>
      <c r="J253">
        <v>0</v>
      </c>
      <c r="K253">
        <v>0</v>
      </c>
      <c r="L253">
        <v>81</v>
      </c>
    </row>
    <row r="254" spans="1:12" x14ac:dyDescent="0.35">
      <c r="A254" t="s">
        <v>582</v>
      </c>
      <c r="B254" t="s">
        <v>583</v>
      </c>
      <c r="C254" t="s">
        <v>94</v>
      </c>
      <c r="D254">
        <v>34</v>
      </c>
      <c r="E254" t="s">
        <v>28</v>
      </c>
      <c r="F254" t="s">
        <v>29</v>
      </c>
      <c r="G254" t="s">
        <v>49</v>
      </c>
      <c r="H254">
        <v>8</v>
      </c>
      <c r="I254">
        <v>75</v>
      </c>
      <c r="J254">
        <v>1.8</v>
      </c>
      <c r="K254">
        <v>1</v>
      </c>
      <c r="L254" s="1">
        <v>0.71</v>
      </c>
    </row>
    <row r="255" spans="1:12" x14ac:dyDescent="0.35">
      <c r="A255" t="s">
        <v>584</v>
      </c>
      <c r="B255" t="s">
        <v>585</v>
      </c>
      <c r="C255" t="s">
        <v>94</v>
      </c>
      <c r="D255">
        <v>24</v>
      </c>
      <c r="E255" t="s">
        <v>185</v>
      </c>
      <c r="F255" t="s">
        <v>69</v>
      </c>
      <c r="G255" t="s">
        <v>23</v>
      </c>
      <c r="H255">
        <v>3</v>
      </c>
      <c r="I255">
        <v>75</v>
      </c>
      <c r="J255">
        <v>2</v>
      </c>
      <c r="K255" t="b">
        <v>0</v>
      </c>
    </row>
    <row r="256" spans="1:12" x14ac:dyDescent="0.35">
      <c r="A256" t="s">
        <v>586</v>
      </c>
      <c r="B256" t="s">
        <v>587</v>
      </c>
      <c r="C256" t="s">
        <v>46</v>
      </c>
      <c r="D256">
        <v>48</v>
      </c>
      <c r="E256" t="s">
        <v>149</v>
      </c>
      <c r="F256" t="s">
        <v>150</v>
      </c>
      <c r="G256" t="s">
        <v>70</v>
      </c>
      <c r="H256">
        <v>8</v>
      </c>
      <c r="I256">
        <v>30</v>
      </c>
      <c r="J256">
        <v>5</v>
      </c>
      <c r="K256">
        <v>1</v>
      </c>
      <c r="L256" s="1">
        <v>0.99</v>
      </c>
    </row>
    <row r="257" spans="1:12" x14ac:dyDescent="0.35">
      <c r="A257" t="s">
        <v>588</v>
      </c>
      <c r="B257" t="s">
        <v>589</v>
      </c>
      <c r="C257" t="s">
        <v>34</v>
      </c>
      <c r="D257">
        <v>39</v>
      </c>
      <c r="E257" t="s">
        <v>109</v>
      </c>
      <c r="F257" t="s">
        <v>110</v>
      </c>
      <c r="G257" t="s">
        <v>49</v>
      </c>
      <c r="H257">
        <v>12</v>
      </c>
      <c r="I257" s="2">
        <v>20</v>
      </c>
      <c r="J257">
        <v>3.2</v>
      </c>
      <c r="K257" t="b">
        <v>1</v>
      </c>
      <c r="L257" s="1">
        <v>0.66</v>
      </c>
    </row>
    <row r="258" spans="1:12" x14ac:dyDescent="0.35">
      <c r="A258" t="s">
        <v>590</v>
      </c>
      <c r="B258" t="s">
        <v>591</v>
      </c>
      <c r="C258" t="s">
        <v>34</v>
      </c>
      <c r="D258">
        <v>57</v>
      </c>
      <c r="E258" t="s">
        <v>21</v>
      </c>
      <c r="F258" t="s">
        <v>22</v>
      </c>
      <c r="G258" t="s">
        <v>17</v>
      </c>
      <c r="H258">
        <v>30</v>
      </c>
      <c r="I258" s="2">
        <v>30</v>
      </c>
      <c r="J258">
        <v>2.4</v>
      </c>
      <c r="L258" s="1">
        <v>0.8</v>
      </c>
    </row>
    <row r="259" spans="1:12" x14ac:dyDescent="0.35">
      <c r="A259" t="s">
        <v>592</v>
      </c>
      <c r="B259" t="s">
        <v>593</v>
      </c>
      <c r="C259" t="s">
        <v>20</v>
      </c>
      <c r="D259">
        <v>44</v>
      </c>
      <c r="E259" t="s">
        <v>124</v>
      </c>
      <c r="F259" t="s">
        <v>22</v>
      </c>
      <c r="G259" t="s">
        <v>35</v>
      </c>
      <c r="H259">
        <v>21</v>
      </c>
      <c r="I259">
        <v>100</v>
      </c>
      <c r="J259">
        <v>2.9</v>
      </c>
      <c r="K259">
        <v>0</v>
      </c>
      <c r="L259" s="1">
        <v>0.83</v>
      </c>
    </row>
    <row r="260" spans="1:12" x14ac:dyDescent="0.35">
      <c r="A260" t="s">
        <v>594</v>
      </c>
      <c r="B260" t="s">
        <v>595</v>
      </c>
      <c r="C260" t="s">
        <v>27</v>
      </c>
      <c r="D260">
        <v>37</v>
      </c>
      <c r="E260" t="s">
        <v>104</v>
      </c>
      <c r="F260" t="s">
        <v>105</v>
      </c>
      <c r="G260" t="s">
        <v>70</v>
      </c>
      <c r="H260">
        <v>17</v>
      </c>
      <c r="I260" t="s">
        <v>308</v>
      </c>
      <c r="J260">
        <v>0</v>
      </c>
      <c r="K260" t="s">
        <v>65</v>
      </c>
      <c r="L260">
        <v>87</v>
      </c>
    </row>
    <row r="261" spans="1:12" x14ac:dyDescent="0.35">
      <c r="A261" t="s">
        <v>596</v>
      </c>
      <c r="B261" t="s">
        <v>597</v>
      </c>
      <c r="C261" t="s">
        <v>94</v>
      </c>
      <c r="D261">
        <v>50</v>
      </c>
      <c r="E261" t="s">
        <v>60</v>
      </c>
      <c r="F261" t="s">
        <v>61</v>
      </c>
      <c r="G261" t="s">
        <v>49</v>
      </c>
      <c r="H261">
        <v>9</v>
      </c>
      <c r="I261">
        <v>30</v>
      </c>
      <c r="J261">
        <v>3</v>
      </c>
      <c r="K261">
        <v>0</v>
      </c>
      <c r="L261">
        <v>76</v>
      </c>
    </row>
    <row r="262" spans="1:12" x14ac:dyDescent="0.35">
      <c r="A262" t="s">
        <v>598</v>
      </c>
      <c r="B262" t="s">
        <v>599</v>
      </c>
      <c r="C262" t="s">
        <v>94</v>
      </c>
      <c r="D262">
        <v>50</v>
      </c>
      <c r="E262" t="s">
        <v>185</v>
      </c>
      <c r="F262" t="s">
        <v>69</v>
      </c>
      <c r="G262" t="s">
        <v>70</v>
      </c>
      <c r="H262">
        <v>2</v>
      </c>
      <c r="I262">
        <v>50</v>
      </c>
      <c r="J262">
        <v>1.6</v>
      </c>
      <c r="K262" t="s">
        <v>155</v>
      </c>
      <c r="L262" s="1">
        <v>0.89</v>
      </c>
    </row>
    <row r="263" spans="1:12" x14ac:dyDescent="0.35">
      <c r="A263" t="s">
        <v>600</v>
      </c>
      <c r="B263" t="s">
        <v>601</v>
      </c>
      <c r="C263" t="s">
        <v>74</v>
      </c>
      <c r="D263">
        <v>28</v>
      </c>
      <c r="E263" t="s">
        <v>131</v>
      </c>
      <c r="F263" t="s">
        <v>132</v>
      </c>
      <c r="G263" t="s">
        <v>30</v>
      </c>
      <c r="H263">
        <v>1</v>
      </c>
      <c r="I263">
        <v>20</v>
      </c>
      <c r="J263">
        <v>3.6</v>
      </c>
      <c r="K263" t="s">
        <v>65</v>
      </c>
      <c r="L263" s="1">
        <v>0.94</v>
      </c>
    </row>
    <row r="264" spans="1:12" x14ac:dyDescent="0.35">
      <c r="A264" t="s">
        <v>602</v>
      </c>
      <c r="B264" t="s">
        <v>603</v>
      </c>
      <c r="C264" t="s">
        <v>94</v>
      </c>
      <c r="D264">
        <v>48</v>
      </c>
      <c r="E264" t="s">
        <v>15</v>
      </c>
      <c r="F264" t="s">
        <v>16</v>
      </c>
      <c r="G264" t="s">
        <v>35</v>
      </c>
      <c r="H264">
        <v>23</v>
      </c>
      <c r="J264">
        <v>2.1</v>
      </c>
      <c r="K264">
        <v>0</v>
      </c>
      <c r="L264" s="1">
        <v>0.68</v>
      </c>
    </row>
    <row r="265" spans="1:12" x14ac:dyDescent="0.35">
      <c r="A265" t="s">
        <v>604</v>
      </c>
      <c r="B265" t="s">
        <v>605</v>
      </c>
      <c r="C265" t="s">
        <v>94</v>
      </c>
      <c r="D265">
        <v>42</v>
      </c>
      <c r="E265" t="s">
        <v>28</v>
      </c>
      <c r="F265" t="s">
        <v>29</v>
      </c>
      <c r="G265" t="s">
        <v>86</v>
      </c>
      <c r="H265">
        <v>8</v>
      </c>
      <c r="I265">
        <v>30</v>
      </c>
      <c r="J265">
        <v>3.6</v>
      </c>
      <c r="K265">
        <v>1</v>
      </c>
      <c r="L265" s="1">
        <v>0.96</v>
      </c>
    </row>
    <row r="266" spans="1:12" x14ac:dyDescent="0.35">
      <c r="A266" t="s">
        <v>606</v>
      </c>
      <c r="B266" t="s">
        <v>607</v>
      </c>
      <c r="C266" t="s">
        <v>74</v>
      </c>
      <c r="D266">
        <v>37</v>
      </c>
      <c r="E266" t="s">
        <v>124</v>
      </c>
      <c r="F266" t="s">
        <v>22</v>
      </c>
      <c r="G266" t="s">
        <v>49</v>
      </c>
      <c r="H266">
        <v>6</v>
      </c>
      <c r="I266" s="2">
        <v>20</v>
      </c>
      <c r="J266">
        <v>2.7</v>
      </c>
      <c r="K266" t="b">
        <v>1</v>
      </c>
      <c r="L266" s="1">
        <v>0.91</v>
      </c>
    </row>
    <row r="267" spans="1:12" x14ac:dyDescent="0.35">
      <c r="A267" t="s">
        <v>608</v>
      </c>
      <c r="B267" t="s">
        <v>609</v>
      </c>
      <c r="C267" t="s">
        <v>94</v>
      </c>
      <c r="D267">
        <v>21</v>
      </c>
      <c r="E267" t="s">
        <v>90</v>
      </c>
      <c r="F267" t="s">
        <v>91</v>
      </c>
      <c r="G267" t="s">
        <v>17</v>
      </c>
      <c r="H267">
        <v>1</v>
      </c>
      <c r="I267">
        <v>100</v>
      </c>
      <c r="J267">
        <v>2.1</v>
      </c>
      <c r="K267">
        <v>1</v>
      </c>
      <c r="L267" s="1">
        <v>0.92</v>
      </c>
    </row>
    <row r="268" spans="1:12" x14ac:dyDescent="0.35">
      <c r="A268" t="s">
        <v>610</v>
      </c>
      <c r="B268" t="s">
        <v>611</v>
      </c>
      <c r="C268" t="s">
        <v>59</v>
      </c>
      <c r="D268">
        <v>50</v>
      </c>
      <c r="E268" t="s">
        <v>109</v>
      </c>
      <c r="F268" t="s">
        <v>110</v>
      </c>
      <c r="G268" t="s">
        <v>35</v>
      </c>
      <c r="H268">
        <v>19</v>
      </c>
      <c r="I268" s="2">
        <v>40</v>
      </c>
      <c r="J268">
        <v>4.9000000000000004</v>
      </c>
      <c r="L268" s="1">
        <v>0.82</v>
      </c>
    </row>
    <row r="269" spans="1:12" x14ac:dyDescent="0.35">
      <c r="A269" t="s">
        <v>612</v>
      </c>
      <c r="B269" t="s">
        <v>613</v>
      </c>
      <c r="C269" t="s">
        <v>34</v>
      </c>
      <c r="D269">
        <v>22</v>
      </c>
      <c r="E269" t="s">
        <v>68</v>
      </c>
      <c r="F269" t="s">
        <v>69</v>
      </c>
      <c r="G269" t="s">
        <v>43</v>
      </c>
      <c r="H269">
        <v>2</v>
      </c>
      <c r="I269">
        <v>30</v>
      </c>
      <c r="J269">
        <v>2.1</v>
      </c>
    </row>
    <row r="270" spans="1:12" x14ac:dyDescent="0.35">
      <c r="A270" t="s">
        <v>614</v>
      </c>
      <c r="B270" t="s">
        <v>615</v>
      </c>
      <c r="C270" t="s">
        <v>74</v>
      </c>
      <c r="D270">
        <v>39</v>
      </c>
      <c r="E270" t="s">
        <v>82</v>
      </c>
      <c r="F270" t="s">
        <v>83</v>
      </c>
      <c r="G270" t="s">
        <v>35</v>
      </c>
      <c r="H270">
        <v>21</v>
      </c>
      <c r="I270">
        <v>100</v>
      </c>
      <c r="J270">
        <v>0</v>
      </c>
      <c r="K270" t="s">
        <v>155</v>
      </c>
      <c r="L270" s="1">
        <v>0.91</v>
      </c>
    </row>
    <row r="271" spans="1:12" x14ac:dyDescent="0.35">
      <c r="A271" t="s">
        <v>616</v>
      </c>
      <c r="B271" t="s">
        <v>617</v>
      </c>
      <c r="C271" t="s">
        <v>74</v>
      </c>
      <c r="D271">
        <v>25</v>
      </c>
      <c r="E271" t="s">
        <v>82</v>
      </c>
      <c r="F271" t="s">
        <v>83</v>
      </c>
      <c r="G271" t="s">
        <v>111</v>
      </c>
      <c r="H271">
        <v>3</v>
      </c>
      <c r="I271" s="2">
        <v>50</v>
      </c>
      <c r="J271">
        <v>2.8</v>
      </c>
      <c r="K271" t="s">
        <v>65</v>
      </c>
      <c r="L271">
        <v>86</v>
      </c>
    </row>
    <row r="272" spans="1:12" x14ac:dyDescent="0.35">
      <c r="A272" t="s">
        <v>618</v>
      </c>
      <c r="B272" t="s">
        <v>619</v>
      </c>
      <c r="C272" t="s">
        <v>20</v>
      </c>
      <c r="D272">
        <v>47</v>
      </c>
      <c r="E272" t="s">
        <v>149</v>
      </c>
      <c r="F272" t="s">
        <v>150</v>
      </c>
      <c r="G272" t="s">
        <v>23</v>
      </c>
      <c r="H272">
        <v>14</v>
      </c>
      <c r="K272" t="b">
        <v>0</v>
      </c>
      <c r="L272" s="1">
        <v>0.69</v>
      </c>
    </row>
    <row r="273" spans="1:12" x14ac:dyDescent="0.35">
      <c r="A273" t="s">
        <v>620</v>
      </c>
      <c r="B273" t="s">
        <v>621</v>
      </c>
      <c r="C273" t="s">
        <v>14</v>
      </c>
      <c r="D273">
        <v>35</v>
      </c>
      <c r="E273" t="s">
        <v>149</v>
      </c>
      <c r="F273" t="s">
        <v>150</v>
      </c>
      <c r="G273" t="s">
        <v>70</v>
      </c>
      <c r="H273">
        <v>10</v>
      </c>
      <c r="I273" t="s">
        <v>24</v>
      </c>
      <c r="J273">
        <v>4.7</v>
      </c>
      <c r="K273" t="b">
        <v>1</v>
      </c>
      <c r="L273" s="1">
        <v>0.84</v>
      </c>
    </row>
    <row r="274" spans="1:12" x14ac:dyDescent="0.35">
      <c r="A274" t="s">
        <v>622</v>
      </c>
      <c r="B274" t="s">
        <v>623</v>
      </c>
      <c r="C274" t="s">
        <v>14</v>
      </c>
      <c r="E274" t="s">
        <v>64</v>
      </c>
      <c r="F274" t="s">
        <v>22</v>
      </c>
      <c r="G274" t="s">
        <v>75</v>
      </c>
      <c r="H274">
        <v>5</v>
      </c>
      <c r="I274">
        <v>100</v>
      </c>
      <c r="J274">
        <v>1.3</v>
      </c>
      <c r="K274">
        <v>0</v>
      </c>
      <c r="L274" s="1">
        <v>0.6</v>
      </c>
    </row>
    <row r="275" spans="1:12" x14ac:dyDescent="0.35">
      <c r="A275" t="s">
        <v>624</v>
      </c>
      <c r="B275" t="s">
        <v>625</v>
      </c>
      <c r="C275" t="s">
        <v>27</v>
      </c>
      <c r="D275">
        <v>35</v>
      </c>
      <c r="E275" t="s">
        <v>41</v>
      </c>
      <c r="F275" t="s">
        <v>42</v>
      </c>
      <c r="G275" t="s">
        <v>17</v>
      </c>
      <c r="H275">
        <v>6</v>
      </c>
      <c r="I275" t="s">
        <v>50</v>
      </c>
      <c r="J275">
        <v>1.6</v>
      </c>
      <c r="K275">
        <v>1</v>
      </c>
      <c r="L275" s="1">
        <v>0.97</v>
      </c>
    </row>
    <row r="276" spans="1:12" x14ac:dyDescent="0.35">
      <c r="A276" t="s">
        <v>626</v>
      </c>
      <c r="B276" t="s">
        <v>627</v>
      </c>
      <c r="C276" t="s">
        <v>94</v>
      </c>
      <c r="D276">
        <v>59</v>
      </c>
      <c r="E276" t="s">
        <v>131</v>
      </c>
      <c r="F276" t="s">
        <v>132</v>
      </c>
      <c r="G276" t="s">
        <v>35</v>
      </c>
      <c r="H276">
        <v>21</v>
      </c>
      <c r="I276">
        <v>100</v>
      </c>
      <c r="J276">
        <v>0</v>
      </c>
      <c r="L276" s="1">
        <v>0.7</v>
      </c>
    </row>
    <row r="277" spans="1:12" x14ac:dyDescent="0.35">
      <c r="A277" t="s">
        <v>628</v>
      </c>
      <c r="B277" t="s">
        <v>629</v>
      </c>
      <c r="C277" t="s">
        <v>20</v>
      </c>
      <c r="D277">
        <v>26</v>
      </c>
      <c r="E277" t="s">
        <v>170</v>
      </c>
      <c r="F277" t="s">
        <v>171</v>
      </c>
      <c r="G277" t="s">
        <v>70</v>
      </c>
      <c r="H277">
        <v>4</v>
      </c>
      <c r="I277" t="s">
        <v>24</v>
      </c>
      <c r="J277">
        <v>3.6</v>
      </c>
      <c r="K277" t="s">
        <v>155</v>
      </c>
      <c r="L277" s="1">
        <v>0.81</v>
      </c>
    </row>
    <row r="278" spans="1:12" x14ac:dyDescent="0.35">
      <c r="A278" t="s">
        <v>630</v>
      </c>
      <c r="B278" t="s">
        <v>631</v>
      </c>
      <c r="C278" t="s">
        <v>59</v>
      </c>
      <c r="D278">
        <v>44</v>
      </c>
      <c r="E278" t="s">
        <v>120</v>
      </c>
      <c r="F278" t="s">
        <v>121</v>
      </c>
      <c r="G278" t="s">
        <v>111</v>
      </c>
      <c r="H278">
        <v>18</v>
      </c>
      <c r="I278">
        <v>20</v>
      </c>
      <c r="J278">
        <v>4.7</v>
      </c>
      <c r="K278">
        <v>1</v>
      </c>
      <c r="L278" s="1">
        <v>0.88</v>
      </c>
    </row>
    <row r="279" spans="1:12" x14ac:dyDescent="0.35">
      <c r="A279" t="s">
        <v>632</v>
      </c>
      <c r="B279" t="s">
        <v>633</v>
      </c>
      <c r="C279" t="s">
        <v>74</v>
      </c>
      <c r="D279">
        <v>31</v>
      </c>
      <c r="E279" t="s">
        <v>149</v>
      </c>
      <c r="F279" t="s">
        <v>150</v>
      </c>
      <c r="G279" t="s">
        <v>70</v>
      </c>
      <c r="H279">
        <v>12</v>
      </c>
      <c r="I279" s="2">
        <v>40</v>
      </c>
      <c r="K279">
        <v>1</v>
      </c>
      <c r="L279" s="1">
        <v>1</v>
      </c>
    </row>
    <row r="280" spans="1:12" x14ac:dyDescent="0.35">
      <c r="A280" t="s">
        <v>634</v>
      </c>
      <c r="B280" t="s">
        <v>635</v>
      </c>
      <c r="C280" t="s">
        <v>27</v>
      </c>
      <c r="D280">
        <v>60</v>
      </c>
      <c r="E280" t="s">
        <v>60</v>
      </c>
      <c r="F280" t="s">
        <v>61</v>
      </c>
      <c r="G280" t="s">
        <v>49</v>
      </c>
      <c r="H280">
        <v>6</v>
      </c>
      <c r="J280">
        <v>3.2</v>
      </c>
      <c r="K280">
        <v>0</v>
      </c>
      <c r="L280">
        <v>95</v>
      </c>
    </row>
    <row r="281" spans="1:12" x14ac:dyDescent="0.35">
      <c r="A281" t="s">
        <v>636</v>
      </c>
      <c r="B281" t="s">
        <v>637</v>
      </c>
      <c r="C281" t="s">
        <v>38</v>
      </c>
      <c r="D281">
        <v>23</v>
      </c>
      <c r="E281" t="s">
        <v>64</v>
      </c>
      <c r="F281" t="s">
        <v>22</v>
      </c>
      <c r="G281" t="s">
        <v>17</v>
      </c>
      <c r="H281">
        <v>4</v>
      </c>
      <c r="I281" t="s">
        <v>308</v>
      </c>
      <c r="K281">
        <v>0</v>
      </c>
      <c r="L281" s="1">
        <v>0.71</v>
      </c>
    </row>
    <row r="282" spans="1:12" x14ac:dyDescent="0.35">
      <c r="A282" t="s">
        <v>638</v>
      </c>
      <c r="B282" t="s">
        <v>639</v>
      </c>
      <c r="C282" t="s">
        <v>89</v>
      </c>
      <c r="D282">
        <v>42</v>
      </c>
      <c r="E282" t="s">
        <v>47</v>
      </c>
      <c r="F282" t="s">
        <v>48</v>
      </c>
      <c r="G282" t="s">
        <v>70</v>
      </c>
      <c r="H282">
        <v>13</v>
      </c>
      <c r="I282" s="2">
        <v>20</v>
      </c>
      <c r="J282">
        <v>4.7</v>
      </c>
      <c r="K282" t="s">
        <v>31</v>
      </c>
      <c r="L282" s="1">
        <v>0.85</v>
      </c>
    </row>
    <row r="283" spans="1:12" x14ac:dyDescent="0.35">
      <c r="A283" t="s">
        <v>640</v>
      </c>
      <c r="B283" t="s">
        <v>641</v>
      </c>
      <c r="C283" t="s">
        <v>14</v>
      </c>
      <c r="D283">
        <v>48</v>
      </c>
      <c r="E283" t="s">
        <v>90</v>
      </c>
      <c r="F283" t="s">
        <v>91</v>
      </c>
      <c r="G283" t="s">
        <v>23</v>
      </c>
      <c r="H283">
        <v>6</v>
      </c>
      <c r="I283">
        <v>30</v>
      </c>
      <c r="K283" t="s">
        <v>31</v>
      </c>
      <c r="L283" s="1">
        <v>0.96</v>
      </c>
    </row>
    <row r="284" spans="1:12" x14ac:dyDescent="0.35">
      <c r="A284" t="s">
        <v>642</v>
      </c>
      <c r="B284" t="s">
        <v>643</v>
      </c>
      <c r="C284" t="s">
        <v>46</v>
      </c>
      <c r="D284">
        <v>42</v>
      </c>
      <c r="E284" t="s">
        <v>41</v>
      </c>
      <c r="F284" t="s">
        <v>42</v>
      </c>
      <c r="G284" t="s">
        <v>30</v>
      </c>
      <c r="H284">
        <v>10</v>
      </c>
      <c r="I284" t="s">
        <v>308</v>
      </c>
      <c r="J284">
        <v>2.4</v>
      </c>
      <c r="K284" t="s">
        <v>71</v>
      </c>
      <c r="L284" s="1">
        <v>0.92</v>
      </c>
    </row>
    <row r="285" spans="1:12" x14ac:dyDescent="0.35">
      <c r="A285" t="s">
        <v>644</v>
      </c>
      <c r="B285" t="s">
        <v>645</v>
      </c>
      <c r="C285" t="s">
        <v>89</v>
      </c>
      <c r="D285">
        <v>52</v>
      </c>
      <c r="E285" t="s">
        <v>109</v>
      </c>
      <c r="F285" t="s">
        <v>110</v>
      </c>
      <c r="G285" t="s">
        <v>75</v>
      </c>
      <c r="H285">
        <v>20</v>
      </c>
      <c r="I285">
        <v>50</v>
      </c>
      <c r="K285" t="b">
        <v>0</v>
      </c>
      <c r="L285" s="1">
        <v>0.79</v>
      </c>
    </row>
    <row r="286" spans="1:12" x14ac:dyDescent="0.35">
      <c r="A286" t="s">
        <v>646</v>
      </c>
      <c r="B286" t="s">
        <v>647</v>
      </c>
      <c r="C286" t="s">
        <v>38</v>
      </c>
      <c r="D286">
        <v>55</v>
      </c>
      <c r="E286" t="s">
        <v>82</v>
      </c>
      <c r="F286" t="s">
        <v>83</v>
      </c>
      <c r="G286" t="s">
        <v>35</v>
      </c>
      <c r="H286">
        <v>20</v>
      </c>
      <c r="I286">
        <v>75</v>
      </c>
      <c r="J286">
        <v>2.9</v>
      </c>
      <c r="K286" t="b">
        <v>0</v>
      </c>
    </row>
    <row r="287" spans="1:12" x14ac:dyDescent="0.35">
      <c r="A287" t="s">
        <v>648</v>
      </c>
      <c r="B287" t="s">
        <v>649</v>
      </c>
      <c r="C287" t="s">
        <v>14</v>
      </c>
      <c r="D287">
        <v>58</v>
      </c>
      <c r="E287" t="s">
        <v>149</v>
      </c>
      <c r="F287" t="s">
        <v>150</v>
      </c>
      <c r="G287" t="s">
        <v>75</v>
      </c>
      <c r="H287">
        <v>11</v>
      </c>
      <c r="I287">
        <v>50</v>
      </c>
      <c r="J287">
        <v>0</v>
      </c>
      <c r="K287">
        <v>0</v>
      </c>
    </row>
    <row r="288" spans="1:12" x14ac:dyDescent="0.35">
      <c r="A288" t="s">
        <v>650</v>
      </c>
      <c r="B288" t="s">
        <v>651</v>
      </c>
      <c r="C288" t="s">
        <v>20</v>
      </c>
      <c r="D288">
        <v>46</v>
      </c>
      <c r="E288" t="s">
        <v>109</v>
      </c>
      <c r="F288" t="s">
        <v>110</v>
      </c>
      <c r="G288" t="s">
        <v>111</v>
      </c>
      <c r="H288">
        <v>12</v>
      </c>
      <c r="I288">
        <v>20</v>
      </c>
      <c r="J288">
        <v>0</v>
      </c>
      <c r="K288" t="b">
        <v>0</v>
      </c>
      <c r="L288" s="1">
        <v>0.89</v>
      </c>
    </row>
    <row r="289" spans="1:12" x14ac:dyDescent="0.35">
      <c r="A289" t="s">
        <v>652</v>
      </c>
      <c r="B289" t="s">
        <v>653</v>
      </c>
      <c r="C289" t="s">
        <v>20</v>
      </c>
      <c r="D289">
        <v>45</v>
      </c>
      <c r="E289" t="s">
        <v>185</v>
      </c>
      <c r="F289" t="s">
        <v>69</v>
      </c>
      <c r="G289" t="s">
        <v>111</v>
      </c>
      <c r="H289">
        <v>1</v>
      </c>
      <c r="I289">
        <v>100</v>
      </c>
      <c r="J289">
        <v>1.5</v>
      </c>
      <c r="K289">
        <v>1</v>
      </c>
      <c r="L289" s="1">
        <v>1</v>
      </c>
    </row>
    <row r="290" spans="1:12" x14ac:dyDescent="0.35">
      <c r="A290" t="s">
        <v>654</v>
      </c>
      <c r="B290" t="s">
        <v>655</v>
      </c>
      <c r="C290" t="s">
        <v>20</v>
      </c>
      <c r="D290">
        <v>56</v>
      </c>
      <c r="E290" t="s">
        <v>90</v>
      </c>
      <c r="F290" t="s">
        <v>91</v>
      </c>
      <c r="G290" t="s">
        <v>111</v>
      </c>
      <c r="H290">
        <v>2</v>
      </c>
      <c r="I290">
        <v>30</v>
      </c>
      <c r="J290">
        <v>1.9</v>
      </c>
      <c r="K290">
        <v>1</v>
      </c>
      <c r="L290" s="1">
        <v>0.81</v>
      </c>
    </row>
    <row r="291" spans="1:12" x14ac:dyDescent="0.35">
      <c r="A291" t="s">
        <v>656</v>
      </c>
      <c r="B291" t="s">
        <v>657</v>
      </c>
      <c r="C291" t="s">
        <v>27</v>
      </c>
      <c r="D291">
        <v>44</v>
      </c>
      <c r="E291" t="s">
        <v>64</v>
      </c>
      <c r="F291" t="s">
        <v>22</v>
      </c>
      <c r="G291" t="s">
        <v>17</v>
      </c>
      <c r="H291">
        <v>13</v>
      </c>
      <c r="I291">
        <v>100</v>
      </c>
      <c r="J291">
        <v>3.1</v>
      </c>
      <c r="K291" t="s">
        <v>71</v>
      </c>
      <c r="L291">
        <v>95</v>
      </c>
    </row>
    <row r="292" spans="1:12" x14ac:dyDescent="0.35">
      <c r="A292" t="s">
        <v>658</v>
      </c>
      <c r="B292" t="s">
        <v>659</v>
      </c>
      <c r="C292" t="s">
        <v>94</v>
      </c>
      <c r="D292">
        <v>46</v>
      </c>
      <c r="E292" t="s">
        <v>47</v>
      </c>
      <c r="F292" t="s">
        <v>48</v>
      </c>
      <c r="G292" t="s">
        <v>70</v>
      </c>
      <c r="H292">
        <v>0</v>
      </c>
      <c r="J292">
        <v>1.8</v>
      </c>
      <c r="K292" t="s">
        <v>31</v>
      </c>
      <c r="L292" s="1">
        <v>0.88</v>
      </c>
    </row>
    <row r="293" spans="1:12" x14ac:dyDescent="0.35">
      <c r="A293" t="s">
        <v>660</v>
      </c>
      <c r="B293" t="s">
        <v>661</v>
      </c>
      <c r="C293" t="s">
        <v>74</v>
      </c>
      <c r="D293">
        <v>27</v>
      </c>
      <c r="E293" t="s">
        <v>82</v>
      </c>
      <c r="F293" t="s">
        <v>83</v>
      </c>
      <c r="G293" t="s">
        <v>35</v>
      </c>
      <c r="H293">
        <v>7</v>
      </c>
      <c r="I293">
        <v>30</v>
      </c>
      <c r="J293">
        <v>2.4</v>
      </c>
      <c r="K293" t="s">
        <v>65</v>
      </c>
      <c r="L293" s="1">
        <v>0.66</v>
      </c>
    </row>
    <row r="294" spans="1:12" x14ac:dyDescent="0.35">
      <c r="A294" t="s">
        <v>662</v>
      </c>
      <c r="B294" t="s">
        <v>663</v>
      </c>
      <c r="C294" t="s">
        <v>20</v>
      </c>
      <c r="D294">
        <v>49</v>
      </c>
      <c r="E294" t="s">
        <v>90</v>
      </c>
      <c r="F294" t="s">
        <v>91</v>
      </c>
      <c r="G294" t="s">
        <v>17</v>
      </c>
      <c r="H294">
        <v>13</v>
      </c>
      <c r="I294">
        <v>100</v>
      </c>
      <c r="J294">
        <v>4.2</v>
      </c>
      <c r="K294">
        <v>1</v>
      </c>
      <c r="L294" s="1">
        <v>0.84</v>
      </c>
    </row>
    <row r="295" spans="1:12" x14ac:dyDescent="0.35">
      <c r="A295" t="s">
        <v>664</v>
      </c>
      <c r="B295" t="s">
        <v>665</v>
      </c>
      <c r="C295" t="s">
        <v>94</v>
      </c>
      <c r="D295">
        <v>53</v>
      </c>
      <c r="E295" t="s">
        <v>174</v>
      </c>
      <c r="F295" t="s">
        <v>69</v>
      </c>
      <c r="G295" t="s">
        <v>35</v>
      </c>
      <c r="H295">
        <v>21</v>
      </c>
      <c r="I295" s="2">
        <v>50</v>
      </c>
      <c r="J295">
        <v>1.4</v>
      </c>
      <c r="K295" t="s">
        <v>31</v>
      </c>
    </row>
    <row r="296" spans="1:12" x14ac:dyDescent="0.35">
      <c r="A296" t="s">
        <v>666</v>
      </c>
      <c r="B296" t="s">
        <v>667</v>
      </c>
      <c r="C296" t="s">
        <v>94</v>
      </c>
      <c r="D296">
        <v>56</v>
      </c>
      <c r="E296" t="s">
        <v>21</v>
      </c>
      <c r="F296" t="s">
        <v>22</v>
      </c>
      <c r="G296" t="s">
        <v>35</v>
      </c>
      <c r="H296">
        <v>19</v>
      </c>
      <c r="I296">
        <v>40</v>
      </c>
      <c r="J296">
        <v>1.2</v>
      </c>
      <c r="K296" t="s">
        <v>71</v>
      </c>
      <c r="L296" s="1">
        <v>0.82</v>
      </c>
    </row>
    <row r="297" spans="1:12" x14ac:dyDescent="0.35">
      <c r="A297" t="s">
        <v>668</v>
      </c>
      <c r="B297" t="s">
        <v>669</v>
      </c>
      <c r="C297" t="s">
        <v>20</v>
      </c>
      <c r="D297">
        <v>56</v>
      </c>
      <c r="E297" t="s">
        <v>64</v>
      </c>
      <c r="F297" t="s">
        <v>22</v>
      </c>
      <c r="G297" t="s">
        <v>86</v>
      </c>
      <c r="H297">
        <v>34</v>
      </c>
      <c r="J297">
        <v>2.1</v>
      </c>
      <c r="K297" t="s">
        <v>65</v>
      </c>
      <c r="L297" s="1">
        <v>0.84</v>
      </c>
    </row>
    <row r="298" spans="1:12" x14ac:dyDescent="0.35">
      <c r="A298" t="s">
        <v>670</v>
      </c>
      <c r="B298" t="s">
        <v>671</v>
      </c>
      <c r="C298" t="s">
        <v>59</v>
      </c>
      <c r="D298">
        <v>38</v>
      </c>
      <c r="E298" t="s">
        <v>149</v>
      </c>
      <c r="F298" t="s">
        <v>150</v>
      </c>
      <c r="G298" t="s">
        <v>49</v>
      </c>
      <c r="H298">
        <v>3</v>
      </c>
      <c r="I298">
        <v>100</v>
      </c>
      <c r="J298">
        <v>1.4</v>
      </c>
      <c r="K298" t="b">
        <v>0</v>
      </c>
      <c r="L298" s="1">
        <v>0.73</v>
      </c>
    </row>
    <row r="299" spans="1:12" x14ac:dyDescent="0.35">
      <c r="A299" t="s">
        <v>672</v>
      </c>
      <c r="B299" t="s">
        <v>673</v>
      </c>
      <c r="C299" t="s">
        <v>89</v>
      </c>
      <c r="D299">
        <v>20</v>
      </c>
      <c r="E299" t="s">
        <v>109</v>
      </c>
      <c r="F299" t="s">
        <v>110</v>
      </c>
      <c r="G299" t="s">
        <v>23</v>
      </c>
      <c r="H299">
        <v>0</v>
      </c>
      <c r="I299">
        <v>30</v>
      </c>
      <c r="J299">
        <v>3.8</v>
      </c>
      <c r="L299" s="1">
        <v>0.93</v>
      </c>
    </row>
    <row r="300" spans="1:12" x14ac:dyDescent="0.35">
      <c r="A300" t="s">
        <v>674</v>
      </c>
      <c r="B300" t="s">
        <v>675</v>
      </c>
      <c r="C300" t="s">
        <v>38</v>
      </c>
      <c r="D300">
        <v>38</v>
      </c>
      <c r="E300" t="s">
        <v>124</v>
      </c>
      <c r="F300" t="s">
        <v>22</v>
      </c>
      <c r="G300" t="s">
        <v>111</v>
      </c>
      <c r="H300">
        <v>20</v>
      </c>
      <c r="I300">
        <v>50</v>
      </c>
      <c r="J300">
        <v>0</v>
      </c>
      <c r="L300" s="1">
        <v>0.64</v>
      </c>
    </row>
    <row r="301" spans="1:12" x14ac:dyDescent="0.35">
      <c r="A301" t="s">
        <v>676</v>
      </c>
      <c r="B301" t="s">
        <v>677</v>
      </c>
      <c r="C301" t="s">
        <v>14</v>
      </c>
      <c r="E301" t="s">
        <v>41</v>
      </c>
      <c r="F301" t="s">
        <v>42</v>
      </c>
      <c r="G301" t="s">
        <v>23</v>
      </c>
      <c r="H301">
        <v>6</v>
      </c>
      <c r="I301">
        <v>40</v>
      </c>
      <c r="J301">
        <v>3.5</v>
      </c>
      <c r="K301">
        <v>0</v>
      </c>
      <c r="L301" s="1">
        <v>0.76</v>
      </c>
    </row>
    <row r="302" spans="1:12" x14ac:dyDescent="0.35">
      <c r="A302" t="s">
        <v>678</v>
      </c>
      <c r="B302" t="s">
        <v>679</v>
      </c>
      <c r="C302" t="s">
        <v>59</v>
      </c>
      <c r="D302">
        <v>46</v>
      </c>
      <c r="E302" t="s">
        <v>90</v>
      </c>
      <c r="F302" t="s">
        <v>91</v>
      </c>
      <c r="G302" t="s">
        <v>111</v>
      </c>
      <c r="H302">
        <v>13</v>
      </c>
      <c r="I302" s="2">
        <v>100</v>
      </c>
      <c r="J302">
        <v>0</v>
      </c>
      <c r="K302" t="s">
        <v>71</v>
      </c>
      <c r="L302" s="1">
        <v>0.97</v>
      </c>
    </row>
    <row r="303" spans="1:12" x14ac:dyDescent="0.35">
      <c r="A303" t="s">
        <v>680</v>
      </c>
      <c r="B303" t="s">
        <v>681</v>
      </c>
      <c r="C303" t="s">
        <v>94</v>
      </c>
      <c r="D303">
        <v>36</v>
      </c>
      <c r="E303" t="s">
        <v>149</v>
      </c>
      <c r="F303" t="s">
        <v>150</v>
      </c>
      <c r="G303" t="s">
        <v>49</v>
      </c>
      <c r="H303">
        <v>9</v>
      </c>
      <c r="I303">
        <v>75</v>
      </c>
      <c r="J303">
        <v>2.2000000000000002</v>
      </c>
      <c r="K303">
        <v>0</v>
      </c>
      <c r="L303" s="1">
        <v>0.95</v>
      </c>
    </row>
    <row r="304" spans="1:12" x14ac:dyDescent="0.35">
      <c r="A304" t="s">
        <v>682</v>
      </c>
      <c r="B304" t="s">
        <v>683</v>
      </c>
      <c r="C304" t="s">
        <v>94</v>
      </c>
      <c r="D304">
        <v>33</v>
      </c>
      <c r="E304" t="s">
        <v>120</v>
      </c>
      <c r="F304" t="s">
        <v>121</v>
      </c>
      <c r="G304" t="s">
        <v>35</v>
      </c>
      <c r="H304">
        <v>2</v>
      </c>
      <c r="I304">
        <v>75</v>
      </c>
      <c r="J304">
        <v>2.5</v>
      </c>
      <c r="K304" t="b">
        <v>0</v>
      </c>
      <c r="L304" s="1">
        <v>0.65</v>
      </c>
    </row>
    <row r="305" spans="1:12" x14ac:dyDescent="0.35">
      <c r="A305" t="s">
        <v>684</v>
      </c>
      <c r="B305" t="s">
        <v>685</v>
      </c>
      <c r="C305" t="s">
        <v>34</v>
      </c>
      <c r="D305">
        <v>37</v>
      </c>
      <c r="E305" t="s">
        <v>124</v>
      </c>
      <c r="F305" t="s">
        <v>22</v>
      </c>
      <c r="G305" t="s">
        <v>30</v>
      </c>
      <c r="H305">
        <v>0</v>
      </c>
      <c r="I305" t="s">
        <v>95</v>
      </c>
      <c r="J305">
        <v>4.7</v>
      </c>
      <c r="K305">
        <v>0</v>
      </c>
      <c r="L305" s="1">
        <v>0.77</v>
      </c>
    </row>
    <row r="306" spans="1:12" x14ac:dyDescent="0.35">
      <c r="A306" t="s">
        <v>686</v>
      </c>
      <c r="B306" t="s">
        <v>687</v>
      </c>
      <c r="C306" t="s">
        <v>94</v>
      </c>
      <c r="D306">
        <v>20</v>
      </c>
      <c r="E306" t="s">
        <v>135</v>
      </c>
      <c r="F306" t="s">
        <v>136</v>
      </c>
      <c r="G306" t="s">
        <v>49</v>
      </c>
      <c r="H306">
        <v>0</v>
      </c>
      <c r="I306">
        <v>20</v>
      </c>
      <c r="J306">
        <v>3.9</v>
      </c>
      <c r="K306" t="b">
        <v>0</v>
      </c>
    </row>
    <row r="307" spans="1:12" x14ac:dyDescent="0.35">
      <c r="A307" t="s">
        <v>688</v>
      </c>
      <c r="B307" t="s">
        <v>689</v>
      </c>
      <c r="C307" t="s">
        <v>20</v>
      </c>
      <c r="D307">
        <v>48</v>
      </c>
      <c r="E307" t="s">
        <v>170</v>
      </c>
      <c r="F307" t="s">
        <v>171</v>
      </c>
      <c r="G307" t="s">
        <v>49</v>
      </c>
      <c r="H307">
        <v>2</v>
      </c>
      <c r="I307">
        <v>75</v>
      </c>
      <c r="J307">
        <v>1.6</v>
      </c>
      <c r="K307" t="s">
        <v>31</v>
      </c>
      <c r="L307" s="1">
        <v>0.67</v>
      </c>
    </row>
    <row r="308" spans="1:12" x14ac:dyDescent="0.35">
      <c r="A308" t="s">
        <v>690</v>
      </c>
      <c r="B308" t="s">
        <v>691</v>
      </c>
      <c r="C308" t="s">
        <v>27</v>
      </c>
      <c r="D308">
        <v>27</v>
      </c>
      <c r="E308" t="s">
        <v>131</v>
      </c>
      <c r="F308" t="s">
        <v>132</v>
      </c>
      <c r="G308" t="s">
        <v>75</v>
      </c>
      <c r="H308">
        <v>2</v>
      </c>
      <c r="I308" s="2">
        <v>50</v>
      </c>
      <c r="K308">
        <v>0</v>
      </c>
      <c r="L308" s="1">
        <v>0.84</v>
      </c>
    </row>
    <row r="309" spans="1:12" x14ac:dyDescent="0.35">
      <c r="A309" t="s">
        <v>692</v>
      </c>
      <c r="B309" t="s">
        <v>693</v>
      </c>
      <c r="C309" t="s">
        <v>89</v>
      </c>
      <c r="D309">
        <v>34</v>
      </c>
      <c r="E309" t="s">
        <v>109</v>
      </c>
      <c r="F309" t="s">
        <v>110</v>
      </c>
      <c r="G309" t="s">
        <v>23</v>
      </c>
      <c r="H309">
        <v>1</v>
      </c>
      <c r="I309">
        <v>30</v>
      </c>
      <c r="J309">
        <v>3.6</v>
      </c>
      <c r="K309">
        <v>1</v>
      </c>
      <c r="L309" s="1">
        <v>0.87</v>
      </c>
    </row>
    <row r="310" spans="1:12" x14ac:dyDescent="0.35">
      <c r="A310" t="s">
        <v>694</v>
      </c>
      <c r="B310" t="s">
        <v>695</v>
      </c>
      <c r="C310" t="s">
        <v>94</v>
      </c>
      <c r="D310">
        <v>55</v>
      </c>
      <c r="E310" t="s">
        <v>104</v>
      </c>
      <c r="F310" t="s">
        <v>105</v>
      </c>
      <c r="G310" t="s">
        <v>111</v>
      </c>
      <c r="H310">
        <v>14</v>
      </c>
      <c r="I310" t="s">
        <v>106</v>
      </c>
      <c r="J310">
        <v>1.2</v>
      </c>
      <c r="K310" t="s">
        <v>65</v>
      </c>
      <c r="L310" s="1">
        <v>0.91</v>
      </c>
    </row>
    <row r="311" spans="1:12" x14ac:dyDescent="0.35">
      <c r="A311" t="s">
        <v>696</v>
      </c>
      <c r="B311" t="s">
        <v>697</v>
      </c>
      <c r="C311" t="s">
        <v>34</v>
      </c>
      <c r="D311">
        <v>44</v>
      </c>
      <c r="E311" t="s">
        <v>149</v>
      </c>
      <c r="F311" t="s">
        <v>150</v>
      </c>
      <c r="G311" t="s">
        <v>111</v>
      </c>
      <c r="H311">
        <v>14</v>
      </c>
      <c r="I311" t="s">
        <v>50</v>
      </c>
      <c r="J311">
        <v>3</v>
      </c>
      <c r="K311">
        <v>0</v>
      </c>
      <c r="L311" s="1">
        <v>0.78</v>
      </c>
    </row>
    <row r="312" spans="1:12" x14ac:dyDescent="0.35">
      <c r="A312" t="s">
        <v>698</v>
      </c>
      <c r="B312" t="s">
        <v>699</v>
      </c>
      <c r="C312" t="s">
        <v>27</v>
      </c>
      <c r="D312">
        <v>31</v>
      </c>
      <c r="E312" t="s">
        <v>41</v>
      </c>
      <c r="F312" t="s">
        <v>42</v>
      </c>
      <c r="G312" t="s">
        <v>70</v>
      </c>
      <c r="H312">
        <v>2</v>
      </c>
      <c r="I312">
        <v>50</v>
      </c>
      <c r="J312">
        <v>3.9</v>
      </c>
      <c r="K312">
        <v>0</v>
      </c>
    </row>
    <row r="313" spans="1:12" x14ac:dyDescent="0.35">
      <c r="A313" t="s">
        <v>700</v>
      </c>
      <c r="B313" t="s">
        <v>701</v>
      </c>
      <c r="C313" t="s">
        <v>46</v>
      </c>
      <c r="D313">
        <v>34</v>
      </c>
      <c r="E313" t="s">
        <v>21</v>
      </c>
      <c r="F313" t="s">
        <v>22</v>
      </c>
      <c r="G313" t="s">
        <v>86</v>
      </c>
      <c r="H313">
        <v>1</v>
      </c>
      <c r="I313">
        <v>40</v>
      </c>
      <c r="J313">
        <v>1.7</v>
      </c>
      <c r="L313">
        <v>74</v>
      </c>
    </row>
    <row r="314" spans="1:12" x14ac:dyDescent="0.35">
      <c r="A314" t="s">
        <v>702</v>
      </c>
      <c r="B314" t="s">
        <v>703</v>
      </c>
      <c r="C314" t="s">
        <v>34</v>
      </c>
      <c r="D314">
        <v>47</v>
      </c>
      <c r="E314" t="s">
        <v>104</v>
      </c>
      <c r="F314" t="s">
        <v>105</v>
      </c>
      <c r="G314" t="s">
        <v>86</v>
      </c>
      <c r="H314">
        <v>13</v>
      </c>
      <c r="I314">
        <v>20</v>
      </c>
      <c r="J314">
        <v>4.5</v>
      </c>
      <c r="L314" s="1">
        <v>0.91</v>
      </c>
    </row>
    <row r="315" spans="1:12" x14ac:dyDescent="0.35">
      <c r="A315" t="s">
        <v>704</v>
      </c>
      <c r="B315" t="s">
        <v>705</v>
      </c>
      <c r="C315" t="s">
        <v>46</v>
      </c>
      <c r="D315">
        <v>50</v>
      </c>
      <c r="E315" t="s">
        <v>56</v>
      </c>
      <c r="F315" t="s">
        <v>22</v>
      </c>
      <c r="G315" t="s">
        <v>30</v>
      </c>
      <c r="H315">
        <v>23</v>
      </c>
      <c r="I315" s="2">
        <v>40</v>
      </c>
      <c r="J315">
        <v>3.6</v>
      </c>
      <c r="K315" t="b">
        <v>1</v>
      </c>
      <c r="L315" s="1">
        <v>0.71</v>
      </c>
    </row>
    <row r="316" spans="1:12" x14ac:dyDescent="0.35">
      <c r="A316" t="s">
        <v>706</v>
      </c>
      <c r="B316" t="s">
        <v>707</v>
      </c>
      <c r="C316" t="s">
        <v>89</v>
      </c>
      <c r="D316">
        <v>39</v>
      </c>
      <c r="E316" t="s">
        <v>28</v>
      </c>
      <c r="F316" t="s">
        <v>29</v>
      </c>
      <c r="G316" t="s">
        <v>75</v>
      </c>
      <c r="I316" t="s">
        <v>50</v>
      </c>
      <c r="J316">
        <v>3.6</v>
      </c>
      <c r="K316" t="s">
        <v>71</v>
      </c>
      <c r="L316" s="1">
        <v>0.87</v>
      </c>
    </row>
    <row r="317" spans="1:12" x14ac:dyDescent="0.35">
      <c r="A317" t="s">
        <v>708</v>
      </c>
      <c r="B317" t="s">
        <v>709</v>
      </c>
      <c r="C317" t="s">
        <v>20</v>
      </c>
      <c r="D317">
        <v>26</v>
      </c>
      <c r="E317" t="s">
        <v>68</v>
      </c>
      <c r="F317" t="s">
        <v>69</v>
      </c>
      <c r="G317" t="s">
        <v>17</v>
      </c>
      <c r="H317">
        <v>3</v>
      </c>
      <c r="I317" t="s">
        <v>24</v>
      </c>
      <c r="J317">
        <v>2.8</v>
      </c>
      <c r="K317">
        <v>1</v>
      </c>
      <c r="L317" s="1">
        <v>0.61</v>
      </c>
    </row>
    <row r="318" spans="1:12" x14ac:dyDescent="0.35">
      <c r="A318" t="s">
        <v>710</v>
      </c>
      <c r="B318" t="s">
        <v>711</v>
      </c>
      <c r="C318" t="s">
        <v>89</v>
      </c>
      <c r="E318" t="s">
        <v>41</v>
      </c>
      <c r="F318" t="s">
        <v>42</v>
      </c>
      <c r="G318" t="s">
        <v>86</v>
      </c>
      <c r="H318">
        <v>0</v>
      </c>
      <c r="I318" s="2">
        <v>100</v>
      </c>
      <c r="J318">
        <v>5</v>
      </c>
      <c r="K318" t="s">
        <v>31</v>
      </c>
    </row>
    <row r="319" spans="1:12" x14ac:dyDescent="0.35">
      <c r="A319" t="s">
        <v>712</v>
      </c>
      <c r="B319" t="s">
        <v>713</v>
      </c>
      <c r="C319" t="s">
        <v>27</v>
      </c>
      <c r="D319">
        <v>32</v>
      </c>
      <c r="E319" t="s">
        <v>28</v>
      </c>
      <c r="F319" t="s">
        <v>29</v>
      </c>
      <c r="G319" t="s">
        <v>30</v>
      </c>
      <c r="H319">
        <v>0</v>
      </c>
      <c r="I319">
        <v>100</v>
      </c>
      <c r="J319">
        <v>1.4</v>
      </c>
      <c r="K319">
        <v>1</v>
      </c>
      <c r="L319" s="1">
        <v>0.81</v>
      </c>
    </row>
    <row r="320" spans="1:12" x14ac:dyDescent="0.35">
      <c r="A320" t="s">
        <v>714</v>
      </c>
      <c r="B320" t="s">
        <v>715</v>
      </c>
      <c r="C320" t="s">
        <v>74</v>
      </c>
      <c r="D320">
        <v>55</v>
      </c>
      <c r="E320" t="s">
        <v>120</v>
      </c>
      <c r="F320" t="s">
        <v>121</v>
      </c>
      <c r="G320" t="s">
        <v>49</v>
      </c>
      <c r="H320">
        <v>17</v>
      </c>
      <c r="I320">
        <v>30</v>
      </c>
    </row>
    <row r="321" spans="1:12" x14ac:dyDescent="0.35">
      <c r="A321" t="s">
        <v>716</v>
      </c>
      <c r="B321" t="s">
        <v>717</v>
      </c>
      <c r="C321" t="s">
        <v>89</v>
      </c>
      <c r="D321">
        <v>32</v>
      </c>
      <c r="E321" t="s">
        <v>68</v>
      </c>
      <c r="F321" t="s">
        <v>69</v>
      </c>
      <c r="G321" t="s">
        <v>111</v>
      </c>
      <c r="H321">
        <v>9</v>
      </c>
      <c r="I321" t="s">
        <v>53</v>
      </c>
      <c r="J321">
        <v>4.5999999999999996</v>
      </c>
      <c r="K321">
        <v>1</v>
      </c>
      <c r="L321" s="1">
        <v>0.84</v>
      </c>
    </row>
    <row r="322" spans="1:12" x14ac:dyDescent="0.35">
      <c r="A322" t="s">
        <v>718</v>
      </c>
      <c r="B322" t="s">
        <v>719</v>
      </c>
      <c r="C322" t="s">
        <v>46</v>
      </c>
      <c r="D322">
        <v>30</v>
      </c>
      <c r="E322" t="s">
        <v>109</v>
      </c>
      <c r="F322" t="s">
        <v>110</v>
      </c>
      <c r="G322" t="s">
        <v>17</v>
      </c>
      <c r="H322">
        <v>4</v>
      </c>
      <c r="I322" s="2">
        <v>20</v>
      </c>
      <c r="J322">
        <v>3.3</v>
      </c>
      <c r="K322" t="s">
        <v>155</v>
      </c>
    </row>
    <row r="323" spans="1:12" x14ac:dyDescent="0.35">
      <c r="A323" t="s">
        <v>720</v>
      </c>
      <c r="B323" t="s">
        <v>721</v>
      </c>
      <c r="C323" t="s">
        <v>38</v>
      </c>
      <c r="D323">
        <v>37</v>
      </c>
      <c r="E323" t="s">
        <v>124</v>
      </c>
      <c r="F323" t="s">
        <v>22</v>
      </c>
      <c r="G323" t="s">
        <v>75</v>
      </c>
      <c r="H323">
        <v>0</v>
      </c>
      <c r="I323" s="2">
        <v>40</v>
      </c>
      <c r="J323">
        <v>3.7</v>
      </c>
      <c r="K323">
        <v>1</v>
      </c>
    </row>
    <row r="324" spans="1:12" x14ac:dyDescent="0.35">
      <c r="A324" t="s">
        <v>722</v>
      </c>
      <c r="B324" t="s">
        <v>723</v>
      </c>
      <c r="C324" t="s">
        <v>89</v>
      </c>
      <c r="D324">
        <v>52</v>
      </c>
      <c r="E324" t="s">
        <v>104</v>
      </c>
      <c r="F324" t="s">
        <v>105</v>
      </c>
      <c r="G324" t="s">
        <v>30</v>
      </c>
      <c r="H324">
        <v>33</v>
      </c>
      <c r="J324">
        <v>0</v>
      </c>
      <c r="K324">
        <v>1</v>
      </c>
      <c r="L324" s="1">
        <v>0.6</v>
      </c>
    </row>
    <row r="325" spans="1:12" x14ac:dyDescent="0.35">
      <c r="A325" t="s">
        <v>724</v>
      </c>
      <c r="B325" t="s">
        <v>725</v>
      </c>
      <c r="C325" t="s">
        <v>94</v>
      </c>
      <c r="D325">
        <v>48</v>
      </c>
      <c r="E325" t="s">
        <v>90</v>
      </c>
      <c r="F325" t="s">
        <v>91</v>
      </c>
      <c r="G325" t="s">
        <v>75</v>
      </c>
      <c r="H325">
        <v>18</v>
      </c>
      <c r="I325">
        <v>50</v>
      </c>
      <c r="J325">
        <v>0</v>
      </c>
      <c r="K325" t="s">
        <v>71</v>
      </c>
      <c r="L325" s="1">
        <v>0.64</v>
      </c>
    </row>
    <row r="326" spans="1:12" x14ac:dyDescent="0.35">
      <c r="A326" t="s">
        <v>726</v>
      </c>
      <c r="B326" t="s">
        <v>727</v>
      </c>
      <c r="C326" t="s">
        <v>20</v>
      </c>
      <c r="D326">
        <v>28</v>
      </c>
      <c r="E326" t="s">
        <v>82</v>
      </c>
      <c r="F326" t="s">
        <v>83</v>
      </c>
      <c r="G326" t="s">
        <v>23</v>
      </c>
      <c r="H326">
        <v>9</v>
      </c>
      <c r="I326">
        <v>40</v>
      </c>
      <c r="K326">
        <v>1</v>
      </c>
      <c r="L326" s="1">
        <v>0.64</v>
      </c>
    </row>
    <row r="327" spans="1:12" x14ac:dyDescent="0.35">
      <c r="A327" t="s">
        <v>728</v>
      </c>
      <c r="B327" t="s">
        <v>729</v>
      </c>
      <c r="C327" t="s">
        <v>20</v>
      </c>
      <c r="D327">
        <v>58</v>
      </c>
      <c r="E327" t="s">
        <v>185</v>
      </c>
      <c r="F327" t="s">
        <v>69</v>
      </c>
      <c r="G327" t="s">
        <v>49</v>
      </c>
      <c r="H327">
        <v>40</v>
      </c>
      <c r="I327">
        <v>75</v>
      </c>
      <c r="J327">
        <v>3.4</v>
      </c>
      <c r="K327">
        <v>1</v>
      </c>
      <c r="L327" s="1">
        <v>1</v>
      </c>
    </row>
    <row r="328" spans="1:12" x14ac:dyDescent="0.35">
      <c r="A328" t="s">
        <v>730</v>
      </c>
      <c r="B328" t="s">
        <v>731</v>
      </c>
      <c r="C328" t="s">
        <v>27</v>
      </c>
      <c r="D328">
        <v>30</v>
      </c>
      <c r="E328" t="s">
        <v>68</v>
      </c>
      <c r="F328" t="s">
        <v>69</v>
      </c>
      <c r="G328" t="s">
        <v>35</v>
      </c>
      <c r="H328">
        <v>1</v>
      </c>
      <c r="I328">
        <v>40</v>
      </c>
      <c r="J328">
        <v>1.6</v>
      </c>
      <c r="K328" t="b">
        <v>1</v>
      </c>
      <c r="L328">
        <v>100</v>
      </c>
    </row>
    <row r="329" spans="1:12" x14ac:dyDescent="0.35">
      <c r="A329" t="s">
        <v>732</v>
      </c>
      <c r="B329" t="s">
        <v>733</v>
      </c>
      <c r="C329" t="s">
        <v>74</v>
      </c>
      <c r="D329">
        <v>47</v>
      </c>
      <c r="E329" t="s">
        <v>170</v>
      </c>
      <c r="F329" t="s">
        <v>171</v>
      </c>
      <c r="G329" t="s">
        <v>23</v>
      </c>
      <c r="H329">
        <v>5</v>
      </c>
      <c r="I329">
        <v>20</v>
      </c>
      <c r="J329">
        <v>1.9</v>
      </c>
      <c r="K329">
        <v>0</v>
      </c>
    </row>
    <row r="330" spans="1:12" x14ac:dyDescent="0.35">
      <c r="A330" t="s">
        <v>734</v>
      </c>
      <c r="B330" t="s">
        <v>735</v>
      </c>
      <c r="C330" t="s">
        <v>27</v>
      </c>
      <c r="D330">
        <v>44</v>
      </c>
      <c r="E330" t="s">
        <v>68</v>
      </c>
      <c r="F330" t="s">
        <v>69</v>
      </c>
      <c r="G330" t="s">
        <v>43</v>
      </c>
      <c r="H330">
        <v>4</v>
      </c>
      <c r="I330" s="2">
        <v>50</v>
      </c>
      <c r="J330">
        <v>0</v>
      </c>
      <c r="K330" t="b">
        <v>1</v>
      </c>
      <c r="L330" s="1">
        <v>0.83</v>
      </c>
    </row>
    <row r="331" spans="1:12" x14ac:dyDescent="0.35">
      <c r="A331" t="s">
        <v>736</v>
      </c>
      <c r="B331" t="s">
        <v>737</v>
      </c>
      <c r="C331" t="s">
        <v>89</v>
      </c>
      <c r="D331">
        <v>56</v>
      </c>
      <c r="E331" t="s">
        <v>15</v>
      </c>
      <c r="F331" t="s">
        <v>16</v>
      </c>
      <c r="G331" t="s">
        <v>111</v>
      </c>
      <c r="H331">
        <v>13</v>
      </c>
      <c r="I331" t="s">
        <v>53</v>
      </c>
      <c r="K331">
        <v>1</v>
      </c>
      <c r="L331" s="1">
        <v>0.87</v>
      </c>
    </row>
    <row r="332" spans="1:12" x14ac:dyDescent="0.35">
      <c r="A332" t="s">
        <v>738</v>
      </c>
      <c r="B332" t="s">
        <v>739</v>
      </c>
      <c r="C332" t="s">
        <v>74</v>
      </c>
      <c r="D332">
        <v>53</v>
      </c>
      <c r="E332" t="s">
        <v>56</v>
      </c>
      <c r="F332" t="s">
        <v>22</v>
      </c>
      <c r="G332" t="s">
        <v>23</v>
      </c>
      <c r="H332">
        <v>33</v>
      </c>
      <c r="I332" s="2">
        <v>100</v>
      </c>
      <c r="K332" t="s">
        <v>155</v>
      </c>
      <c r="L332" s="1">
        <v>0.75</v>
      </c>
    </row>
    <row r="333" spans="1:12" x14ac:dyDescent="0.35">
      <c r="A333" t="s">
        <v>740</v>
      </c>
      <c r="B333" t="s">
        <v>741</v>
      </c>
      <c r="C333" t="s">
        <v>59</v>
      </c>
      <c r="D333">
        <v>59</v>
      </c>
      <c r="E333" t="s">
        <v>64</v>
      </c>
      <c r="F333" t="s">
        <v>22</v>
      </c>
      <c r="G333" t="s">
        <v>23</v>
      </c>
      <c r="H333">
        <v>22</v>
      </c>
      <c r="I333">
        <v>40</v>
      </c>
      <c r="J333">
        <v>1.1000000000000001</v>
      </c>
      <c r="K333" t="s">
        <v>65</v>
      </c>
      <c r="L333" s="1">
        <v>0.61</v>
      </c>
    </row>
    <row r="334" spans="1:12" x14ac:dyDescent="0.35">
      <c r="A334" t="s">
        <v>742</v>
      </c>
      <c r="B334" t="s">
        <v>743</v>
      </c>
      <c r="C334" t="s">
        <v>89</v>
      </c>
      <c r="D334">
        <v>60</v>
      </c>
      <c r="E334" t="s">
        <v>56</v>
      </c>
      <c r="F334" t="s">
        <v>22</v>
      </c>
      <c r="G334" t="s">
        <v>86</v>
      </c>
      <c r="H334">
        <v>34</v>
      </c>
      <c r="J334">
        <v>2.5</v>
      </c>
      <c r="K334" t="b">
        <v>0</v>
      </c>
      <c r="L334" s="1">
        <v>0.93</v>
      </c>
    </row>
    <row r="335" spans="1:12" x14ac:dyDescent="0.35">
      <c r="A335" t="s">
        <v>744</v>
      </c>
      <c r="B335" t="s">
        <v>745</v>
      </c>
      <c r="C335" t="s">
        <v>20</v>
      </c>
      <c r="D335">
        <v>33</v>
      </c>
      <c r="E335" t="s">
        <v>28</v>
      </c>
      <c r="F335" t="s">
        <v>29</v>
      </c>
      <c r="G335" t="s">
        <v>23</v>
      </c>
      <c r="H335">
        <v>8</v>
      </c>
      <c r="I335" t="s">
        <v>106</v>
      </c>
      <c r="J335">
        <v>3.6</v>
      </c>
      <c r="K335">
        <v>1</v>
      </c>
    </row>
    <row r="336" spans="1:12" x14ac:dyDescent="0.35">
      <c r="A336" t="s">
        <v>746</v>
      </c>
      <c r="B336" t="s">
        <v>747</v>
      </c>
      <c r="C336" t="s">
        <v>74</v>
      </c>
      <c r="D336">
        <v>21</v>
      </c>
      <c r="E336" t="s">
        <v>68</v>
      </c>
      <c r="F336" t="s">
        <v>69</v>
      </c>
      <c r="G336" t="s">
        <v>35</v>
      </c>
      <c r="H336">
        <v>1</v>
      </c>
      <c r="I336" t="s">
        <v>308</v>
      </c>
      <c r="K336" t="b">
        <v>0</v>
      </c>
      <c r="L336" s="1">
        <v>0.99</v>
      </c>
    </row>
    <row r="337" spans="1:12" x14ac:dyDescent="0.35">
      <c r="A337" t="s">
        <v>748</v>
      </c>
      <c r="B337" t="s">
        <v>749</v>
      </c>
      <c r="C337" t="s">
        <v>27</v>
      </c>
      <c r="D337">
        <v>54</v>
      </c>
      <c r="E337" t="s">
        <v>64</v>
      </c>
      <c r="F337" t="s">
        <v>22</v>
      </c>
      <c r="G337" t="s">
        <v>70</v>
      </c>
      <c r="H337">
        <v>20</v>
      </c>
      <c r="I337">
        <v>50</v>
      </c>
      <c r="J337">
        <v>4.4000000000000004</v>
      </c>
      <c r="K337">
        <v>0</v>
      </c>
      <c r="L337">
        <v>73</v>
      </c>
    </row>
    <row r="338" spans="1:12" x14ac:dyDescent="0.35">
      <c r="A338" t="s">
        <v>750</v>
      </c>
      <c r="B338" t="s">
        <v>751</v>
      </c>
      <c r="C338" t="s">
        <v>74</v>
      </c>
      <c r="D338">
        <v>33</v>
      </c>
      <c r="E338" t="s">
        <v>56</v>
      </c>
      <c r="F338" t="s">
        <v>22</v>
      </c>
      <c r="G338" t="s">
        <v>30</v>
      </c>
      <c r="H338">
        <v>11</v>
      </c>
      <c r="I338">
        <v>75</v>
      </c>
      <c r="J338">
        <v>2.1</v>
      </c>
      <c r="K338">
        <v>0</v>
      </c>
      <c r="L338" s="1">
        <v>0.96</v>
      </c>
    </row>
    <row r="339" spans="1:12" x14ac:dyDescent="0.35">
      <c r="A339" t="s">
        <v>752</v>
      </c>
      <c r="B339" t="s">
        <v>753</v>
      </c>
      <c r="C339" t="s">
        <v>74</v>
      </c>
      <c r="D339">
        <v>57</v>
      </c>
      <c r="E339" t="s">
        <v>60</v>
      </c>
      <c r="F339" t="s">
        <v>61</v>
      </c>
      <c r="G339" t="s">
        <v>49</v>
      </c>
      <c r="H339">
        <v>2</v>
      </c>
      <c r="I339">
        <v>40</v>
      </c>
      <c r="J339">
        <v>0</v>
      </c>
      <c r="K339" t="b">
        <v>0</v>
      </c>
      <c r="L339" s="1">
        <v>0.6</v>
      </c>
    </row>
    <row r="340" spans="1:12" x14ac:dyDescent="0.35">
      <c r="A340" t="s">
        <v>754</v>
      </c>
      <c r="B340" t="s">
        <v>755</v>
      </c>
      <c r="C340" t="s">
        <v>89</v>
      </c>
      <c r="D340">
        <v>36</v>
      </c>
      <c r="E340" t="s">
        <v>109</v>
      </c>
      <c r="F340" t="s">
        <v>110</v>
      </c>
      <c r="G340" t="s">
        <v>30</v>
      </c>
      <c r="H340">
        <v>6</v>
      </c>
      <c r="I340">
        <v>20</v>
      </c>
      <c r="J340">
        <v>1</v>
      </c>
      <c r="K340" t="s">
        <v>71</v>
      </c>
      <c r="L340" s="1">
        <v>0.64</v>
      </c>
    </row>
    <row r="341" spans="1:12" x14ac:dyDescent="0.35">
      <c r="A341" t="s">
        <v>756</v>
      </c>
      <c r="B341" t="s">
        <v>757</v>
      </c>
      <c r="C341" t="s">
        <v>94</v>
      </c>
      <c r="D341">
        <v>50</v>
      </c>
      <c r="E341" t="s">
        <v>28</v>
      </c>
      <c r="F341" t="s">
        <v>29</v>
      </c>
      <c r="G341" t="s">
        <v>17</v>
      </c>
      <c r="H341">
        <v>20</v>
      </c>
      <c r="I341" t="s">
        <v>106</v>
      </c>
      <c r="J341">
        <v>0</v>
      </c>
      <c r="K341">
        <v>0</v>
      </c>
    </row>
    <row r="342" spans="1:12" x14ac:dyDescent="0.35">
      <c r="A342" t="s">
        <v>758</v>
      </c>
      <c r="B342" t="s">
        <v>759</v>
      </c>
      <c r="C342" t="s">
        <v>14</v>
      </c>
      <c r="D342">
        <v>37</v>
      </c>
      <c r="E342" t="s">
        <v>124</v>
      </c>
      <c r="F342" t="s">
        <v>22</v>
      </c>
      <c r="G342" t="s">
        <v>86</v>
      </c>
      <c r="I342" t="s">
        <v>308</v>
      </c>
      <c r="J342">
        <v>4.9000000000000004</v>
      </c>
      <c r="K342" t="s">
        <v>31</v>
      </c>
    </row>
    <row r="343" spans="1:12" x14ac:dyDescent="0.35">
      <c r="A343" t="s">
        <v>760</v>
      </c>
      <c r="B343" t="s">
        <v>761</v>
      </c>
      <c r="C343" t="s">
        <v>89</v>
      </c>
      <c r="D343">
        <v>53</v>
      </c>
      <c r="E343" t="s">
        <v>15</v>
      </c>
      <c r="F343" t="s">
        <v>16</v>
      </c>
      <c r="G343" t="s">
        <v>43</v>
      </c>
      <c r="H343">
        <v>4</v>
      </c>
      <c r="I343">
        <v>30</v>
      </c>
      <c r="J343">
        <v>4.7</v>
      </c>
      <c r="K343" t="s">
        <v>155</v>
      </c>
      <c r="L343" s="1">
        <v>0.99</v>
      </c>
    </row>
    <row r="344" spans="1:12" x14ac:dyDescent="0.35">
      <c r="A344" t="s">
        <v>762</v>
      </c>
      <c r="B344" t="s">
        <v>763</v>
      </c>
      <c r="C344" t="s">
        <v>74</v>
      </c>
      <c r="D344">
        <v>22</v>
      </c>
      <c r="E344" t="s">
        <v>15</v>
      </c>
      <c r="F344" t="s">
        <v>16</v>
      </c>
      <c r="G344" t="s">
        <v>17</v>
      </c>
      <c r="H344">
        <v>3</v>
      </c>
      <c r="I344" t="s">
        <v>53</v>
      </c>
      <c r="J344">
        <v>2.1</v>
      </c>
      <c r="K344">
        <v>0</v>
      </c>
    </row>
    <row r="345" spans="1:12" x14ac:dyDescent="0.35">
      <c r="A345" t="s">
        <v>764</v>
      </c>
      <c r="B345" t="s">
        <v>765</v>
      </c>
      <c r="C345" t="s">
        <v>74</v>
      </c>
      <c r="D345">
        <v>55</v>
      </c>
      <c r="E345" t="s">
        <v>41</v>
      </c>
      <c r="F345" t="s">
        <v>42</v>
      </c>
      <c r="G345" t="s">
        <v>23</v>
      </c>
      <c r="H345">
        <v>33</v>
      </c>
      <c r="I345">
        <v>40</v>
      </c>
      <c r="J345">
        <v>1.5</v>
      </c>
      <c r="K345" t="s">
        <v>71</v>
      </c>
      <c r="L345" s="1">
        <v>0.71</v>
      </c>
    </row>
    <row r="346" spans="1:12" x14ac:dyDescent="0.35">
      <c r="A346" t="s">
        <v>766</v>
      </c>
      <c r="B346" t="s">
        <v>767</v>
      </c>
      <c r="C346" t="s">
        <v>59</v>
      </c>
      <c r="D346">
        <v>22</v>
      </c>
      <c r="E346" t="s">
        <v>21</v>
      </c>
      <c r="F346" t="s">
        <v>22</v>
      </c>
      <c r="G346" t="s">
        <v>75</v>
      </c>
      <c r="H346">
        <v>1</v>
      </c>
      <c r="J346">
        <v>2.6</v>
      </c>
      <c r="K346">
        <v>0</v>
      </c>
      <c r="L346" s="1">
        <v>0.72</v>
      </c>
    </row>
    <row r="347" spans="1:12" x14ac:dyDescent="0.35">
      <c r="A347" t="s">
        <v>768</v>
      </c>
      <c r="B347" t="s">
        <v>769</v>
      </c>
      <c r="C347" t="s">
        <v>14</v>
      </c>
      <c r="D347">
        <v>45</v>
      </c>
      <c r="E347" t="s">
        <v>60</v>
      </c>
      <c r="F347" t="s">
        <v>61</v>
      </c>
      <c r="G347" t="s">
        <v>35</v>
      </c>
      <c r="H347">
        <v>23</v>
      </c>
      <c r="I347" t="s">
        <v>95</v>
      </c>
      <c r="J347">
        <v>0</v>
      </c>
      <c r="K347">
        <v>0</v>
      </c>
      <c r="L347" s="1">
        <v>0.66</v>
      </c>
    </row>
    <row r="348" spans="1:12" x14ac:dyDescent="0.35">
      <c r="A348" t="s">
        <v>770</v>
      </c>
      <c r="B348" t="s">
        <v>771</v>
      </c>
      <c r="C348" t="s">
        <v>89</v>
      </c>
      <c r="D348">
        <v>36</v>
      </c>
      <c r="E348" t="s">
        <v>131</v>
      </c>
      <c r="F348" t="s">
        <v>132</v>
      </c>
      <c r="G348" t="s">
        <v>49</v>
      </c>
      <c r="H348">
        <v>13</v>
      </c>
      <c r="I348">
        <v>40</v>
      </c>
      <c r="K348" t="s">
        <v>31</v>
      </c>
      <c r="L348" s="1">
        <v>0.78</v>
      </c>
    </row>
    <row r="349" spans="1:12" x14ac:dyDescent="0.35">
      <c r="A349" t="s">
        <v>772</v>
      </c>
      <c r="B349" t="s">
        <v>773</v>
      </c>
      <c r="C349" t="s">
        <v>46</v>
      </c>
      <c r="D349">
        <v>23</v>
      </c>
      <c r="E349" t="s">
        <v>21</v>
      </c>
      <c r="F349" t="s">
        <v>22</v>
      </c>
      <c r="G349" t="s">
        <v>86</v>
      </c>
      <c r="H349">
        <v>1</v>
      </c>
      <c r="I349" t="s">
        <v>308</v>
      </c>
      <c r="J349">
        <v>4</v>
      </c>
      <c r="K349" t="s">
        <v>71</v>
      </c>
      <c r="L349">
        <v>100</v>
      </c>
    </row>
    <row r="350" spans="1:12" x14ac:dyDescent="0.35">
      <c r="A350" t="s">
        <v>774</v>
      </c>
      <c r="B350" t="s">
        <v>775</v>
      </c>
      <c r="C350" t="s">
        <v>89</v>
      </c>
      <c r="D350">
        <v>55</v>
      </c>
      <c r="E350" t="s">
        <v>15</v>
      </c>
      <c r="F350" t="s">
        <v>16</v>
      </c>
      <c r="G350" t="s">
        <v>86</v>
      </c>
      <c r="H350">
        <v>15</v>
      </c>
      <c r="I350">
        <v>40</v>
      </c>
      <c r="J350">
        <v>4.5</v>
      </c>
    </row>
    <row r="351" spans="1:12" x14ac:dyDescent="0.35">
      <c r="A351" t="s">
        <v>776</v>
      </c>
      <c r="B351" t="s">
        <v>777</v>
      </c>
      <c r="C351" t="s">
        <v>34</v>
      </c>
      <c r="D351">
        <v>50</v>
      </c>
      <c r="E351" t="s">
        <v>104</v>
      </c>
      <c r="F351" t="s">
        <v>105</v>
      </c>
      <c r="G351" t="s">
        <v>23</v>
      </c>
      <c r="H351">
        <v>18</v>
      </c>
      <c r="I351">
        <v>75</v>
      </c>
      <c r="J351">
        <v>3.8</v>
      </c>
      <c r="K351">
        <v>0</v>
      </c>
      <c r="L351">
        <v>67</v>
      </c>
    </row>
    <row r="352" spans="1:12" x14ac:dyDescent="0.35">
      <c r="A352" t="s">
        <v>778</v>
      </c>
      <c r="B352" t="s">
        <v>779</v>
      </c>
      <c r="C352" t="s">
        <v>27</v>
      </c>
      <c r="D352">
        <v>48</v>
      </c>
      <c r="E352" t="s">
        <v>56</v>
      </c>
      <c r="F352" t="s">
        <v>22</v>
      </c>
      <c r="G352" t="s">
        <v>111</v>
      </c>
      <c r="H352">
        <v>21</v>
      </c>
      <c r="I352">
        <v>50</v>
      </c>
      <c r="J352">
        <v>4</v>
      </c>
      <c r="K352">
        <v>0</v>
      </c>
      <c r="L352" s="1">
        <v>0.78</v>
      </c>
    </row>
    <row r="353" spans="1:12" x14ac:dyDescent="0.35">
      <c r="A353" t="s">
        <v>780</v>
      </c>
      <c r="B353" t="s">
        <v>781</v>
      </c>
      <c r="C353" t="s">
        <v>59</v>
      </c>
      <c r="D353">
        <v>23</v>
      </c>
      <c r="E353" t="s">
        <v>41</v>
      </c>
      <c r="F353" t="s">
        <v>42</v>
      </c>
      <c r="G353" t="s">
        <v>86</v>
      </c>
      <c r="H353">
        <v>1</v>
      </c>
      <c r="I353" s="2">
        <v>40</v>
      </c>
      <c r="J353">
        <v>4.9000000000000004</v>
      </c>
      <c r="K353" t="s">
        <v>65</v>
      </c>
      <c r="L353" s="1">
        <v>0.78</v>
      </c>
    </row>
    <row r="354" spans="1:12" x14ac:dyDescent="0.35">
      <c r="A354" t="s">
        <v>782</v>
      </c>
      <c r="B354" t="s">
        <v>783</v>
      </c>
      <c r="C354" t="s">
        <v>14</v>
      </c>
      <c r="D354">
        <v>49</v>
      </c>
      <c r="E354" t="s">
        <v>124</v>
      </c>
      <c r="F354" t="s">
        <v>22</v>
      </c>
      <c r="G354" t="s">
        <v>35</v>
      </c>
      <c r="H354">
        <v>25</v>
      </c>
      <c r="I354" s="2">
        <v>30</v>
      </c>
      <c r="J354">
        <v>3.4</v>
      </c>
      <c r="K354">
        <v>0</v>
      </c>
      <c r="L354" s="1">
        <v>0.75</v>
      </c>
    </row>
    <row r="355" spans="1:12" x14ac:dyDescent="0.35">
      <c r="A355" t="s">
        <v>784</v>
      </c>
      <c r="B355" t="s">
        <v>785</v>
      </c>
      <c r="C355" t="s">
        <v>34</v>
      </c>
      <c r="D355">
        <v>47</v>
      </c>
      <c r="E355" t="s">
        <v>15</v>
      </c>
      <c r="F355" t="s">
        <v>16</v>
      </c>
      <c r="G355" t="s">
        <v>75</v>
      </c>
      <c r="H355">
        <v>12</v>
      </c>
      <c r="I355">
        <v>50</v>
      </c>
      <c r="J355">
        <v>2.1</v>
      </c>
      <c r="K355" t="b">
        <v>1</v>
      </c>
      <c r="L355" s="1">
        <v>0.67</v>
      </c>
    </row>
    <row r="356" spans="1:12" x14ac:dyDescent="0.35">
      <c r="A356" t="s">
        <v>786</v>
      </c>
      <c r="B356" t="s">
        <v>787</v>
      </c>
      <c r="C356" t="s">
        <v>74</v>
      </c>
      <c r="D356">
        <v>56</v>
      </c>
      <c r="E356" t="s">
        <v>82</v>
      </c>
      <c r="F356" t="s">
        <v>83</v>
      </c>
      <c r="G356" t="s">
        <v>30</v>
      </c>
      <c r="H356">
        <v>32</v>
      </c>
      <c r="I356" t="s">
        <v>53</v>
      </c>
      <c r="J356">
        <v>0</v>
      </c>
      <c r="K356">
        <v>1</v>
      </c>
      <c r="L356" s="1">
        <v>0.86</v>
      </c>
    </row>
    <row r="357" spans="1:12" x14ac:dyDescent="0.35">
      <c r="A357" t="s">
        <v>788</v>
      </c>
      <c r="B357" t="s">
        <v>789</v>
      </c>
      <c r="C357" t="s">
        <v>59</v>
      </c>
      <c r="D357">
        <v>58</v>
      </c>
      <c r="E357" t="s">
        <v>68</v>
      </c>
      <c r="F357" t="s">
        <v>69</v>
      </c>
      <c r="G357" t="s">
        <v>70</v>
      </c>
      <c r="I357">
        <v>100</v>
      </c>
      <c r="J357">
        <v>4.5</v>
      </c>
      <c r="K357" t="s">
        <v>155</v>
      </c>
      <c r="L357">
        <v>77</v>
      </c>
    </row>
    <row r="358" spans="1:12" x14ac:dyDescent="0.35">
      <c r="A358" t="s">
        <v>790</v>
      </c>
      <c r="B358" t="s">
        <v>791</v>
      </c>
      <c r="C358" t="s">
        <v>46</v>
      </c>
      <c r="D358">
        <v>32</v>
      </c>
      <c r="E358" t="s">
        <v>109</v>
      </c>
      <c r="F358" t="s">
        <v>110</v>
      </c>
      <c r="G358" t="s">
        <v>70</v>
      </c>
      <c r="H358">
        <v>10</v>
      </c>
      <c r="I358" s="2">
        <v>30</v>
      </c>
      <c r="J358">
        <v>3.8</v>
      </c>
      <c r="K358">
        <v>0</v>
      </c>
      <c r="L358" s="1">
        <v>0.61</v>
      </c>
    </row>
    <row r="359" spans="1:12" x14ac:dyDescent="0.35">
      <c r="A359" t="s">
        <v>792</v>
      </c>
      <c r="B359" t="s">
        <v>793</v>
      </c>
      <c r="C359" t="s">
        <v>74</v>
      </c>
      <c r="D359">
        <v>52</v>
      </c>
      <c r="E359" t="s">
        <v>90</v>
      </c>
      <c r="F359" t="s">
        <v>91</v>
      </c>
      <c r="G359" t="s">
        <v>70</v>
      </c>
      <c r="H359">
        <v>0</v>
      </c>
      <c r="J359">
        <v>4.3</v>
      </c>
      <c r="K359">
        <v>0</v>
      </c>
      <c r="L359" s="1">
        <v>0.9</v>
      </c>
    </row>
    <row r="360" spans="1:12" x14ac:dyDescent="0.35">
      <c r="A360" t="s">
        <v>794</v>
      </c>
      <c r="B360" t="s">
        <v>795</v>
      </c>
      <c r="C360" t="s">
        <v>20</v>
      </c>
      <c r="D360">
        <v>22</v>
      </c>
      <c r="E360" t="s">
        <v>170</v>
      </c>
      <c r="F360" t="s">
        <v>171</v>
      </c>
      <c r="G360" t="s">
        <v>49</v>
      </c>
      <c r="H360">
        <v>1</v>
      </c>
      <c r="I360">
        <v>50</v>
      </c>
      <c r="J360">
        <v>0</v>
      </c>
      <c r="L360" s="1">
        <v>0.98</v>
      </c>
    </row>
    <row r="361" spans="1:12" x14ac:dyDescent="0.35">
      <c r="A361" t="s">
        <v>796</v>
      </c>
      <c r="B361" t="s">
        <v>797</v>
      </c>
      <c r="C361" t="s">
        <v>94</v>
      </c>
      <c r="D361">
        <v>20</v>
      </c>
      <c r="E361" t="s">
        <v>90</v>
      </c>
      <c r="F361" t="s">
        <v>91</v>
      </c>
      <c r="G361" t="s">
        <v>75</v>
      </c>
      <c r="H361">
        <v>2</v>
      </c>
      <c r="I361">
        <v>30</v>
      </c>
      <c r="K361">
        <v>1</v>
      </c>
      <c r="L361" s="1">
        <v>0.99</v>
      </c>
    </row>
    <row r="362" spans="1:12" x14ac:dyDescent="0.35">
      <c r="A362" t="s">
        <v>798</v>
      </c>
      <c r="B362" t="s">
        <v>799</v>
      </c>
      <c r="C362" t="s">
        <v>89</v>
      </c>
      <c r="D362">
        <v>56</v>
      </c>
      <c r="E362" t="s">
        <v>41</v>
      </c>
      <c r="F362" t="s">
        <v>42</v>
      </c>
      <c r="G362" t="s">
        <v>49</v>
      </c>
      <c r="H362">
        <v>9</v>
      </c>
      <c r="I362" t="s">
        <v>53</v>
      </c>
      <c r="J362">
        <v>2.6</v>
      </c>
      <c r="K362">
        <v>0</v>
      </c>
      <c r="L362" s="1">
        <v>0.61</v>
      </c>
    </row>
    <row r="363" spans="1:12" x14ac:dyDescent="0.35">
      <c r="A363" t="s">
        <v>800</v>
      </c>
      <c r="B363" t="s">
        <v>801</v>
      </c>
      <c r="C363" t="s">
        <v>94</v>
      </c>
      <c r="D363">
        <v>41</v>
      </c>
      <c r="E363" t="s">
        <v>82</v>
      </c>
      <c r="F363" t="s">
        <v>83</v>
      </c>
      <c r="G363" t="s">
        <v>49</v>
      </c>
      <c r="H363">
        <v>22</v>
      </c>
      <c r="I363" t="s">
        <v>95</v>
      </c>
      <c r="J363">
        <v>1.6</v>
      </c>
      <c r="K363">
        <v>1</v>
      </c>
      <c r="L363" s="1">
        <v>0.61</v>
      </c>
    </row>
    <row r="364" spans="1:12" x14ac:dyDescent="0.35">
      <c r="A364" t="s">
        <v>802</v>
      </c>
      <c r="B364" t="s">
        <v>803</v>
      </c>
      <c r="C364" t="s">
        <v>94</v>
      </c>
      <c r="D364">
        <v>25</v>
      </c>
      <c r="E364" t="s">
        <v>68</v>
      </c>
      <c r="F364" t="s">
        <v>69</v>
      </c>
      <c r="G364" t="s">
        <v>17</v>
      </c>
      <c r="H364">
        <v>5</v>
      </c>
      <c r="I364" s="2">
        <v>30</v>
      </c>
      <c r="J364">
        <v>2.2999999999999998</v>
      </c>
      <c r="K364">
        <v>0</v>
      </c>
      <c r="L364" s="1">
        <v>0.91</v>
      </c>
    </row>
    <row r="365" spans="1:12" x14ac:dyDescent="0.35">
      <c r="A365" t="s">
        <v>804</v>
      </c>
      <c r="B365" t="s">
        <v>805</v>
      </c>
      <c r="C365" t="s">
        <v>20</v>
      </c>
      <c r="D365">
        <v>44</v>
      </c>
      <c r="E365" t="s">
        <v>124</v>
      </c>
      <c r="F365" t="s">
        <v>22</v>
      </c>
      <c r="G365" t="s">
        <v>75</v>
      </c>
      <c r="H365">
        <v>6</v>
      </c>
      <c r="I365">
        <v>75</v>
      </c>
      <c r="J365">
        <v>4.5999999999999996</v>
      </c>
      <c r="K365" t="s">
        <v>71</v>
      </c>
      <c r="L365">
        <v>72</v>
      </c>
    </row>
    <row r="366" spans="1:12" x14ac:dyDescent="0.35">
      <c r="A366" t="s">
        <v>806</v>
      </c>
      <c r="B366" t="s">
        <v>807</v>
      </c>
      <c r="C366" t="s">
        <v>38</v>
      </c>
      <c r="D366">
        <v>46</v>
      </c>
      <c r="E366" t="s">
        <v>21</v>
      </c>
      <c r="F366" t="s">
        <v>22</v>
      </c>
      <c r="G366" t="s">
        <v>35</v>
      </c>
      <c r="H366">
        <v>26</v>
      </c>
      <c r="I366" s="2">
        <v>100</v>
      </c>
      <c r="J366">
        <v>2.1</v>
      </c>
    </row>
    <row r="367" spans="1:12" x14ac:dyDescent="0.35">
      <c r="A367" t="s">
        <v>808</v>
      </c>
      <c r="B367" t="s">
        <v>809</v>
      </c>
      <c r="C367" t="s">
        <v>38</v>
      </c>
      <c r="D367">
        <v>40</v>
      </c>
      <c r="E367" t="s">
        <v>109</v>
      </c>
      <c r="F367" t="s">
        <v>110</v>
      </c>
      <c r="G367" t="s">
        <v>17</v>
      </c>
      <c r="I367">
        <v>40</v>
      </c>
      <c r="J367">
        <v>1.5</v>
      </c>
      <c r="K367" t="b">
        <v>0</v>
      </c>
      <c r="L367" s="1">
        <v>0.96</v>
      </c>
    </row>
    <row r="368" spans="1:12" x14ac:dyDescent="0.35">
      <c r="A368" t="s">
        <v>810</v>
      </c>
      <c r="B368" t="s">
        <v>811</v>
      </c>
      <c r="C368" t="s">
        <v>27</v>
      </c>
      <c r="E368" t="s">
        <v>170</v>
      </c>
      <c r="F368" t="s">
        <v>171</v>
      </c>
      <c r="G368" t="s">
        <v>43</v>
      </c>
      <c r="H368">
        <v>9</v>
      </c>
      <c r="I368" t="s">
        <v>53</v>
      </c>
      <c r="J368">
        <v>1.7</v>
      </c>
      <c r="K368">
        <v>1</v>
      </c>
      <c r="L368">
        <v>72</v>
      </c>
    </row>
    <row r="369" spans="1:12" x14ac:dyDescent="0.35">
      <c r="A369" t="s">
        <v>812</v>
      </c>
      <c r="B369" t="s">
        <v>813</v>
      </c>
      <c r="C369" t="s">
        <v>89</v>
      </c>
      <c r="D369">
        <v>31</v>
      </c>
      <c r="E369" t="s">
        <v>82</v>
      </c>
      <c r="F369" t="s">
        <v>83</v>
      </c>
      <c r="G369" t="s">
        <v>49</v>
      </c>
      <c r="H369">
        <v>11</v>
      </c>
      <c r="J369">
        <v>3.3</v>
      </c>
      <c r="K369">
        <v>0</v>
      </c>
    </row>
    <row r="370" spans="1:12" x14ac:dyDescent="0.35">
      <c r="A370" t="s">
        <v>814</v>
      </c>
      <c r="B370" t="s">
        <v>815</v>
      </c>
      <c r="C370" t="s">
        <v>46</v>
      </c>
      <c r="D370">
        <v>33</v>
      </c>
      <c r="E370" t="s">
        <v>109</v>
      </c>
      <c r="F370" t="s">
        <v>110</v>
      </c>
      <c r="G370" t="s">
        <v>111</v>
      </c>
      <c r="I370" s="2">
        <v>40</v>
      </c>
      <c r="J370">
        <v>4.3</v>
      </c>
      <c r="K370">
        <v>1</v>
      </c>
      <c r="L370" s="1">
        <v>0.63</v>
      </c>
    </row>
    <row r="371" spans="1:12" x14ac:dyDescent="0.35">
      <c r="A371" t="s">
        <v>816</v>
      </c>
      <c r="B371" t="s">
        <v>817</v>
      </c>
      <c r="C371" t="s">
        <v>20</v>
      </c>
      <c r="D371">
        <v>31</v>
      </c>
      <c r="E371" t="s">
        <v>104</v>
      </c>
      <c r="F371" t="s">
        <v>105</v>
      </c>
      <c r="G371" t="s">
        <v>111</v>
      </c>
      <c r="H371">
        <v>3</v>
      </c>
      <c r="I371" s="2">
        <v>20</v>
      </c>
      <c r="K371" t="s">
        <v>31</v>
      </c>
    </row>
    <row r="372" spans="1:12" x14ac:dyDescent="0.35">
      <c r="A372" t="s">
        <v>818</v>
      </c>
      <c r="B372" t="s">
        <v>819</v>
      </c>
      <c r="C372" t="s">
        <v>34</v>
      </c>
      <c r="D372">
        <v>49</v>
      </c>
      <c r="E372" t="s">
        <v>15</v>
      </c>
      <c r="F372" t="s">
        <v>16</v>
      </c>
      <c r="G372" t="s">
        <v>49</v>
      </c>
      <c r="H372">
        <v>15</v>
      </c>
      <c r="I372" t="s">
        <v>50</v>
      </c>
      <c r="J372">
        <v>2.6</v>
      </c>
      <c r="K372" t="s">
        <v>31</v>
      </c>
      <c r="L372" s="1">
        <v>0.83</v>
      </c>
    </row>
    <row r="373" spans="1:12" x14ac:dyDescent="0.35">
      <c r="A373" t="s">
        <v>820</v>
      </c>
      <c r="B373" t="s">
        <v>821</v>
      </c>
      <c r="C373" t="s">
        <v>27</v>
      </c>
      <c r="D373">
        <v>35</v>
      </c>
      <c r="E373" t="s">
        <v>174</v>
      </c>
      <c r="F373" t="s">
        <v>69</v>
      </c>
      <c r="G373" t="s">
        <v>30</v>
      </c>
      <c r="H373">
        <v>12</v>
      </c>
      <c r="I373" t="s">
        <v>308</v>
      </c>
      <c r="J373">
        <v>4.0999999999999996</v>
      </c>
      <c r="L373" s="1">
        <v>0.94</v>
      </c>
    </row>
    <row r="374" spans="1:12" x14ac:dyDescent="0.35">
      <c r="A374" t="s">
        <v>822</v>
      </c>
      <c r="B374" t="s">
        <v>823</v>
      </c>
      <c r="C374" t="s">
        <v>89</v>
      </c>
      <c r="D374">
        <v>45</v>
      </c>
      <c r="E374" t="s">
        <v>90</v>
      </c>
      <c r="F374" t="s">
        <v>91</v>
      </c>
      <c r="G374" t="s">
        <v>49</v>
      </c>
      <c r="H374">
        <v>19</v>
      </c>
      <c r="I374" s="2">
        <v>40</v>
      </c>
      <c r="J374">
        <v>2.2000000000000002</v>
      </c>
      <c r="K374">
        <v>1</v>
      </c>
      <c r="L374" s="1">
        <v>0.78</v>
      </c>
    </row>
    <row r="375" spans="1:12" x14ac:dyDescent="0.35">
      <c r="A375" t="s">
        <v>824</v>
      </c>
      <c r="B375" t="s">
        <v>825</v>
      </c>
      <c r="C375" t="s">
        <v>38</v>
      </c>
      <c r="D375">
        <v>39</v>
      </c>
      <c r="E375" t="s">
        <v>41</v>
      </c>
      <c r="F375" t="s">
        <v>42</v>
      </c>
      <c r="G375" t="s">
        <v>49</v>
      </c>
      <c r="H375">
        <v>13</v>
      </c>
      <c r="I375">
        <v>30</v>
      </c>
      <c r="J375">
        <v>1.1000000000000001</v>
      </c>
      <c r="K375">
        <v>1</v>
      </c>
    </row>
    <row r="376" spans="1:12" x14ac:dyDescent="0.35">
      <c r="A376" t="s">
        <v>826</v>
      </c>
      <c r="B376" t="s">
        <v>827</v>
      </c>
      <c r="C376" t="s">
        <v>59</v>
      </c>
      <c r="E376" t="s">
        <v>68</v>
      </c>
      <c r="F376" t="s">
        <v>69</v>
      </c>
      <c r="G376" t="s">
        <v>17</v>
      </c>
      <c r="I376" s="2">
        <v>50</v>
      </c>
      <c r="J376">
        <v>2.1</v>
      </c>
      <c r="K376">
        <v>1</v>
      </c>
      <c r="L376" s="1">
        <v>0.82</v>
      </c>
    </row>
    <row r="377" spans="1:12" x14ac:dyDescent="0.35">
      <c r="A377" t="s">
        <v>828</v>
      </c>
      <c r="B377" t="s">
        <v>829</v>
      </c>
      <c r="C377" t="s">
        <v>27</v>
      </c>
      <c r="D377">
        <v>24</v>
      </c>
      <c r="E377" t="s">
        <v>28</v>
      </c>
      <c r="F377" t="s">
        <v>29</v>
      </c>
      <c r="G377" t="s">
        <v>75</v>
      </c>
      <c r="H377">
        <v>3</v>
      </c>
      <c r="I377" s="2">
        <v>30</v>
      </c>
      <c r="J377">
        <v>2.2999999999999998</v>
      </c>
      <c r="K377" t="b">
        <v>0</v>
      </c>
      <c r="L377" s="1">
        <v>0.66</v>
      </c>
    </row>
    <row r="378" spans="1:12" x14ac:dyDescent="0.35">
      <c r="A378" t="s">
        <v>830</v>
      </c>
      <c r="B378" t="s">
        <v>831</v>
      </c>
      <c r="C378" t="s">
        <v>94</v>
      </c>
      <c r="D378">
        <v>50</v>
      </c>
      <c r="E378" t="s">
        <v>21</v>
      </c>
      <c r="F378" t="s">
        <v>22</v>
      </c>
      <c r="G378" t="s">
        <v>30</v>
      </c>
      <c r="H378">
        <v>26</v>
      </c>
      <c r="J378">
        <v>3.6</v>
      </c>
      <c r="K378">
        <v>1</v>
      </c>
      <c r="L378">
        <v>82</v>
      </c>
    </row>
    <row r="379" spans="1:12" x14ac:dyDescent="0.35">
      <c r="A379" t="s">
        <v>832</v>
      </c>
      <c r="B379" t="s">
        <v>833</v>
      </c>
      <c r="C379" t="s">
        <v>38</v>
      </c>
      <c r="D379">
        <v>23</v>
      </c>
      <c r="E379" t="s">
        <v>28</v>
      </c>
      <c r="F379" t="s">
        <v>29</v>
      </c>
      <c r="G379" t="s">
        <v>111</v>
      </c>
      <c r="H379">
        <v>4</v>
      </c>
      <c r="I379" t="s">
        <v>308</v>
      </c>
      <c r="J379">
        <v>4.7</v>
      </c>
      <c r="K379" t="b">
        <v>1</v>
      </c>
      <c r="L379" s="1">
        <v>0.84</v>
      </c>
    </row>
    <row r="380" spans="1:12" x14ac:dyDescent="0.35">
      <c r="A380" t="s">
        <v>834</v>
      </c>
      <c r="B380" t="s">
        <v>835</v>
      </c>
      <c r="C380" t="s">
        <v>59</v>
      </c>
      <c r="D380">
        <v>27</v>
      </c>
      <c r="E380" t="s">
        <v>124</v>
      </c>
      <c r="F380" t="s">
        <v>22</v>
      </c>
      <c r="G380" t="s">
        <v>75</v>
      </c>
      <c r="H380">
        <v>8</v>
      </c>
      <c r="I380">
        <v>20</v>
      </c>
      <c r="J380">
        <v>4.8</v>
      </c>
      <c r="K380" t="s">
        <v>31</v>
      </c>
      <c r="L380" s="1">
        <v>0.81</v>
      </c>
    </row>
    <row r="381" spans="1:12" x14ac:dyDescent="0.35">
      <c r="A381" t="s">
        <v>836</v>
      </c>
      <c r="B381" t="s">
        <v>837</v>
      </c>
      <c r="C381" t="s">
        <v>94</v>
      </c>
      <c r="D381">
        <v>58</v>
      </c>
      <c r="E381" t="s">
        <v>149</v>
      </c>
      <c r="F381" t="s">
        <v>150</v>
      </c>
      <c r="G381" t="s">
        <v>43</v>
      </c>
      <c r="H381">
        <v>10</v>
      </c>
      <c r="I381">
        <v>75</v>
      </c>
      <c r="J381">
        <v>4.2</v>
      </c>
      <c r="K381" t="s">
        <v>31</v>
      </c>
      <c r="L381">
        <v>71</v>
      </c>
    </row>
    <row r="382" spans="1:12" x14ac:dyDescent="0.35">
      <c r="A382" t="s">
        <v>838</v>
      </c>
      <c r="B382" t="s">
        <v>839</v>
      </c>
      <c r="C382" t="s">
        <v>46</v>
      </c>
      <c r="D382">
        <v>37</v>
      </c>
      <c r="E382" t="s">
        <v>15</v>
      </c>
      <c r="F382" t="s">
        <v>16</v>
      </c>
      <c r="G382" t="s">
        <v>111</v>
      </c>
      <c r="H382">
        <v>5</v>
      </c>
      <c r="J382">
        <v>4.8</v>
      </c>
      <c r="K382">
        <v>1</v>
      </c>
      <c r="L382" s="1">
        <v>0.61</v>
      </c>
    </row>
    <row r="383" spans="1:12" x14ac:dyDescent="0.35">
      <c r="A383" t="s">
        <v>840</v>
      </c>
      <c r="B383" t="s">
        <v>841</v>
      </c>
      <c r="C383" t="s">
        <v>59</v>
      </c>
      <c r="D383">
        <v>39</v>
      </c>
      <c r="E383" t="s">
        <v>185</v>
      </c>
      <c r="F383" t="s">
        <v>69</v>
      </c>
      <c r="G383" t="s">
        <v>17</v>
      </c>
      <c r="H383">
        <v>18</v>
      </c>
      <c r="I383">
        <v>75</v>
      </c>
      <c r="J383">
        <v>4</v>
      </c>
      <c r="K383">
        <v>1</v>
      </c>
      <c r="L383" s="1">
        <v>0.66</v>
      </c>
    </row>
    <row r="384" spans="1:12" x14ac:dyDescent="0.35">
      <c r="A384" t="s">
        <v>842</v>
      </c>
      <c r="B384" t="s">
        <v>843</v>
      </c>
      <c r="C384" t="s">
        <v>20</v>
      </c>
      <c r="D384">
        <v>46</v>
      </c>
      <c r="E384" t="s">
        <v>135</v>
      </c>
      <c r="F384" t="s">
        <v>136</v>
      </c>
      <c r="G384" t="s">
        <v>49</v>
      </c>
      <c r="H384">
        <v>10</v>
      </c>
      <c r="I384" s="2">
        <v>20</v>
      </c>
      <c r="J384">
        <v>2.5</v>
      </c>
      <c r="K384" t="b">
        <v>1</v>
      </c>
      <c r="L384" s="1">
        <v>0.97</v>
      </c>
    </row>
    <row r="385" spans="1:12" x14ac:dyDescent="0.35">
      <c r="A385" t="s">
        <v>844</v>
      </c>
      <c r="B385" t="s">
        <v>845</v>
      </c>
      <c r="C385" t="s">
        <v>74</v>
      </c>
      <c r="E385" t="s">
        <v>64</v>
      </c>
      <c r="F385" t="s">
        <v>22</v>
      </c>
      <c r="G385" t="s">
        <v>70</v>
      </c>
      <c r="H385">
        <v>0</v>
      </c>
      <c r="I385" t="s">
        <v>308</v>
      </c>
      <c r="J385">
        <v>4.8</v>
      </c>
      <c r="K385">
        <v>0</v>
      </c>
      <c r="L385" s="1">
        <v>0.74</v>
      </c>
    </row>
    <row r="386" spans="1:12" x14ac:dyDescent="0.35">
      <c r="A386" t="s">
        <v>846</v>
      </c>
      <c r="B386" t="s">
        <v>847</v>
      </c>
      <c r="C386" t="s">
        <v>14</v>
      </c>
      <c r="D386">
        <v>39</v>
      </c>
      <c r="E386" t="s">
        <v>174</v>
      </c>
      <c r="F386" t="s">
        <v>69</v>
      </c>
      <c r="G386" t="s">
        <v>17</v>
      </c>
      <c r="H386">
        <v>21</v>
      </c>
      <c r="I386">
        <v>30</v>
      </c>
      <c r="J386">
        <v>4.7</v>
      </c>
      <c r="K386" t="b">
        <v>0</v>
      </c>
      <c r="L386" s="1">
        <v>0.61</v>
      </c>
    </row>
    <row r="387" spans="1:12" x14ac:dyDescent="0.35">
      <c r="A387" t="s">
        <v>848</v>
      </c>
      <c r="B387" t="s">
        <v>849</v>
      </c>
      <c r="C387" t="s">
        <v>89</v>
      </c>
      <c r="D387">
        <v>59</v>
      </c>
      <c r="E387" t="s">
        <v>135</v>
      </c>
      <c r="F387" t="s">
        <v>136</v>
      </c>
      <c r="G387" t="s">
        <v>17</v>
      </c>
      <c r="H387">
        <v>25</v>
      </c>
      <c r="I387">
        <v>20</v>
      </c>
      <c r="J387">
        <v>4</v>
      </c>
      <c r="K387">
        <v>0</v>
      </c>
      <c r="L387" s="1">
        <v>0.9</v>
      </c>
    </row>
    <row r="388" spans="1:12" x14ac:dyDescent="0.35">
      <c r="A388" t="s">
        <v>850</v>
      </c>
      <c r="B388" t="s">
        <v>851</v>
      </c>
      <c r="C388" t="s">
        <v>46</v>
      </c>
      <c r="D388">
        <v>21</v>
      </c>
      <c r="E388" t="s">
        <v>41</v>
      </c>
      <c r="F388" t="s">
        <v>42</v>
      </c>
      <c r="G388" t="s">
        <v>86</v>
      </c>
      <c r="H388">
        <v>0</v>
      </c>
      <c r="I388" s="2">
        <v>40</v>
      </c>
      <c r="J388">
        <v>4.0999999999999996</v>
      </c>
      <c r="K388" t="s">
        <v>71</v>
      </c>
      <c r="L388" s="1">
        <v>0.97</v>
      </c>
    </row>
    <row r="389" spans="1:12" x14ac:dyDescent="0.35">
      <c r="A389" t="s">
        <v>852</v>
      </c>
      <c r="B389" t="s">
        <v>853</v>
      </c>
      <c r="C389" t="s">
        <v>20</v>
      </c>
      <c r="D389">
        <v>23</v>
      </c>
      <c r="E389" t="s">
        <v>124</v>
      </c>
      <c r="F389" t="s">
        <v>22</v>
      </c>
      <c r="G389" t="s">
        <v>86</v>
      </c>
      <c r="H389">
        <v>5</v>
      </c>
      <c r="I389">
        <v>100</v>
      </c>
      <c r="J389">
        <v>3.2</v>
      </c>
      <c r="K389">
        <v>1</v>
      </c>
    </row>
    <row r="390" spans="1:12" x14ac:dyDescent="0.35">
      <c r="A390" t="s">
        <v>854</v>
      </c>
      <c r="B390" t="s">
        <v>855</v>
      </c>
      <c r="C390" t="s">
        <v>46</v>
      </c>
      <c r="D390">
        <v>27</v>
      </c>
      <c r="E390" t="s">
        <v>135</v>
      </c>
      <c r="F390" t="s">
        <v>136</v>
      </c>
      <c r="G390" t="s">
        <v>35</v>
      </c>
      <c r="H390">
        <v>1</v>
      </c>
      <c r="I390">
        <v>20</v>
      </c>
      <c r="J390">
        <v>4.3</v>
      </c>
      <c r="K390" t="s">
        <v>31</v>
      </c>
      <c r="L390" s="1">
        <v>0.76</v>
      </c>
    </row>
    <row r="391" spans="1:12" x14ac:dyDescent="0.35">
      <c r="A391" t="s">
        <v>856</v>
      </c>
      <c r="B391" t="s">
        <v>857</v>
      </c>
      <c r="C391" t="s">
        <v>46</v>
      </c>
      <c r="D391">
        <v>27</v>
      </c>
      <c r="E391" t="s">
        <v>170</v>
      </c>
      <c r="F391" t="s">
        <v>171</v>
      </c>
      <c r="G391" t="s">
        <v>75</v>
      </c>
      <c r="H391">
        <v>4</v>
      </c>
      <c r="I391">
        <v>40</v>
      </c>
      <c r="J391">
        <v>4.4000000000000004</v>
      </c>
      <c r="K391">
        <v>0</v>
      </c>
      <c r="L391" s="1">
        <v>0.92</v>
      </c>
    </row>
    <row r="392" spans="1:12" x14ac:dyDescent="0.35">
      <c r="A392" t="s">
        <v>858</v>
      </c>
      <c r="B392" t="s">
        <v>859</v>
      </c>
      <c r="C392" t="s">
        <v>34</v>
      </c>
      <c r="D392">
        <v>48</v>
      </c>
      <c r="E392" t="s">
        <v>149</v>
      </c>
      <c r="F392" t="s">
        <v>150</v>
      </c>
      <c r="G392" t="s">
        <v>49</v>
      </c>
      <c r="H392">
        <v>21</v>
      </c>
      <c r="I392">
        <v>40</v>
      </c>
      <c r="J392">
        <v>2.2999999999999998</v>
      </c>
      <c r="K392">
        <v>0</v>
      </c>
    </row>
    <row r="393" spans="1:12" x14ac:dyDescent="0.35">
      <c r="A393" t="s">
        <v>860</v>
      </c>
      <c r="B393" t="s">
        <v>861</v>
      </c>
      <c r="C393" t="s">
        <v>59</v>
      </c>
      <c r="D393">
        <v>21</v>
      </c>
      <c r="E393" t="s">
        <v>149</v>
      </c>
      <c r="F393" t="s">
        <v>150</v>
      </c>
      <c r="G393" t="s">
        <v>43</v>
      </c>
      <c r="H393">
        <v>1</v>
      </c>
      <c r="I393" s="2">
        <v>20</v>
      </c>
      <c r="J393">
        <v>2.4</v>
      </c>
      <c r="K393">
        <v>1</v>
      </c>
      <c r="L393" s="1">
        <v>0.66</v>
      </c>
    </row>
    <row r="394" spans="1:12" x14ac:dyDescent="0.35">
      <c r="A394" t="s">
        <v>862</v>
      </c>
      <c r="B394" t="s">
        <v>863</v>
      </c>
      <c r="C394" t="s">
        <v>46</v>
      </c>
      <c r="D394">
        <v>37</v>
      </c>
      <c r="E394" t="s">
        <v>15</v>
      </c>
      <c r="F394" t="s">
        <v>16</v>
      </c>
      <c r="G394" t="s">
        <v>86</v>
      </c>
      <c r="I394">
        <v>50</v>
      </c>
      <c r="J394">
        <v>4.5999999999999996</v>
      </c>
      <c r="K394">
        <v>0</v>
      </c>
      <c r="L394" s="1">
        <v>0.83</v>
      </c>
    </row>
    <row r="395" spans="1:12" x14ac:dyDescent="0.35">
      <c r="A395" t="s">
        <v>864</v>
      </c>
      <c r="B395" t="s">
        <v>865</v>
      </c>
      <c r="C395" t="s">
        <v>34</v>
      </c>
      <c r="D395">
        <v>31</v>
      </c>
      <c r="E395" t="s">
        <v>28</v>
      </c>
      <c r="F395" t="s">
        <v>29</v>
      </c>
      <c r="G395" t="s">
        <v>70</v>
      </c>
      <c r="H395">
        <v>10</v>
      </c>
      <c r="I395">
        <v>50</v>
      </c>
      <c r="J395">
        <v>0</v>
      </c>
      <c r="K395" t="s">
        <v>155</v>
      </c>
    </row>
    <row r="396" spans="1:12" x14ac:dyDescent="0.35">
      <c r="A396" t="s">
        <v>866</v>
      </c>
      <c r="B396" t="s">
        <v>867</v>
      </c>
      <c r="C396" t="s">
        <v>14</v>
      </c>
      <c r="D396">
        <v>41</v>
      </c>
      <c r="E396" t="s">
        <v>135</v>
      </c>
      <c r="F396" t="s">
        <v>136</v>
      </c>
      <c r="G396" t="s">
        <v>17</v>
      </c>
      <c r="H396">
        <v>21</v>
      </c>
      <c r="J396">
        <v>0</v>
      </c>
      <c r="K396" t="s">
        <v>71</v>
      </c>
    </row>
    <row r="397" spans="1:12" x14ac:dyDescent="0.35">
      <c r="A397" t="s">
        <v>868</v>
      </c>
      <c r="B397" t="s">
        <v>869</v>
      </c>
      <c r="C397" t="s">
        <v>27</v>
      </c>
      <c r="D397">
        <v>31</v>
      </c>
      <c r="E397" t="s">
        <v>120</v>
      </c>
      <c r="F397" t="s">
        <v>121</v>
      </c>
      <c r="G397" t="s">
        <v>75</v>
      </c>
      <c r="H397">
        <v>0</v>
      </c>
      <c r="I397" s="2">
        <v>20</v>
      </c>
      <c r="J397">
        <v>4.2</v>
      </c>
      <c r="K397" t="s">
        <v>71</v>
      </c>
      <c r="L397">
        <v>82</v>
      </c>
    </row>
    <row r="398" spans="1:12" x14ac:dyDescent="0.35">
      <c r="A398" t="s">
        <v>870</v>
      </c>
      <c r="B398" t="s">
        <v>871</v>
      </c>
      <c r="C398" t="s">
        <v>20</v>
      </c>
      <c r="D398">
        <v>58</v>
      </c>
      <c r="E398" t="s">
        <v>68</v>
      </c>
      <c r="F398" t="s">
        <v>69</v>
      </c>
      <c r="G398" t="s">
        <v>49</v>
      </c>
      <c r="H398">
        <v>0</v>
      </c>
      <c r="I398">
        <v>50</v>
      </c>
      <c r="J398">
        <v>2.2999999999999998</v>
      </c>
      <c r="K398">
        <v>0</v>
      </c>
      <c r="L398" s="1">
        <v>0.77</v>
      </c>
    </row>
    <row r="399" spans="1:12" x14ac:dyDescent="0.35">
      <c r="A399" t="s">
        <v>872</v>
      </c>
      <c r="B399" t="s">
        <v>873</v>
      </c>
      <c r="C399" t="s">
        <v>14</v>
      </c>
      <c r="D399">
        <v>45</v>
      </c>
      <c r="E399" t="s">
        <v>41</v>
      </c>
      <c r="F399" t="s">
        <v>42</v>
      </c>
      <c r="G399" t="s">
        <v>49</v>
      </c>
      <c r="H399">
        <v>17</v>
      </c>
      <c r="I399" s="2">
        <v>50</v>
      </c>
      <c r="J399">
        <v>4.7</v>
      </c>
      <c r="K399">
        <v>1</v>
      </c>
      <c r="L399" s="1">
        <v>0.73</v>
      </c>
    </row>
    <row r="400" spans="1:12" x14ac:dyDescent="0.35">
      <c r="A400" t="s">
        <v>874</v>
      </c>
      <c r="B400" t="s">
        <v>875</v>
      </c>
      <c r="C400" t="s">
        <v>46</v>
      </c>
      <c r="D400">
        <v>51</v>
      </c>
      <c r="E400" t="s">
        <v>109</v>
      </c>
      <c r="F400" t="s">
        <v>110</v>
      </c>
      <c r="G400" t="s">
        <v>75</v>
      </c>
      <c r="H400">
        <v>5</v>
      </c>
      <c r="J400">
        <v>3</v>
      </c>
      <c r="K400">
        <v>1</v>
      </c>
      <c r="L400" s="1">
        <v>0.88</v>
      </c>
    </row>
    <row r="401" spans="1:12" x14ac:dyDescent="0.35">
      <c r="A401" t="s">
        <v>876</v>
      </c>
      <c r="B401" t="s">
        <v>877</v>
      </c>
      <c r="C401" t="s">
        <v>59</v>
      </c>
      <c r="D401">
        <v>54</v>
      </c>
      <c r="E401" t="s">
        <v>56</v>
      </c>
      <c r="F401" t="s">
        <v>22</v>
      </c>
      <c r="G401" t="s">
        <v>70</v>
      </c>
      <c r="H401">
        <v>3</v>
      </c>
      <c r="I401" t="s">
        <v>106</v>
      </c>
      <c r="J401">
        <v>2.4</v>
      </c>
      <c r="K401">
        <v>0</v>
      </c>
      <c r="L401" s="1">
        <v>0.81</v>
      </c>
    </row>
    <row r="402" spans="1:12" x14ac:dyDescent="0.35">
      <c r="A402" t="s">
        <v>878</v>
      </c>
      <c r="B402" t="s">
        <v>879</v>
      </c>
      <c r="C402" t="s">
        <v>89</v>
      </c>
      <c r="D402">
        <v>22</v>
      </c>
      <c r="E402" t="s">
        <v>120</v>
      </c>
      <c r="F402" t="s">
        <v>121</v>
      </c>
      <c r="G402" t="s">
        <v>49</v>
      </c>
      <c r="H402">
        <v>1</v>
      </c>
      <c r="I402">
        <v>20</v>
      </c>
      <c r="J402">
        <v>1.7</v>
      </c>
      <c r="K402" t="s">
        <v>31</v>
      </c>
      <c r="L402" s="1">
        <v>0.78</v>
      </c>
    </row>
    <row r="403" spans="1:12" x14ac:dyDescent="0.35">
      <c r="A403" t="s">
        <v>880</v>
      </c>
      <c r="B403" t="s">
        <v>881</v>
      </c>
      <c r="C403" t="s">
        <v>89</v>
      </c>
      <c r="D403">
        <v>36</v>
      </c>
      <c r="E403" t="s">
        <v>60</v>
      </c>
      <c r="F403" t="s">
        <v>61</v>
      </c>
      <c r="G403" t="s">
        <v>75</v>
      </c>
      <c r="H403">
        <v>2</v>
      </c>
      <c r="I403">
        <v>75</v>
      </c>
      <c r="J403">
        <v>0</v>
      </c>
      <c r="K403" t="b">
        <v>0</v>
      </c>
      <c r="L403" s="1">
        <v>0.92</v>
      </c>
    </row>
    <row r="404" spans="1:12" x14ac:dyDescent="0.35">
      <c r="A404" t="s">
        <v>882</v>
      </c>
      <c r="B404" t="s">
        <v>883</v>
      </c>
      <c r="C404" t="s">
        <v>59</v>
      </c>
      <c r="D404">
        <v>50</v>
      </c>
      <c r="E404" t="s">
        <v>28</v>
      </c>
      <c r="F404" t="s">
        <v>29</v>
      </c>
      <c r="G404" t="s">
        <v>86</v>
      </c>
      <c r="H404">
        <v>32</v>
      </c>
      <c r="I404" s="2">
        <v>30</v>
      </c>
      <c r="K404">
        <v>0</v>
      </c>
      <c r="L404" s="1">
        <v>0.64</v>
      </c>
    </row>
    <row r="405" spans="1:12" x14ac:dyDescent="0.35">
      <c r="A405" t="s">
        <v>884</v>
      </c>
      <c r="B405" t="s">
        <v>885</v>
      </c>
      <c r="C405" t="s">
        <v>74</v>
      </c>
      <c r="D405">
        <v>41</v>
      </c>
      <c r="E405" t="s">
        <v>21</v>
      </c>
      <c r="F405" t="s">
        <v>22</v>
      </c>
      <c r="G405" t="s">
        <v>17</v>
      </c>
      <c r="H405">
        <v>14</v>
      </c>
      <c r="I405">
        <v>30</v>
      </c>
      <c r="J405">
        <v>0</v>
      </c>
      <c r="K405" t="s">
        <v>71</v>
      </c>
      <c r="L405" s="1">
        <v>0.78</v>
      </c>
    </row>
    <row r="406" spans="1:12" x14ac:dyDescent="0.35">
      <c r="A406" t="s">
        <v>886</v>
      </c>
      <c r="B406" t="s">
        <v>887</v>
      </c>
      <c r="C406" t="s">
        <v>89</v>
      </c>
      <c r="E406" t="s">
        <v>149</v>
      </c>
      <c r="F406" t="s">
        <v>150</v>
      </c>
      <c r="G406" t="s">
        <v>35</v>
      </c>
      <c r="H406">
        <v>10</v>
      </c>
      <c r="I406">
        <v>20</v>
      </c>
      <c r="J406">
        <v>1.8</v>
      </c>
      <c r="K406" t="s">
        <v>65</v>
      </c>
      <c r="L406">
        <v>85</v>
      </c>
    </row>
    <row r="407" spans="1:12" x14ac:dyDescent="0.35">
      <c r="A407" t="s">
        <v>888</v>
      </c>
      <c r="B407" t="s">
        <v>889</v>
      </c>
      <c r="C407" t="s">
        <v>20</v>
      </c>
      <c r="D407">
        <v>51</v>
      </c>
      <c r="E407" t="s">
        <v>41</v>
      </c>
      <c r="F407" t="s">
        <v>42</v>
      </c>
      <c r="G407" t="s">
        <v>75</v>
      </c>
      <c r="H407">
        <v>27</v>
      </c>
      <c r="I407" s="2">
        <v>50</v>
      </c>
      <c r="J407">
        <v>0</v>
      </c>
      <c r="K407" t="s">
        <v>155</v>
      </c>
      <c r="L407" s="1">
        <v>0.78</v>
      </c>
    </row>
    <row r="408" spans="1:12" x14ac:dyDescent="0.35">
      <c r="A408" t="s">
        <v>890</v>
      </c>
      <c r="B408" t="s">
        <v>891</v>
      </c>
      <c r="C408" t="s">
        <v>27</v>
      </c>
      <c r="D408">
        <v>21</v>
      </c>
      <c r="E408" t="s">
        <v>131</v>
      </c>
      <c r="F408" t="s">
        <v>132</v>
      </c>
      <c r="G408" t="s">
        <v>43</v>
      </c>
      <c r="H408">
        <v>2</v>
      </c>
      <c r="I408" s="2">
        <v>30</v>
      </c>
      <c r="J408">
        <v>3.8</v>
      </c>
      <c r="K408">
        <v>1</v>
      </c>
      <c r="L408" s="1">
        <v>0.98</v>
      </c>
    </row>
    <row r="409" spans="1:12" x14ac:dyDescent="0.35">
      <c r="A409" t="s">
        <v>892</v>
      </c>
      <c r="B409" t="s">
        <v>893</v>
      </c>
      <c r="C409" t="s">
        <v>59</v>
      </c>
      <c r="D409">
        <v>51</v>
      </c>
      <c r="E409" t="s">
        <v>82</v>
      </c>
      <c r="F409" t="s">
        <v>83</v>
      </c>
      <c r="G409" t="s">
        <v>43</v>
      </c>
      <c r="H409">
        <v>33</v>
      </c>
      <c r="I409" t="s">
        <v>53</v>
      </c>
      <c r="J409">
        <v>0</v>
      </c>
      <c r="K409" t="s">
        <v>71</v>
      </c>
      <c r="L409" s="1">
        <v>0.63</v>
      </c>
    </row>
    <row r="410" spans="1:12" x14ac:dyDescent="0.35">
      <c r="A410" t="s">
        <v>894</v>
      </c>
      <c r="B410" t="s">
        <v>895</v>
      </c>
      <c r="C410" t="s">
        <v>38</v>
      </c>
      <c r="D410">
        <v>37</v>
      </c>
      <c r="E410" t="s">
        <v>47</v>
      </c>
      <c r="F410" t="s">
        <v>48</v>
      </c>
      <c r="G410" t="s">
        <v>30</v>
      </c>
      <c r="H410">
        <v>11</v>
      </c>
      <c r="I410" t="s">
        <v>53</v>
      </c>
      <c r="J410">
        <v>3.6</v>
      </c>
      <c r="K410" t="s">
        <v>31</v>
      </c>
      <c r="L410" s="1">
        <v>0.73</v>
      </c>
    </row>
    <row r="411" spans="1:12" x14ac:dyDescent="0.35">
      <c r="A411" t="s">
        <v>896</v>
      </c>
      <c r="B411" t="s">
        <v>897</v>
      </c>
      <c r="C411" t="s">
        <v>14</v>
      </c>
      <c r="D411">
        <v>20</v>
      </c>
      <c r="E411" t="s">
        <v>185</v>
      </c>
      <c r="F411" t="s">
        <v>69</v>
      </c>
      <c r="G411" t="s">
        <v>30</v>
      </c>
      <c r="H411">
        <v>2</v>
      </c>
      <c r="I411">
        <v>30</v>
      </c>
      <c r="J411">
        <v>0</v>
      </c>
      <c r="K411">
        <v>0</v>
      </c>
      <c r="L411" s="1">
        <v>0.94</v>
      </c>
    </row>
    <row r="412" spans="1:12" x14ac:dyDescent="0.35">
      <c r="A412" t="s">
        <v>898</v>
      </c>
      <c r="B412" t="s">
        <v>899</v>
      </c>
      <c r="C412" t="s">
        <v>74</v>
      </c>
      <c r="D412">
        <v>50</v>
      </c>
      <c r="E412" t="s">
        <v>21</v>
      </c>
      <c r="F412" t="s">
        <v>22</v>
      </c>
      <c r="G412" t="s">
        <v>35</v>
      </c>
      <c r="H412">
        <v>31</v>
      </c>
      <c r="I412" s="2">
        <v>50</v>
      </c>
      <c r="J412">
        <v>4.0999999999999996</v>
      </c>
      <c r="L412" s="1">
        <v>0.81</v>
      </c>
    </row>
    <row r="413" spans="1:12" x14ac:dyDescent="0.35">
      <c r="A413" t="s">
        <v>900</v>
      </c>
      <c r="B413" t="s">
        <v>901</v>
      </c>
      <c r="C413" t="s">
        <v>20</v>
      </c>
      <c r="D413">
        <v>58</v>
      </c>
      <c r="E413" t="s">
        <v>60</v>
      </c>
      <c r="F413" t="s">
        <v>61</v>
      </c>
      <c r="G413" t="s">
        <v>30</v>
      </c>
      <c r="H413">
        <v>17</v>
      </c>
      <c r="I413" s="2">
        <v>50</v>
      </c>
      <c r="J413">
        <v>2.6</v>
      </c>
      <c r="K413">
        <v>1</v>
      </c>
      <c r="L413" s="1">
        <v>0.61</v>
      </c>
    </row>
    <row r="414" spans="1:12" x14ac:dyDescent="0.35">
      <c r="A414" t="s">
        <v>902</v>
      </c>
      <c r="B414" t="s">
        <v>903</v>
      </c>
      <c r="C414" t="s">
        <v>20</v>
      </c>
      <c r="D414">
        <v>40</v>
      </c>
      <c r="E414" t="s">
        <v>104</v>
      </c>
      <c r="F414" t="s">
        <v>105</v>
      </c>
      <c r="G414" t="s">
        <v>70</v>
      </c>
      <c r="H414">
        <v>2</v>
      </c>
      <c r="I414" s="2">
        <v>100</v>
      </c>
      <c r="J414">
        <v>0</v>
      </c>
      <c r="K414">
        <v>0</v>
      </c>
    </row>
    <row r="415" spans="1:12" x14ac:dyDescent="0.35">
      <c r="A415" t="s">
        <v>904</v>
      </c>
      <c r="B415" t="s">
        <v>905</v>
      </c>
      <c r="C415" t="s">
        <v>34</v>
      </c>
      <c r="D415">
        <v>26</v>
      </c>
      <c r="E415" t="s">
        <v>135</v>
      </c>
      <c r="F415" t="s">
        <v>136</v>
      </c>
      <c r="G415" t="s">
        <v>35</v>
      </c>
      <c r="H415">
        <v>2</v>
      </c>
      <c r="I415">
        <v>20</v>
      </c>
      <c r="J415">
        <v>1.3</v>
      </c>
      <c r="K415" t="s">
        <v>155</v>
      </c>
      <c r="L415" s="1">
        <v>0.83</v>
      </c>
    </row>
    <row r="416" spans="1:12" x14ac:dyDescent="0.35">
      <c r="A416" t="s">
        <v>906</v>
      </c>
      <c r="B416" t="s">
        <v>907</v>
      </c>
      <c r="C416" t="s">
        <v>20</v>
      </c>
      <c r="D416">
        <v>44</v>
      </c>
      <c r="E416" t="s">
        <v>109</v>
      </c>
      <c r="F416" t="s">
        <v>110</v>
      </c>
      <c r="G416" t="s">
        <v>75</v>
      </c>
      <c r="H416">
        <v>22</v>
      </c>
      <c r="I416">
        <v>30</v>
      </c>
      <c r="J416">
        <v>4.0999999999999996</v>
      </c>
      <c r="K416" t="s">
        <v>71</v>
      </c>
    </row>
    <row r="417" spans="1:12" x14ac:dyDescent="0.35">
      <c r="A417" t="s">
        <v>908</v>
      </c>
      <c r="B417" t="s">
        <v>909</v>
      </c>
      <c r="C417" t="s">
        <v>27</v>
      </c>
      <c r="D417">
        <v>42</v>
      </c>
      <c r="E417" t="s">
        <v>174</v>
      </c>
      <c r="F417" t="s">
        <v>69</v>
      </c>
      <c r="G417" t="s">
        <v>111</v>
      </c>
      <c r="H417">
        <v>8</v>
      </c>
      <c r="I417" s="2">
        <v>50</v>
      </c>
      <c r="J417">
        <v>2.4</v>
      </c>
      <c r="K417" t="s">
        <v>155</v>
      </c>
      <c r="L417" s="1">
        <v>0.68</v>
      </c>
    </row>
    <row r="418" spans="1:12" x14ac:dyDescent="0.35">
      <c r="A418" t="s">
        <v>910</v>
      </c>
      <c r="B418" t="s">
        <v>330</v>
      </c>
      <c r="C418" t="s">
        <v>89</v>
      </c>
      <c r="D418">
        <v>38</v>
      </c>
      <c r="E418" t="s">
        <v>174</v>
      </c>
      <c r="F418" t="s">
        <v>69</v>
      </c>
      <c r="G418" t="s">
        <v>49</v>
      </c>
      <c r="H418">
        <v>9</v>
      </c>
      <c r="I418" s="2">
        <v>50</v>
      </c>
      <c r="J418">
        <v>0</v>
      </c>
      <c r="K418">
        <v>0</v>
      </c>
      <c r="L418" s="1">
        <v>0.74</v>
      </c>
    </row>
    <row r="419" spans="1:12" x14ac:dyDescent="0.35">
      <c r="A419" t="s">
        <v>911</v>
      </c>
      <c r="B419" t="s">
        <v>912</v>
      </c>
      <c r="C419" t="s">
        <v>27</v>
      </c>
      <c r="D419">
        <v>51</v>
      </c>
      <c r="E419" t="s">
        <v>135</v>
      </c>
      <c r="F419" t="s">
        <v>136</v>
      </c>
      <c r="G419" t="s">
        <v>35</v>
      </c>
      <c r="H419">
        <v>32</v>
      </c>
      <c r="I419">
        <v>100</v>
      </c>
      <c r="J419">
        <v>4.4000000000000004</v>
      </c>
      <c r="K419" t="b">
        <v>0</v>
      </c>
      <c r="L419">
        <v>91</v>
      </c>
    </row>
    <row r="420" spans="1:12" x14ac:dyDescent="0.35">
      <c r="A420" t="s">
        <v>913</v>
      </c>
      <c r="B420" t="s">
        <v>914</v>
      </c>
      <c r="C420" t="s">
        <v>38</v>
      </c>
      <c r="D420">
        <v>36</v>
      </c>
      <c r="E420" t="s">
        <v>131</v>
      </c>
      <c r="F420" t="s">
        <v>132</v>
      </c>
      <c r="G420" t="s">
        <v>43</v>
      </c>
      <c r="H420">
        <v>8</v>
      </c>
      <c r="I420" t="s">
        <v>24</v>
      </c>
      <c r="J420">
        <v>2.2000000000000002</v>
      </c>
      <c r="K420">
        <v>1</v>
      </c>
      <c r="L420" s="1">
        <v>0.97</v>
      </c>
    </row>
    <row r="421" spans="1:12" x14ac:dyDescent="0.35">
      <c r="A421" t="s">
        <v>915</v>
      </c>
      <c r="B421" t="s">
        <v>916</v>
      </c>
      <c r="C421" t="s">
        <v>20</v>
      </c>
      <c r="D421">
        <v>37</v>
      </c>
      <c r="E421" t="s">
        <v>21</v>
      </c>
      <c r="F421" t="s">
        <v>22</v>
      </c>
      <c r="G421" t="s">
        <v>23</v>
      </c>
      <c r="H421">
        <v>10</v>
      </c>
      <c r="I421">
        <v>30</v>
      </c>
      <c r="J421">
        <v>0</v>
      </c>
      <c r="K421">
        <v>0</v>
      </c>
      <c r="L421" s="1">
        <v>0.96</v>
      </c>
    </row>
    <row r="422" spans="1:12" x14ac:dyDescent="0.35">
      <c r="A422" t="s">
        <v>917</v>
      </c>
      <c r="B422" t="s">
        <v>918</v>
      </c>
      <c r="C422" t="s">
        <v>27</v>
      </c>
      <c r="D422">
        <v>31</v>
      </c>
      <c r="E422" t="s">
        <v>149</v>
      </c>
      <c r="F422" t="s">
        <v>150</v>
      </c>
      <c r="G422" t="s">
        <v>86</v>
      </c>
      <c r="H422">
        <v>0</v>
      </c>
      <c r="I422">
        <v>50</v>
      </c>
      <c r="J422">
        <v>1.1000000000000001</v>
      </c>
      <c r="K422" t="s">
        <v>71</v>
      </c>
      <c r="L422" s="1">
        <v>0.73</v>
      </c>
    </row>
    <row r="423" spans="1:12" x14ac:dyDescent="0.35">
      <c r="A423" t="s">
        <v>919</v>
      </c>
      <c r="B423" t="s">
        <v>920</v>
      </c>
      <c r="C423" t="s">
        <v>14</v>
      </c>
      <c r="D423">
        <v>47</v>
      </c>
      <c r="E423" t="s">
        <v>90</v>
      </c>
      <c r="F423" t="s">
        <v>91</v>
      </c>
      <c r="G423" t="s">
        <v>75</v>
      </c>
      <c r="H423">
        <v>22</v>
      </c>
      <c r="J423">
        <v>1.4</v>
      </c>
      <c r="K423" t="s">
        <v>65</v>
      </c>
      <c r="L423" s="1">
        <v>0.72</v>
      </c>
    </row>
    <row r="424" spans="1:12" x14ac:dyDescent="0.35">
      <c r="A424" t="s">
        <v>921</v>
      </c>
      <c r="B424" t="s">
        <v>922</v>
      </c>
      <c r="C424" t="s">
        <v>38</v>
      </c>
      <c r="D424">
        <v>60</v>
      </c>
      <c r="E424" t="s">
        <v>174</v>
      </c>
      <c r="F424" t="s">
        <v>69</v>
      </c>
      <c r="G424" t="s">
        <v>70</v>
      </c>
      <c r="H424">
        <v>34</v>
      </c>
      <c r="I424" s="2">
        <v>100</v>
      </c>
      <c r="J424">
        <v>0</v>
      </c>
      <c r="K424" t="b">
        <v>1</v>
      </c>
      <c r="L424" s="1">
        <v>0.74</v>
      </c>
    </row>
    <row r="425" spans="1:12" x14ac:dyDescent="0.35">
      <c r="A425" t="s">
        <v>923</v>
      </c>
      <c r="B425" t="s">
        <v>924</v>
      </c>
      <c r="C425" t="s">
        <v>20</v>
      </c>
      <c r="D425">
        <v>48</v>
      </c>
      <c r="E425" t="s">
        <v>68</v>
      </c>
      <c r="F425" t="s">
        <v>69</v>
      </c>
      <c r="G425" t="s">
        <v>23</v>
      </c>
      <c r="H425">
        <v>5</v>
      </c>
      <c r="I425">
        <v>30</v>
      </c>
      <c r="J425">
        <v>1.5</v>
      </c>
      <c r="K425" t="s">
        <v>31</v>
      </c>
    </row>
    <row r="426" spans="1:12" x14ac:dyDescent="0.35">
      <c r="A426" t="s">
        <v>925</v>
      </c>
      <c r="B426" t="s">
        <v>926</v>
      </c>
      <c r="C426" t="s">
        <v>34</v>
      </c>
      <c r="D426">
        <v>24</v>
      </c>
      <c r="E426" t="s">
        <v>90</v>
      </c>
      <c r="F426" t="s">
        <v>91</v>
      </c>
      <c r="G426" t="s">
        <v>43</v>
      </c>
      <c r="H426">
        <v>3</v>
      </c>
      <c r="I426">
        <v>20</v>
      </c>
      <c r="J426">
        <v>0</v>
      </c>
      <c r="K426">
        <v>1</v>
      </c>
    </row>
    <row r="427" spans="1:12" x14ac:dyDescent="0.35">
      <c r="A427" t="s">
        <v>927</v>
      </c>
      <c r="B427" t="s">
        <v>928</v>
      </c>
      <c r="C427" t="s">
        <v>20</v>
      </c>
      <c r="D427">
        <v>35</v>
      </c>
      <c r="E427" t="s">
        <v>41</v>
      </c>
      <c r="F427" t="s">
        <v>42</v>
      </c>
      <c r="G427" t="s">
        <v>111</v>
      </c>
      <c r="H427">
        <v>10</v>
      </c>
      <c r="I427">
        <v>75</v>
      </c>
      <c r="J427">
        <v>0</v>
      </c>
      <c r="L427" s="1">
        <v>0.74</v>
      </c>
    </row>
    <row r="428" spans="1:12" x14ac:dyDescent="0.35">
      <c r="A428" t="s">
        <v>929</v>
      </c>
      <c r="B428" t="s">
        <v>930</v>
      </c>
      <c r="C428" t="s">
        <v>59</v>
      </c>
      <c r="D428">
        <v>35</v>
      </c>
      <c r="E428" t="s">
        <v>56</v>
      </c>
      <c r="F428" t="s">
        <v>22</v>
      </c>
      <c r="G428" t="s">
        <v>86</v>
      </c>
      <c r="I428">
        <v>100</v>
      </c>
      <c r="J428">
        <v>3.5</v>
      </c>
      <c r="K428" t="s">
        <v>71</v>
      </c>
      <c r="L428" s="1">
        <v>0.71</v>
      </c>
    </row>
    <row r="429" spans="1:12" x14ac:dyDescent="0.35">
      <c r="A429" t="s">
        <v>931</v>
      </c>
      <c r="B429" t="s">
        <v>932</v>
      </c>
      <c r="C429" t="s">
        <v>74</v>
      </c>
      <c r="D429">
        <v>29</v>
      </c>
      <c r="E429" t="s">
        <v>41</v>
      </c>
      <c r="F429" t="s">
        <v>42</v>
      </c>
      <c r="G429" t="s">
        <v>70</v>
      </c>
      <c r="H429">
        <v>6</v>
      </c>
      <c r="J429">
        <v>4.8</v>
      </c>
      <c r="K429" t="s">
        <v>31</v>
      </c>
      <c r="L429" s="1">
        <v>0.83</v>
      </c>
    </row>
    <row r="430" spans="1:12" x14ac:dyDescent="0.35">
      <c r="A430" t="s">
        <v>933</v>
      </c>
      <c r="B430" t="s">
        <v>934</v>
      </c>
      <c r="C430" t="s">
        <v>74</v>
      </c>
      <c r="D430">
        <v>36</v>
      </c>
      <c r="E430" t="s">
        <v>15</v>
      </c>
      <c r="F430" t="s">
        <v>16</v>
      </c>
      <c r="G430" t="s">
        <v>111</v>
      </c>
      <c r="H430">
        <v>1</v>
      </c>
      <c r="I430" s="2">
        <v>75</v>
      </c>
      <c r="L430" s="1">
        <v>0.63</v>
      </c>
    </row>
    <row r="431" spans="1:12" x14ac:dyDescent="0.35">
      <c r="A431" t="s">
        <v>935</v>
      </c>
      <c r="B431" t="s">
        <v>936</v>
      </c>
      <c r="C431" t="s">
        <v>20</v>
      </c>
      <c r="D431">
        <v>44</v>
      </c>
      <c r="E431" t="s">
        <v>124</v>
      </c>
      <c r="F431" t="s">
        <v>22</v>
      </c>
      <c r="G431" t="s">
        <v>43</v>
      </c>
      <c r="H431">
        <v>0</v>
      </c>
      <c r="J431">
        <v>4.8</v>
      </c>
      <c r="L431" s="1">
        <v>0.84</v>
      </c>
    </row>
    <row r="432" spans="1:12" x14ac:dyDescent="0.35">
      <c r="A432" t="s">
        <v>937</v>
      </c>
      <c r="B432" t="s">
        <v>938</v>
      </c>
      <c r="C432" t="s">
        <v>59</v>
      </c>
      <c r="D432">
        <v>44</v>
      </c>
      <c r="E432" t="s">
        <v>149</v>
      </c>
      <c r="F432" t="s">
        <v>150</v>
      </c>
      <c r="G432" t="s">
        <v>35</v>
      </c>
      <c r="J432">
        <v>1.4</v>
      </c>
      <c r="K432">
        <v>0</v>
      </c>
      <c r="L432" s="1">
        <v>0.93</v>
      </c>
    </row>
    <row r="433" spans="1:12" x14ac:dyDescent="0.35">
      <c r="A433" t="s">
        <v>939</v>
      </c>
      <c r="B433" t="s">
        <v>940</v>
      </c>
      <c r="C433" t="s">
        <v>46</v>
      </c>
      <c r="D433">
        <v>40</v>
      </c>
      <c r="E433" t="s">
        <v>90</v>
      </c>
      <c r="F433" t="s">
        <v>91</v>
      </c>
      <c r="G433" t="s">
        <v>43</v>
      </c>
      <c r="H433">
        <v>13</v>
      </c>
      <c r="I433" t="s">
        <v>24</v>
      </c>
      <c r="J433">
        <v>1.1000000000000001</v>
      </c>
      <c r="K433">
        <v>1</v>
      </c>
    </row>
    <row r="434" spans="1:12" x14ac:dyDescent="0.35">
      <c r="A434" t="s">
        <v>941</v>
      </c>
      <c r="B434" t="s">
        <v>942</v>
      </c>
      <c r="C434" t="s">
        <v>34</v>
      </c>
      <c r="D434">
        <v>53</v>
      </c>
      <c r="E434" t="s">
        <v>41</v>
      </c>
      <c r="F434" t="s">
        <v>42</v>
      </c>
      <c r="G434" t="s">
        <v>111</v>
      </c>
      <c r="H434">
        <v>13</v>
      </c>
      <c r="I434" s="2">
        <v>50</v>
      </c>
      <c r="J434">
        <v>3.3</v>
      </c>
      <c r="K434" t="s">
        <v>71</v>
      </c>
      <c r="L434" s="1">
        <v>0.93</v>
      </c>
    </row>
    <row r="435" spans="1:12" x14ac:dyDescent="0.35">
      <c r="A435" t="s">
        <v>943</v>
      </c>
      <c r="B435" t="s">
        <v>944</v>
      </c>
      <c r="C435" t="s">
        <v>14</v>
      </c>
      <c r="D435">
        <v>35</v>
      </c>
      <c r="E435" t="s">
        <v>28</v>
      </c>
      <c r="F435" t="s">
        <v>29</v>
      </c>
      <c r="G435" t="s">
        <v>17</v>
      </c>
      <c r="H435">
        <v>0</v>
      </c>
      <c r="I435" t="s">
        <v>106</v>
      </c>
      <c r="J435">
        <v>4.5999999999999996</v>
      </c>
      <c r="L435" s="1">
        <v>0.97</v>
      </c>
    </row>
    <row r="436" spans="1:12" x14ac:dyDescent="0.35">
      <c r="A436" t="s">
        <v>945</v>
      </c>
      <c r="B436" t="s">
        <v>946</v>
      </c>
      <c r="C436" t="s">
        <v>20</v>
      </c>
      <c r="D436">
        <v>27</v>
      </c>
      <c r="E436" t="s">
        <v>68</v>
      </c>
      <c r="F436" t="s">
        <v>69</v>
      </c>
      <c r="G436" t="s">
        <v>111</v>
      </c>
      <c r="H436">
        <v>7</v>
      </c>
      <c r="I436" t="s">
        <v>50</v>
      </c>
      <c r="J436">
        <v>2.8</v>
      </c>
      <c r="K436">
        <v>1</v>
      </c>
      <c r="L436" s="1">
        <v>0.92</v>
      </c>
    </row>
    <row r="437" spans="1:12" x14ac:dyDescent="0.35">
      <c r="A437" t="s">
        <v>947</v>
      </c>
      <c r="B437" t="s">
        <v>948</v>
      </c>
      <c r="C437" t="s">
        <v>59</v>
      </c>
      <c r="D437">
        <v>34</v>
      </c>
      <c r="E437" t="s">
        <v>21</v>
      </c>
      <c r="F437" t="s">
        <v>22</v>
      </c>
      <c r="G437" t="s">
        <v>86</v>
      </c>
      <c r="H437">
        <v>6</v>
      </c>
      <c r="I437">
        <v>50</v>
      </c>
      <c r="J437">
        <v>5</v>
      </c>
      <c r="K437" t="s">
        <v>71</v>
      </c>
      <c r="L437" s="1">
        <v>0.92</v>
      </c>
    </row>
    <row r="438" spans="1:12" x14ac:dyDescent="0.35">
      <c r="A438" t="s">
        <v>949</v>
      </c>
      <c r="B438" t="s">
        <v>950</v>
      </c>
      <c r="C438" t="s">
        <v>27</v>
      </c>
      <c r="D438">
        <v>24</v>
      </c>
      <c r="E438" t="s">
        <v>90</v>
      </c>
      <c r="F438" t="s">
        <v>91</v>
      </c>
      <c r="G438" t="s">
        <v>75</v>
      </c>
      <c r="H438">
        <v>2</v>
      </c>
      <c r="I438">
        <v>75</v>
      </c>
      <c r="J438">
        <v>4.7</v>
      </c>
      <c r="K438" t="s">
        <v>155</v>
      </c>
      <c r="L438" s="1">
        <v>0.68</v>
      </c>
    </row>
    <row r="439" spans="1:12" x14ac:dyDescent="0.35">
      <c r="A439" t="s">
        <v>951</v>
      </c>
      <c r="B439" t="s">
        <v>952</v>
      </c>
      <c r="C439" t="s">
        <v>27</v>
      </c>
      <c r="D439">
        <v>57</v>
      </c>
      <c r="E439" t="s">
        <v>56</v>
      </c>
      <c r="F439" t="s">
        <v>22</v>
      </c>
      <c r="G439" t="s">
        <v>70</v>
      </c>
      <c r="H439">
        <v>13</v>
      </c>
      <c r="I439">
        <v>100</v>
      </c>
      <c r="J439">
        <v>3.5</v>
      </c>
      <c r="K439" t="s">
        <v>155</v>
      </c>
      <c r="L439" s="1">
        <v>0.95</v>
      </c>
    </row>
    <row r="440" spans="1:12" x14ac:dyDescent="0.35">
      <c r="A440" t="s">
        <v>953</v>
      </c>
      <c r="B440" t="s">
        <v>954</v>
      </c>
      <c r="C440" t="s">
        <v>46</v>
      </c>
      <c r="D440">
        <v>28</v>
      </c>
      <c r="E440" t="s">
        <v>109</v>
      </c>
      <c r="F440" t="s">
        <v>110</v>
      </c>
      <c r="G440" t="s">
        <v>70</v>
      </c>
      <c r="H440">
        <v>7</v>
      </c>
      <c r="I440" s="2">
        <v>100</v>
      </c>
      <c r="J440">
        <v>4.3</v>
      </c>
      <c r="K440" t="b">
        <v>0</v>
      </c>
      <c r="L440" s="1">
        <v>0.76</v>
      </c>
    </row>
    <row r="441" spans="1:12" x14ac:dyDescent="0.35">
      <c r="A441" t="s">
        <v>955</v>
      </c>
      <c r="B441" t="s">
        <v>956</v>
      </c>
      <c r="C441" t="s">
        <v>34</v>
      </c>
      <c r="D441">
        <v>26</v>
      </c>
      <c r="E441" t="s">
        <v>15</v>
      </c>
      <c r="F441" t="s">
        <v>16</v>
      </c>
      <c r="G441" t="s">
        <v>86</v>
      </c>
      <c r="H441">
        <v>7</v>
      </c>
      <c r="I441" t="s">
        <v>24</v>
      </c>
      <c r="J441">
        <v>3.3</v>
      </c>
      <c r="K441" t="s">
        <v>65</v>
      </c>
      <c r="L441" s="1">
        <v>0.66</v>
      </c>
    </row>
    <row r="442" spans="1:12" x14ac:dyDescent="0.35">
      <c r="A442" t="s">
        <v>957</v>
      </c>
      <c r="B442" t="s">
        <v>958</v>
      </c>
      <c r="C442" t="s">
        <v>94</v>
      </c>
      <c r="D442">
        <v>34</v>
      </c>
      <c r="E442" t="s">
        <v>68</v>
      </c>
      <c r="F442" t="s">
        <v>69</v>
      </c>
      <c r="G442" t="s">
        <v>23</v>
      </c>
      <c r="H442">
        <v>15</v>
      </c>
      <c r="I442">
        <v>75</v>
      </c>
      <c r="K442">
        <v>0</v>
      </c>
      <c r="L442" s="1">
        <v>0.73</v>
      </c>
    </row>
    <row r="443" spans="1:12" x14ac:dyDescent="0.35">
      <c r="A443" t="s">
        <v>959</v>
      </c>
      <c r="B443" t="s">
        <v>960</v>
      </c>
      <c r="C443" t="s">
        <v>94</v>
      </c>
      <c r="D443">
        <v>43</v>
      </c>
      <c r="E443" t="s">
        <v>82</v>
      </c>
      <c r="F443" t="s">
        <v>83</v>
      </c>
      <c r="G443" t="s">
        <v>43</v>
      </c>
      <c r="I443" t="s">
        <v>308</v>
      </c>
      <c r="J443">
        <v>2.8</v>
      </c>
      <c r="L443" s="1">
        <v>0.99</v>
      </c>
    </row>
    <row r="444" spans="1:12" x14ac:dyDescent="0.35">
      <c r="A444" t="s">
        <v>961</v>
      </c>
      <c r="B444" t="s">
        <v>962</v>
      </c>
      <c r="C444" t="s">
        <v>89</v>
      </c>
      <c r="D444">
        <v>31</v>
      </c>
      <c r="E444" t="s">
        <v>170</v>
      </c>
      <c r="F444" t="s">
        <v>171</v>
      </c>
      <c r="G444" t="s">
        <v>30</v>
      </c>
      <c r="H444">
        <v>5</v>
      </c>
      <c r="J444">
        <v>2.7</v>
      </c>
      <c r="K444">
        <v>1</v>
      </c>
      <c r="L444">
        <v>94</v>
      </c>
    </row>
    <row r="445" spans="1:12" x14ac:dyDescent="0.35">
      <c r="A445" t="s">
        <v>963</v>
      </c>
      <c r="B445" t="s">
        <v>964</v>
      </c>
      <c r="C445" t="s">
        <v>20</v>
      </c>
      <c r="D445">
        <v>34</v>
      </c>
      <c r="E445" t="s">
        <v>170</v>
      </c>
      <c r="F445" t="s">
        <v>171</v>
      </c>
      <c r="G445" t="s">
        <v>17</v>
      </c>
      <c r="I445" s="2">
        <v>50</v>
      </c>
      <c r="J445">
        <v>0</v>
      </c>
      <c r="K445" t="b">
        <v>0</v>
      </c>
      <c r="L445">
        <v>84</v>
      </c>
    </row>
    <row r="446" spans="1:12" x14ac:dyDescent="0.35">
      <c r="A446" t="s">
        <v>965</v>
      </c>
      <c r="B446" t="s">
        <v>966</v>
      </c>
      <c r="C446" t="s">
        <v>34</v>
      </c>
      <c r="D446">
        <v>32</v>
      </c>
      <c r="E446" t="s">
        <v>120</v>
      </c>
      <c r="F446" t="s">
        <v>121</v>
      </c>
      <c r="G446" t="s">
        <v>75</v>
      </c>
      <c r="H446">
        <v>10</v>
      </c>
      <c r="I446" s="2">
        <v>20</v>
      </c>
      <c r="K446" t="s">
        <v>71</v>
      </c>
      <c r="L446" s="1">
        <v>0.92</v>
      </c>
    </row>
    <row r="447" spans="1:12" x14ac:dyDescent="0.35">
      <c r="A447" t="s">
        <v>967</v>
      </c>
      <c r="B447" t="s">
        <v>968</v>
      </c>
      <c r="C447" t="s">
        <v>46</v>
      </c>
      <c r="D447">
        <v>24</v>
      </c>
      <c r="E447" t="s">
        <v>135</v>
      </c>
      <c r="F447" t="s">
        <v>136</v>
      </c>
      <c r="G447" t="s">
        <v>86</v>
      </c>
      <c r="H447">
        <v>6</v>
      </c>
      <c r="I447" s="2">
        <v>75</v>
      </c>
      <c r="J447">
        <v>4.3</v>
      </c>
      <c r="K447" t="s">
        <v>65</v>
      </c>
    </row>
    <row r="448" spans="1:12" x14ac:dyDescent="0.35">
      <c r="A448" t="s">
        <v>969</v>
      </c>
      <c r="B448" t="s">
        <v>970</v>
      </c>
      <c r="C448" t="s">
        <v>27</v>
      </c>
      <c r="D448">
        <v>35</v>
      </c>
      <c r="E448" t="s">
        <v>64</v>
      </c>
      <c r="F448" t="s">
        <v>22</v>
      </c>
      <c r="G448" t="s">
        <v>43</v>
      </c>
      <c r="H448">
        <v>8</v>
      </c>
      <c r="I448" t="s">
        <v>95</v>
      </c>
      <c r="K448" t="s">
        <v>155</v>
      </c>
      <c r="L448">
        <v>90</v>
      </c>
    </row>
    <row r="449" spans="1:12" x14ac:dyDescent="0.35">
      <c r="A449" t="s">
        <v>971</v>
      </c>
      <c r="B449" t="s">
        <v>972</v>
      </c>
      <c r="C449" t="s">
        <v>20</v>
      </c>
      <c r="D449">
        <v>22</v>
      </c>
      <c r="E449" t="s">
        <v>21</v>
      </c>
      <c r="F449" t="s">
        <v>22</v>
      </c>
      <c r="G449" t="s">
        <v>23</v>
      </c>
      <c r="H449">
        <v>4</v>
      </c>
      <c r="I449">
        <v>20</v>
      </c>
      <c r="K449">
        <v>0</v>
      </c>
      <c r="L449" s="1">
        <v>0.73</v>
      </c>
    </row>
    <row r="450" spans="1:12" x14ac:dyDescent="0.35">
      <c r="A450" t="s">
        <v>973</v>
      </c>
      <c r="B450" t="s">
        <v>974</v>
      </c>
      <c r="C450" t="s">
        <v>34</v>
      </c>
      <c r="D450">
        <v>55</v>
      </c>
      <c r="E450" t="s">
        <v>135</v>
      </c>
      <c r="F450" t="s">
        <v>136</v>
      </c>
      <c r="G450" t="s">
        <v>43</v>
      </c>
      <c r="H450">
        <v>3</v>
      </c>
      <c r="I450">
        <v>100</v>
      </c>
      <c r="K450">
        <v>1</v>
      </c>
      <c r="L450" s="1">
        <v>0.73</v>
      </c>
    </row>
    <row r="451" spans="1:12" x14ac:dyDescent="0.35">
      <c r="A451" t="s">
        <v>975</v>
      </c>
      <c r="B451" t="s">
        <v>976</v>
      </c>
      <c r="C451" t="s">
        <v>38</v>
      </c>
      <c r="D451">
        <v>54</v>
      </c>
      <c r="E451" t="s">
        <v>68</v>
      </c>
      <c r="F451" t="s">
        <v>69</v>
      </c>
      <c r="G451" t="s">
        <v>111</v>
      </c>
      <c r="I451">
        <v>30</v>
      </c>
      <c r="J451">
        <v>2.9</v>
      </c>
      <c r="K451" t="b">
        <v>1</v>
      </c>
      <c r="L451" s="1">
        <v>0.78</v>
      </c>
    </row>
    <row r="452" spans="1:12" x14ac:dyDescent="0.35">
      <c r="A452" t="s">
        <v>977</v>
      </c>
      <c r="B452" t="s">
        <v>978</v>
      </c>
      <c r="C452" t="s">
        <v>14</v>
      </c>
      <c r="D452">
        <v>36</v>
      </c>
      <c r="E452" t="s">
        <v>41</v>
      </c>
      <c r="F452" t="s">
        <v>42</v>
      </c>
      <c r="G452" t="s">
        <v>75</v>
      </c>
      <c r="H452">
        <v>11</v>
      </c>
      <c r="I452" s="2">
        <v>30</v>
      </c>
      <c r="J452">
        <v>0</v>
      </c>
      <c r="K452" t="b">
        <v>1</v>
      </c>
      <c r="L452" s="1">
        <v>0.63</v>
      </c>
    </row>
    <row r="453" spans="1:12" x14ac:dyDescent="0.35">
      <c r="A453" t="s">
        <v>979</v>
      </c>
      <c r="B453" t="s">
        <v>980</v>
      </c>
      <c r="C453" t="s">
        <v>38</v>
      </c>
      <c r="D453">
        <v>36</v>
      </c>
      <c r="E453" t="s">
        <v>41</v>
      </c>
      <c r="F453" t="s">
        <v>42</v>
      </c>
      <c r="G453" t="s">
        <v>43</v>
      </c>
      <c r="H453">
        <v>17</v>
      </c>
      <c r="I453">
        <v>50</v>
      </c>
      <c r="J453">
        <v>1.3</v>
      </c>
      <c r="L453" s="1">
        <v>0.64</v>
      </c>
    </row>
    <row r="454" spans="1:12" x14ac:dyDescent="0.35">
      <c r="A454" t="s">
        <v>981</v>
      </c>
      <c r="B454" t="s">
        <v>982</v>
      </c>
      <c r="C454" t="s">
        <v>14</v>
      </c>
      <c r="D454">
        <v>25</v>
      </c>
      <c r="E454" t="s">
        <v>68</v>
      </c>
      <c r="F454" t="s">
        <v>69</v>
      </c>
      <c r="G454" t="s">
        <v>35</v>
      </c>
      <c r="H454">
        <v>1</v>
      </c>
      <c r="I454">
        <v>75</v>
      </c>
      <c r="J454">
        <v>0</v>
      </c>
      <c r="K454">
        <v>1</v>
      </c>
    </row>
    <row r="455" spans="1:12" x14ac:dyDescent="0.35">
      <c r="A455" t="s">
        <v>983</v>
      </c>
      <c r="B455" t="s">
        <v>984</v>
      </c>
      <c r="C455" t="s">
        <v>94</v>
      </c>
      <c r="D455">
        <v>46</v>
      </c>
      <c r="E455" t="s">
        <v>47</v>
      </c>
      <c r="F455" t="s">
        <v>48</v>
      </c>
      <c r="G455" t="s">
        <v>43</v>
      </c>
      <c r="H455">
        <v>16</v>
      </c>
      <c r="I455">
        <v>20</v>
      </c>
      <c r="J455">
        <v>4.8</v>
      </c>
      <c r="K455">
        <v>1</v>
      </c>
      <c r="L455" s="1">
        <v>0.86</v>
      </c>
    </row>
    <row r="456" spans="1:12" x14ac:dyDescent="0.35">
      <c r="A456" t="s">
        <v>985</v>
      </c>
      <c r="B456" t="s">
        <v>986</v>
      </c>
      <c r="C456" t="s">
        <v>89</v>
      </c>
      <c r="D456">
        <v>41</v>
      </c>
      <c r="E456" t="s">
        <v>68</v>
      </c>
      <c r="F456" t="s">
        <v>69</v>
      </c>
      <c r="G456" t="s">
        <v>111</v>
      </c>
      <c r="H456">
        <v>11</v>
      </c>
      <c r="I456" s="2">
        <v>40</v>
      </c>
      <c r="J456">
        <v>2.4</v>
      </c>
      <c r="K456" t="b">
        <v>0</v>
      </c>
    </row>
    <row r="457" spans="1:12" x14ac:dyDescent="0.35">
      <c r="A457" t="s">
        <v>987</v>
      </c>
      <c r="B457" t="s">
        <v>988</v>
      </c>
      <c r="C457" t="s">
        <v>20</v>
      </c>
      <c r="D457">
        <v>21</v>
      </c>
      <c r="E457" t="s">
        <v>120</v>
      </c>
      <c r="F457" t="s">
        <v>121</v>
      </c>
      <c r="G457" t="s">
        <v>23</v>
      </c>
      <c r="H457">
        <v>3</v>
      </c>
      <c r="I457" s="2">
        <v>100</v>
      </c>
      <c r="J457">
        <v>4.7</v>
      </c>
      <c r="K457" t="s">
        <v>31</v>
      </c>
      <c r="L457" s="1">
        <v>0.96</v>
      </c>
    </row>
    <row r="458" spans="1:12" x14ac:dyDescent="0.35">
      <c r="A458" t="s">
        <v>989</v>
      </c>
      <c r="B458" t="s">
        <v>990</v>
      </c>
      <c r="C458" t="s">
        <v>94</v>
      </c>
      <c r="D458">
        <v>29</v>
      </c>
      <c r="E458" t="s">
        <v>56</v>
      </c>
      <c r="F458" t="s">
        <v>22</v>
      </c>
      <c r="G458" t="s">
        <v>30</v>
      </c>
      <c r="I458" s="2">
        <v>75</v>
      </c>
      <c r="J458">
        <v>2</v>
      </c>
      <c r="K458">
        <v>0</v>
      </c>
    </row>
    <row r="459" spans="1:12" x14ac:dyDescent="0.35">
      <c r="A459" t="s">
        <v>991</v>
      </c>
      <c r="B459" t="s">
        <v>992</v>
      </c>
      <c r="C459" t="s">
        <v>34</v>
      </c>
      <c r="D459">
        <v>44</v>
      </c>
      <c r="E459" t="s">
        <v>56</v>
      </c>
      <c r="F459" t="s">
        <v>22</v>
      </c>
      <c r="G459" t="s">
        <v>23</v>
      </c>
      <c r="H459">
        <v>3</v>
      </c>
      <c r="I459" s="2">
        <v>50</v>
      </c>
      <c r="J459">
        <v>2.2000000000000002</v>
      </c>
      <c r="K459">
        <v>0</v>
      </c>
      <c r="L459" s="1">
        <v>0.77</v>
      </c>
    </row>
    <row r="460" spans="1:12" x14ac:dyDescent="0.35">
      <c r="A460" t="s">
        <v>993</v>
      </c>
      <c r="B460" t="s">
        <v>994</v>
      </c>
      <c r="C460" t="s">
        <v>94</v>
      </c>
      <c r="D460">
        <v>40</v>
      </c>
      <c r="E460" t="s">
        <v>124</v>
      </c>
      <c r="F460" t="s">
        <v>22</v>
      </c>
      <c r="G460" t="s">
        <v>111</v>
      </c>
      <c r="H460">
        <v>1</v>
      </c>
      <c r="I460">
        <v>100</v>
      </c>
      <c r="J460">
        <v>2.1</v>
      </c>
      <c r="K460">
        <v>1</v>
      </c>
    </row>
    <row r="461" spans="1:12" x14ac:dyDescent="0.35">
      <c r="A461" t="s">
        <v>995</v>
      </c>
      <c r="B461" t="s">
        <v>996</v>
      </c>
      <c r="C461" t="s">
        <v>38</v>
      </c>
      <c r="D461">
        <v>27</v>
      </c>
      <c r="E461" t="s">
        <v>135</v>
      </c>
      <c r="F461" t="s">
        <v>136</v>
      </c>
      <c r="G461" t="s">
        <v>49</v>
      </c>
      <c r="H461">
        <v>1</v>
      </c>
      <c r="I461">
        <v>30</v>
      </c>
      <c r="J461">
        <v>1.7</v>
      </c>
      <c r="K461" t="b">
        <v>0</v>
      </c>
      <c r="L461" s="1">
        <v>0.65</v>
      </c>
    </row>
    <row r="462" spans="1:12" x14ac:dyDescent="0.35">
      <c r="A462" t="s">
        <v>997</v>
      </c>
      <c r="B462" t="s">
        <v>998</v>
      </c>
      <c r="C462" t="s">
        <v>59</v>
      </c>
      <c r="D462">
        <v>53</v>
      </c>
      <c r="E462" t="s">
        <v>131</v>
      </c>
      <c r="F462" t="s">
        <v>132</v>
      </c>
      <c r="G462" t="s">
        <v>23</v>
      </c>
      <c r="H462">
        <v>35</v>
      </c>
      <c r="J462">
        <v>5</v>
      </c>
      <c r="K462">
        <v>1</v>
      </c>
      <c r="L462" s="1">
        <v>0.62</v>
      </c>
    </row>
    <row r="463" spans="1:12" x14ac:dyDescent="0.35">
      <c r="A463" t="s">
        <v>999</v>
      </c>
      <c r="B463" t="s">
        <v>1000</v>
      </c>
      <c r="C463" t="s">
        <v>27</v>
      </c>
      <c r="D463">
        <v>20</v>
      </c>
      <c r="E463" t="s">
        <v>60</v>
      </c>
      <c r="F463" t="s">
        <v>61</v>
      </c>
      <c r="G463" t="s">
        <v>49</v>
      </c>
      <c r="H463">
        <v>1</v>
      </c>
      <c r="I463">
        <v>50</v>
      </c>
      <c r="J463">
        <v>2.9</v>
      </c>
      <c r="K463" t="s">
        <v>155</v>
      </c>
      <c r="L463" s="1">
        <v>0.81</v>
      </c>
    </row>
    <row r="464" spans="1:12" x14ac:dyDescent="0.35">
      <c r="A464" t="s">
        <v>1001</v>
      </c>
      <c r="B464" t="s">
        <v>1002</v>
      </c>
      <c r="C464" t="s">
        <v>38</v>
      </c>
      <c r="E464" t="s">
        <v>82</v>
      </c>
      <c r="F464" t="s">
        <v>83</v>
      </c>
      <c r="G464" t="s">
        <v>86</v>
      </c>
      <c r="H464">
        <v>12</v>
      </c>
      <c r="I464" s="2">
        <v>50</v>
      </c>
      <c r="J464">
        <v>4.0999999999999996</v>
      </c>
      <c r="K464" t="s">
        <v>71</v>
      </c>
      <c r="L464" s="1">
        <v>0.62</v>
      </c>
    </row>
    <row r="465" spans="1:12" x14ac:dyDescent="0.35">
      <c r="A465" t="s">
        <v>1003</v>
      </c>
      <c r="B465" t="s">
        <v>1004</v>
      </c>
      <c r="C465" t="s">
        <v>27</v>
      </c>
      <c r="D465">
        <v>26</v>
      </c>
      <c r="E465" t="s">
        <v>174</v>
      </c>
      <c r="F465" t="s">
        <v>69</v>
      </c>
      <c r="G465" t="s">
        <v>35</v>
      </c>
      <c r="H465">
        <v>8</v>
      </c>
      <c r="I465">
        <v>40</v>
      </c>
      <c r="J465">
        <v>4.9000000000000004</v>
      </c>
      <c r="K465" t="s">
        <v>31</v>
      </c>
      <c r="L465" s="1">
        <v>0.87</v>
      </c>
    </row>
    <row r="466" spans="1:12" x14ac:dyDescent="0.35">
      <c r="A466" t="s">
        <v>1005</v>
      </c>
      <c r="B466" t="s">
        <v>1006</v>
      </c>
      <c r="C466" t="s">
        <v>38</v>
      </c>
      <c r="D466">
        <v>49</v>
      </c>
      <c r="E466" t="s">
        <v>104</v>
      </c>
      <c r="F466" t="s">
        <v>105</v>
      </c>
      <c r="G466" t="s">
        <v>111</v>
      </c>
      <c r="H466">
        <v>13</v>
      </c>
      <c r="I466" s="2">
        <v>100</v>
      </c>
      <c r="J466">
        <v>2.5</v>
      </c>
      <c r="K466" t="b">
        <v>0</v>
      </c>
    </row>
    <row r="467" spans="1:12" x14ac:dyDescent="0.35">
      <c r="A467" t="s">
        <v>1007</v>
      </c>
      <c r="B467" t="s">
        <v>1008</v>
      </c>
      <c r="C467" t="s">
        <v>34</v>
      </c>
      <c r="D467">
        <v>20</v>
      </c>
      <c r="E467" t="s">
        <v>135</v>
      </c>
      <c r="F467" t="s">
        <v>136</v>
      </c>
      <c r="G467" t="s">
        <v>49</v>
      </c>
      <c r="H467">
        <v>0</v>
      </c>
      <c r="I467" t="s">
        <v>106</v>
      </c>
      <c r="J467">
        <v>0</v>
      </c>
      <c r="K467">
        <v>1</v>
      </c>
      <c r="L467">
        <v>76</v>
      </c>
    </row>
    <row r="468" spans="1:12" x14ac:dyDescent="0.35">
      <c r="A468" t="s">
        <v>1009</v>
      </c>
      <c r="B468" t="s">
        <v>1010</v>
      </c>
      <c r="C468" t="s">
        <v>38</v>
      </c>
      <c r="D468">
        <v>39</v>
      </c>
      <c r="E468" t="s">
        <v>170</v>
      </c>
      <c r="F468" t="s">
        <v>171</v>
      </c>
      <c r="G468" t="s">
        <v>17</v>
      </c>
      <c r="H468">
        <v>11</v>
      </c>
      <c r="I468">
        <v>100</v>
      </c>
      <c r="J468">
        <v>2.8</v>
      </c>
      <c r="L468">
        <v>70</v>
      </c>
    </row>
    <row r="469" spans="1:12" x14ac:dyDescent="0.35">
      <c r="A469" t="s">
        <v>1011</v>
      </c>
      <c r="B469" t="s">
        <v>1012</v>
      </c>
      <c r="C469" t="s">
        <v>34</v>
      </c>
      <c r="D469">
        <v>41</v>
      </c>
      <c r="E469" t="s">
        <v>170</v>
      </c>
      <c r="F469" t="s">
        <v>171</v>
      </c>
      <c r="G469" t="s">
        <v>111</v>
      </c>
      <c r="H469">
        <v>19</v>
      </c>
      <c r="I469">
        <v>100</v>
      </c>
      <c r="J469">
        <v>3.8</v>
      </c>
      <c r="K469" t="s">
        <v>65</v>
      </c>
      <c r="L469" s="1">
        <v>0.71</v>
      </c>
    </row>
    <row r="470" spans="1:12" x14ac:dyDescent="0.35">
      <c r="A470" t="s">
        <v>1013</v>
      </c>
      <c r="B470" t="s">
        <v>1014</v>
      </c>
      <c r="C470" t="s">
        <v>94</v>
      </c>
      <c r="D470">
        <v>59</v>
      </c>
      <c r="E470" t="s">
        <v>124</v>
      </c>
      <c r="F470" t="s">
        <v>22</v>
      </c>
      <c r="G470" t="s">
        <v>23</v>
      </c>
      <c r="H470">
        <v>30</v>
      </c>
      <c r="I470" t="s">
        <v>106</v>
      </c>
      <c r="J470">
        <v>4.3</v>
      </c>
      <c r="K470">
        <v>1</v>
      </c>
      <c r="L470" s="1">
        <v>0.83</v>
      </c>
    </row>
    <row r="471" spans="1:12" x14ac:dyDescent="0.35">
      <c r="A471" t="s">
        <v>1015</v>
      </c>
      <c r="B471" t="s">
        <v>1016</v>
      </c>
      <c r="C471" t="s">
        <v>74</v>
      </c>
      <c r="D471">
        <v>45</v>
      </c>
      <c r="E471" t="s">
        <v>21</v>
      </c>
      <c r="F471" t="s">
        <v>22</v>
      </c>
      <c r="G471" t="s">
        <v>17</v>
      </c>
      <c r="H471">
        <v>8</v>
      </c>
      <c r="I471">
        <v>40</v>
      </c>
      <c r="J471">
        <v>0</v>
      </c>
      <c r="K471">
        <v>0</v>
      </c>
      <c r="L471">
        <v>78</v>
      </c>
    </row>
    <row r="472" spans="1:12" x14ac:dyDescent="0.35">
      <c r="A472" t="s">
        <v>1017</v>
      </c>
      <c r="B472" t="s">
        <v>1018</v>
      </c>
      <c r="C472" t="s">
        <v>59</v>
      </c>
      <c r="D472">
        <v>22</v>
      </c>
      <c r="E472" t="s">
        <v>47</v>
      </c>
      <c r="F472" t="s">
        <v>48</v>
      </c>
      <c r="G472" t="s">
        <v>75</v>
      </c>
      <c r="H472">
        <v>0</v>
      </c>
      <c r="I472">
        <v>40</v>
      </c>
      <c r="J472">
        <v>1.3</v>
      </c>
      <c r="K472">
        <v>1</v>
      </c>
      <c r="L472" s="1">
        <v>0.78</v>
      </c>
    </row>
    <row r="473" spans="1:12" x14ac:dyDescent="0.35">
      <c r="A473" t="s">
        <v>1019</v>
      </c>
      <c r="B473" t="s">
        <v>1020</v>
      </c>
      <c r="C473" t="s">
        <v>14</v>
      </c>
      <c r="D473">
        <v>48</v>
      </c>
      <c r="E473" t="s">
        <v>90</v>
      </c>
      <c r="F473" t="s">
        <v>91</v>
      </c>
      <c r="G473" t="s">
        <v>23</v>
      </c>
      <c r="H473">
        <v>7</v>
      </c>
      <c r="I473">
        <v>50</v>
      </c>
      <c r="J473">
        <v>4.7</v>
      </c>
      <c r="K473" t="s">
        <v>71</v>
      </c>
      <c r="L473" s="1">
        <v>0.6</v>
      </c>
    </row>
    <row r="474" spans="1:12" x14ac:dyDescent="0.35">
      <c r="A474" t="s">
        <v>1021</v>
      </c>
      <c r="B474" t="s">
        <v>1022</v>
      </c>
      <c r="C474" t="s">
        <v>59</v>
      </c>
      <c r="D474">
        <v>36</v>
      </c>
      <c r="E474" t="s">
        <v>131</v>
      </c>
      <c r="F474" t="s">
        <v>132</v>
      </c>
      <c r="G474" t="s">
        <v>17</v>
      </c>
      <c r="H474">
        <v>11</v>
      </c>
      <c r="I474" s="2">
        <v>40</v>
      </c>
      <c r="J474">
        <v>1.3</v>
      </c>
      <c r="K474" t="b">
        <v>1</v>
      </c>
    </row>
    <row r="475" spans="1:12" x14ac:dyDescent="0.35">
      <c r="A475" t="s">
        <v>1023</v>
      </c>
      <c r="B475" t="s">
        <v>1024</v>
      </c>
      <c r="C475" t="s">
        <v>20</v>
      </c>
      <c r="D475">
        <v>57</v>
      </c>
      <c r="E475" t="s">
        <v>170</v>
      </c>
      <c r="F475" t="s">
        <v>171</v>
      </c>
      <c r="G475" t="s">
        <v>17</v>
      </c>
      <c r="I475">
        <v>75</v>
      </c>
      <c r="J475">
        <v>4.8</v>
      </c>
      <c r="K475">
        <v>1</v>
      </c>
    </row>
    <row r="476" spans="1:12" x14ac:dyDescent="0.35">
      <c r="A476" t="s">
        <v>1025</v>
      </c>
      <c r="B476" t="s">
        <v>1026</v>
      </c>
      <c r="C476" t="s">
        <v>59</v>
      </c>
      <c r="D476">
        <v>42</v>
      </c>
      <c r="E476" t="s">
        <v>56</v>
      </c>
      <c r="F476" t="s">
        <v>22</v>
      </c>
      <c r="G476" t="s">
        <v>70</v>
      </c>
      <c r="H476">
        <v>14</v>
      </c>
      <c r="I476" s="2">
        <v>30</v>
      </c>
      <c r="J476">
        <v>1.3</v>
      </c>
      <c r="K476">
        <v>0</v>
      </c>
      <c r="L476" s="1">
        <v>0.94</v>
      </c>
    </row>
    <row r="477" spans="1:12" x14ac:dyDescent="0.35">
      <c r="A477" t="s">
        <v>1027</v>
      </c>
      <c r="B477" t="s">
        <v>1028</v>
      </c>
      <c r="C477" t="s">
        <v>46</v>
      </c>
      <c r="D477">
        <v>31</v>
      </c>
      <c r="E477" t="s">
        <v>47</v>
      </c>
      <c r="F477" t="s">
        <v>48</v>
      </c>
      <c r="G477" t="s">
        <v>75</v>
      </c>
      <c r="H477">
        <v>11</v>
      </c>
      <c r="I477" s="2">
        <v>50</v>
      </c>
      <c r="J477">
        <v>4.3</v>
      </c>
      <c r="K477">
        <v>0</v>
      </c>
      <c r="L477">
        <v>62</v>
      </c>
    </row>
    <row r="478" spans="1:12" x14ac:dyDescent="0.35">
      <c r="A478" t="s">
        <v>1029</v>
      </c>
      <c r="B478" t="s">
        <v>1030</v>
      </c>
      <c r="C478" t="s">
        <v>89</v>
      </c>
      <c r="D478">
        <v>52</v>
      </c>
      <c r="E478" t="s">
        <v>185</v>
      </c>
      <c r="F478" t="s">
        <v>69</v>
      </c>
      <c r="G478" t="s">
        <v>75</v>
      </c>
      <c r="H478">
        <v>31</v>
      </c>
      <c r="I478">
        <v>30</v>
      </c>
      <c r="K478">
        <v>1</v>
      </c>
    </row>
    <row r="479" spans="1:12" x14ac:dyDescent="0.35">
      <c r="A479" t="s">
        <v>1031</v>
      </c>
      <c r="B479" t="s">
        <v>1032</v>
      </c>
      <c r="C479" t="s">
        <v>89</v>
      </c>
      <c r="D479">
        <v>56</v>
      </c>
      <c r="E479" t="s">
        <v>41</v>
      </c>
      <c r="F479" t="s">
        <v>42</v>
      </c>
      <c r="G479" t="s">
        <v>86</v>
      </c>
      <c r="H479">
        <v>16</v>
      </c>
      <c r="I479" t="s">
        <v>106</v>
      </c>
      <c r="J479">
        <v>0</v>
      </c>
      <c r="K479" t="s">
        <v>65</v>
      </c>
    </row>
    <row r="480" spans="1:12" x14ac:dyDescent="0.35">
      <c r="A480" t="s">
        <v>1033</v>
      </c>
      <c r="B480" t="s">
        <v>1034</v>
      </c>
      <c r="C480" t="s">
        <v>74</v>
      </c>
      <c r="D480">
        <v>24</v>
      </c>
      <c r="E480" t="s">
        <v>41</v>
      </c>
      <c r="F480" t="s">
        <v>42</v>
      </c>
      <c r="G480" t="s">
        <v>86</v>
      </c>
      <c r="H480">
        <v>6</v>
      </c>
      <c r="I480">
        <v>30</v>
      </c>
      <c r="J480">
        <v>0</v>
      </c>
      <c r="K480" t="s">
        <v>65</v>
      </c>
      <c r="L480" s="1">
        <v>0.84</v>
      </c>
    </row>
    <row r="481" spans="1:12" x14ac:dyDescent="0.35">
      <c r="A481" t="s">
        <v>1035</v>
      </c>
      <c r="B481" t="s">
        <v>1036</v>
      </c>
      <c r="C481" t="s">
        <v>27</v>
      </c>
      <c r="D481">
        <v>48</v>
      </c>
      <c r="E481" t="s">
        <v>124</v>
      </c>
      <c r="F481" t="s">
        <v>22</v>
      </c>
      <c r="G481" t="s">
        <v>86</v>
      </c>
      <c r="H481">
        <v>21</v>
      </c>
      <c r="I481">
        <v>75</v>
      </c>
      <c r="J481">
        <v>2.7</v>
      </c>
      <c r="K481">
        <v>1</v>
      </c>
    </row>
    <row r="482" spans="1:12" x14ac:dyDescent="0.35">
      <c r="A482" t="s">
        <v>1037</v>
      </c>
      <c r="B482" t="s">
        <v>1038</v>
      </c>
      <c r="C482" t="s">
        <v>94</v>
      </c>
      <c r="D482">
        <v>59</v>
      </c>
      <c r="E482" t="s">
        <v>131</v>
      </c>
      <c r="F482" t="s">
        <v>132</v>
      </c>
      <c r="G482" t="s">
        <v>75</v>
      </c>
      <c r="H482">
        <v>13</v>
      </c>
      <c r="I482">
        <v>40</v>
      </c>
      <c r="J482">
        <v>2.4</v>
      </c>
      <c r="K482" t="s">
        <v>155</v>
      </c>
      <c r="L482">
        <v>65</v>
      </c>
    </row>
    <row r="483" spans="1:12" x14ac:dyDescent="0.35">
      <c r="A483" t="s">
        <v>1039</v>
      </c>
      <c r="B483" t="s">
        <v>1040</v>
      </c>
      <c r="C483" t="s">
        <v>59</v>
      </c>
      <c r="E483" t="s">
        <v>64</v>
      </c>
      <c r="F483" t="s">
        <v>22</v>
      </c>
      <c r="G483" t="s">
        <v>35</v>
      </c>
      <c r="I483">
        <v>40</v>
      </c>
      <c r="J483">
        <v>1.9</v>
      </c>
      <c r="K483">
        <v>1</v>
      </c>
      <c r="L483" s="1">
        <v>0.94</v>
      </c>
    </row>
    <row r="484" spans="1:12" x14ac:dyDescent="0.35">
      <c r="A484" t="s">
        <v>1041</v>
      </c>
      <c r="B484" t="s">
        <v>1042</v>
      </c>
      <c r="C484" t="s">
        <v>38</v>
      </c>
      <c r="E484" t="s">
        <v>41</v>
      </c>
      <c r="F484" t="s">
        <v>42</v>
      </c>
      <c r="G484" t="s">
        <v>23</v>
      </c>
      <c r="H484">
        <v>11</v>
      </c>
      <c r="I484" s="2">
        <v>20</v>
      </c>
      <c r="J484">
        <v>3.6</v>
      </c>
      <c r="K484" t="s">
        <v>155</v>
      </c>
      <c r="L484" s="1">
        <v>0.69</v>
      </c>
    </row>
    <row r="485" spans="1:12" x14ac:dyDescent="0.35">
      <c r="A485" t="s">
        <v>1043</v>
      </c>
      <c r="B485" t="s">
        <v>1044</v>
      </c>
      <c r="C485" t="s">
        <v>46</v>
      </c>
      <c r="D485">
        <v>25</v>
      </c>
      <c r="E485" t="s">
        <v>41</v>
      </c>
      <c r="F485" t="s">
        <v>42</v>
      </c>
      <c r="G485" t="s">
        <v>23</v>
      </c>
      <c r="H485">
        <v>0</v>
      </c>
      <c r="I485">
        <v>50</v>
      </c>
      <c r="J485">
        <v>2.9</v>
      </c>
      <c r="K485" t="s">
        <v>65</v>
      </c>
      <c r="L485" s="1">
        <v>0.65</v>
      </c>
    </row>
    <row r="486" spans="1:12" x14ac:dyDescent="0.35">
      <c r="A486" t="s">
        <v>1045</v>
      </c>
      <c r="B486" t="s">
        <v>1046</v>
      </c>
      <c r="C486" t="s">
        <v>27</v>
      </c>
      <c r="D486">
        <v>31</v>
      </c>
      <c r="E486" t="s">
        <v>135</v>
      </c>
      <c r="F486" t="s">
        <v>136</v>
      </c>
      <c r="G486" t="s">
        <v>23</v>
      </c>
      <c r="H486">
        <v>2</v>
      </c>
      <c r="I486" s="2">
        <v>75</v>
      </c>
      <c r="J486">
        <v>2.8</v>
      </c>
      <c r="K486" t="b">
        <v>0</v>
      </c>
      <c r="L486" s="1">
        <v>0.6</v>
      </c>
    </row>
    <row r="487" spans="1:12" x14ac:dyDescent="0.35">
      <c r="A487" t="s">
        <v>1047</v>
      </c>
      <c r="B487" t="s">
        <v>1048</v>
      </c>
      <c r="C487" t="s">
        <v>59</v>
      </c>
      <c r="D487">
        <v>40</v>
      </c>
      <c r="E487" t="s">
        <v>60</v>
      </c>
      <c r="F487" t="s">
        <v>61</v>
      </c>
      <c r="G487" t="s">
        <v>86</v>
      </c>
      <c r="H487">
        <v>12</v>
      </c>
      <c r="I487">
        <v>75</v>
      </c>
      <c r="J487">
        <v>2.6</v>
      </c>
      <c r="K487" t="b">
        <v>0</v>
      </c>
    </row>
    <row r="488" spans="1:12" x14ac:dyDescent="0.35">
      <c r="A488" t="s">
        <v>1049</v>
      </c>
      <c r="B488" t="s">
        <v>669</v>
      </c>
      <c r="C488" t="s">
        <v>14</v>
      </c>
      <c r="D488">
        <v>48</v>
      </c>
      <c r="E488" t="s">
        <v>120</v>
      </c>
      <c r="F488" t="s">
        <v>121</v>
      </c>
      <c r="G488" t="s">
        <v>17</v>
      </c>
      <c r="H488">
        <v>13</v>
      </c>
      <c r="I488" s="2">
        <v>100</v>
      </c>
      <c r="J488">
        <v>2.7</v>
      </c>
      <c r="L488" s="1">
        <v>0.62</v>
      </c>
    </row>
    <row r="489" spans="1:12" x14ac:dyDescent="0.35">
      <c r="A489" t="s">
        <v>1050</v>
      </c>
      <c r="B489" t="s">
        <v>1051</v>
      </c>
      <c r="C489" t="s">
        <v>14</v>
      </c>
      <c r="D489">
        <v>24</v>
      </c>
      <c r="E489" t="s">
        <v>149</v>
      </c>
      <c r="F489" t="s">
        <v>150</v>
      </c>
      <c r="G489" t="s">
        <v>23</v>
      </c>
      <c r="H489">
        <v>6</v>
      </c>
      <c r="I489">
        <v>30</v>
      </c>
      <c r="J489">
        <v>1.1000000000000001</v>
      </c>
      <c r="K489" t="s">
        <v>65</v>
      </c>
    </row>
    <row r="490" spans="1:12" x14ac:dyDescent="0.35">
      <c r="A490" t="s">
        <v>1052</v>
      </c>
      <c r="B490" t="s">
        <v>1053</v>
      </c>
      <c r="C490" t="s">
        <v>59</v>
      </c>
      <c r="D490">
        <v>33</v>
      </c>
      <c r="E490" t="s">
        <v>47</v>
      </c>
      <c r="F490" t="s">
        <v>48</v>
      </c>
      <c r="G490" t="s">
        <v>35</v>
      </c>
      <c r="H490">
        <v>10</v>
      </c>
      <c r="I490" t="s">
        <v>106</v>
      </c>
      <c r="J490">
        <v>0</v>
      </c>
      <c r="K490" t="s">
        <v>65</v>
      </c>
      <c r="L490" s="1">
        <v>0.89</v>
      </c>
    </row>
    <row r="491" spans="1:12" x14ac:dyDescent="0.35">
      <c r="A491" t="s">
        <v>1054</v>
      </c>
      <c r="B491" t="s">
        <v>1055</v>
      </c>
      <c r="C491" t="s">
        <v>74</v>
      </c>
      <c r="D491">
        <v>43</v>
      </c>
      <c r="E491" t="s">
        <v>104</v>
      </c>
      <c r="F491" t="s">
        <v>105</v>
      </c>
      <c r="G491" t="s">
        <v>70</v>
      </c>
      <c r="H491">
        <v>2</v>
      </c>
      <c r="I491" s="2">
        <v>40</v>
      </c>
      <c r="J491">
        <v>0</v>
      </c>
      <c r="K491" t="s">
        <v>65</v>
      </c>
      <c r="L491" s="1">
        <v>0.89</v>
      </c>
    </row>
    <row r="492" spans="1:12" x14ac:dyDescent="0.35">
      <c r="A492" t="s">
        <v>1056</v>
      </c>
      <c r="B492" t="s">
        <v>1057</v>
      </c>
      <c r="C492" t="s">
        <v>89</v>
      </c>
      <c r="D492">
        <v>43</v>
      </c>
      <c r="E492" t="s">
        <v>185</v>
      </c>
      <c r="F492" t="s">
        <v>69</v>
      </c>
      <c r="G492" t="s">
        <v>17</v>
      </c>
      <c r="H492">
        <v>4</v>
      </c>
      <c r="I492">
        <v>50</v>
      </c>
      <c r="J492">
        <v>0</v>
      </c>
      <c r="K492" t="b">
        <v>1</v>
      </c>
      <c r="L492" s="1">
        <v>1</v>
      </c>
    </row>
    <row r="493" spans="1:12" x14ac:dyDescent="0.35">
      <c r="A493" t="s">
        <v>1058</v>
      </c>
      <c r="B493" t="s">
        <v>1059</v>
      </c>
      <c r="C493" t="s">
        <v>20</v>
      </c>
      <c r="D493">
        <v>33</v>
      </c>
      <c r="E493" t="s">
        <v>21</v>
      </c>
      <c r="F493" t="s">
        <v>22</v>
      </c>
      <c r="G493" t="s">
        <v>35</v>
      </c>
      <c r="H493">
        <v>11</v>
      </c>
      <c r="J493">
        <v>4.5999999999999996</v>
      </c>
      <c r="K493" t="s">
        <v>65</v>
      </c>
    </row>
    <row r="494" spans="1:12" x14ac:dyDescent="0.35">
      <c r="A494" t="s">
        <v>1060</v>
      </c>
      <c r="B494" t="s">
        <v>1061</v>
      </c>
      <c r="C494" t="s">
        <v>20</v>
      </c>
      <c r="D494">
        <v>49</v>
      </c>
      <c r="E494" t="s">
        <v>120</v>
      </c>
      <c r="F494" t="s">
        <v>121</v>
      </c>
      <c r="G494" t="s">
        <v>70</v>
      </c>
      <c r="H494">
        <v>14</v>
      </c>
      <c r="I494">
        <v>40</v>
      </c>
      <c r="J494">
        <v>1.5</v>
      </c>
      <c r="L494" s="1">
        <v>0.6</v>
      </c>
    </row>
    <row r="495" spans="1:12" x14ac:dyDescent="0.35">
      <c r="A495" t="s">
        <v>1062</v>
      </c>
      <c r="B495" t="s">
        <v>1063</v>
      </c>
      <c r="C495" t="s">
        <v>46</v>
      </c>
      <c r="D495">
        <v>55</v>
      </c>
      <c r="E495" t="s">
        <v>124</v>
      </c>
      <c r="F495" t="s">
        <v>22</v>
      </c>
      <c r="G495" t="s">
        <v>70</v>
      </c>
      <c r="H495">
        <v>10</v>
      </c>
      <c r="I495">
        <v>40</v>
      </c>
      <c r="J495">
        <v>2</v>
      </c>
      <c r="K495" t="s">
        <v>155</v>
      </c>
      <c r="L495" s="1">
        <v>0.85</v>
      </c>
    </row>
    <row r="496" spans="1:12" x14ac:dyDescent="0.35">
      <c r="A496" t="s">
        <v>1064</v>
      </c>
      <c r="B496" t="s">
        <v>1065</v>
      </c>
      <c r="C496" t="s">
        <v>34</v>
      </c>
      <c r="D496">
        <v>33</v>
      </c>
      <c r="E496" t="s">
        <v>109</v>
      </c>
      <c r="F496" t="s">
        <v>110</v>
      </c>
      <c r="G496" t="s">
        <v>30</v>
      </c>
      <c r="H496">
        <v>3</v>
      </c>
      <c r="I496" s="2">
        <v>40</v>
      </c>
      <c r="J496">
        <v>1.6</v>
      </c>
      <c r="L496" s="1">
        <v>0.83</v>
      </c>
    </row>
    <row r="497" spans="1:12" x14ac:dyDescent="0.35">
      <c r="A497" t="s">
        <v>1066</v>
      </c>
      <c r="B497" t="s">
        <v>1067</v>
      </c>
      <c r="C497" t="s">
        <v>94</v>
      </c>
      <c r="D497">
        <v>32</v>
      </c>
      <c r="E497" t="s">
        <v>68</v>
      </c>
      <c r="F497" t="s">
        <v>69</v>
      </c>
      <c r="G497" t="s">
        <v>43</v>
      </c>
      <c r="H497">
        <v>3</v>
      </c>
      <c r="I497" s="2">
        <v>30</v>
      </c>
      <c r="J497">
        <v>1.5</v>
      </c>
      <c r="K497" t="s">
        <v>31</v>
      </c>
      <c r="L497" s="1">
        <v>0.96</v>
      </c>
    </row>
    <row r="498" spans="1:12" x14ac:dyDescent="0.35">
      <c r="A498" t="s">
        <v>1068</v>
      </c>
      <c r="B498" t="s">
        <v>1069</v>
      </c>
      <c r="C498" t="s">
        <v>46</v>
      </c>
      <c r="D498">
        <v>58</v>
      </c>
      <c r="E498" t="s">
        <v>41</v>
      </c>
      <c r="F498" t="s">
        <v>42</v>
      </c>
      <c r="G498" t="s">
        <v>17</v>
      </c>
      <c r="H498">
        <v>33</v>
      </c>
      <c r="J498">
        <v>4.0999999999999996</v>
      </c>
      <c r="K498" t="s">
        <v>71</v>
      </c>
      <c r="L498" s="1">
        <v>0.83</v>
      </c>
    </row>
    <row r="499" spans="1:12" x14ac:dyDescent="0.35">
      <c r="A499" t="s">
        <v>1070</v>
      </c>
      <c r="B499" t="s">
        <v>1071</v>
      </c>
      <c r="C499" t="s">
        <v>27</v>
      </c>
      <c r="D499">
        <v>49</v>
      </c>
      <c r="E499" t="s">
        <v>47</v>
      </c>
      <c r="F499" t="s">
        <v>48</v>
      </c>
      <c r="G499" t="s">
        <v>49</v>
      </c>
      <c r="H499">
        <v>24</v>
      </c>
      <c r="I499">
        <v>100</v>
      </c>
      <c r="J499">
        <v>4.7</v>
      </c>
      <c r="K499">
        <v>0</v>
      </c>
      <c r="L499" s="1">
        <v>0.6</v>
      </c>
    </row>
    <row r="500" spans="1:12" x14ac:dyDescent="0.35">
      <c r="A500" t="s">
        <v>1072</v>
      </c>
      <c r="B500" t="s">
        <v>1073</v>
      </c>
      <c r="C500" t="s">
        <v>74</v>
      </c>
      <c r="D500">
        <v>22</v>
      </c>
      <c r="E500" t="s">
        <v>120</v>
      </c>
      <c r="F500" t="s">
        <v>121</v>
      </c>
      <c r="G500" t="s">
        <v>70</v>
      </c>
      <c r="H500">
        <v>3</v>
      </c>
      <c r="I500" t="s">
        <v>24</v>
      </c>
      <c r="J500">
        <v>3.6</v>
      </c>
      <c r="K500">
        <v>1</v>
      </c>
      <c r="L500" s="1">
        <v>0.78</v>
      </c>
    </row>
    <row r="501" spans="1:12" x14ac:dyDescent="0.35">
      <c r="A501" t="s">
        <v>1074</v>
      </c>
      <c r="B501" t="s">
        <v>1075</v>
      </c>
      <c r="C501" t="s">
        <v>14</v>
      </c>
      <c r="D501">
        <v>40</v>
      </c>
      <c r="E501" t="s">
        <v>135</v>
      </c>
      <c r="F501" t="s">
        <v>136</v>
      </c>
      <c r="G501" t="s">
        <v>35</v>
      </c>
      <c r="H501">
        <v>11</v>
      </c>
      <c r="I501" s="2">
        <v>20</v>
      </c>
      <c r="J501">
        <v>1.8</v>
      </c>
      <c r="K501">
        <v>1</v>
      </c>
      <c r="L501" s="1">
        <v>0.9</v>
      </c>
    </row>
    <row r="502" spans="1:12" x14ac:dyDescent="0.35">
      <c r="A502" t="s">
        <v>1076</v>
      </c>
      <c r="B502" t="s">
        <v>1077</v>
      </c>
      <c r="C502" t="s">
        <v>46</v>
      </c>
      <c r="D502">
        <v>55</v>
      </c>
      <c r="E502" t="s">
        <v>21</v>
      </c>
      <c r="F502" t="s">
        <v>22</v>
      </c>
      <c r="G502" t="s">
        <v>49</v>
      </c>
      <c r="H502">
        <v>7</v>
      </c>
      <c r="I502" t="s">
        <v>24</v>
      </c>
      <c r="J502">
        <v>2.1</v>
      </c>
      <c r="K502">
        <v>0</v>
      </c>
      <c r="L502" s="1">
        <v>0.66</v>
      </c>
    </row>
    <row r="503" spans="1:12" x14ac:dyDescent="0.35">
      <c r="A503" t="s">
        <v>1078</v>
      </c>
      <c r="B503" t="s">
        <v>1079</v>
      </c>
      <c r="C503" t="s">
        <v>89</v>
      </c>
      <c r="D503">
        <v>32</v>
      </c>
      <c r="E503" t="s">
        <v>174</v>
      </c>
      <c r="F503" t="s">
        <v>69</v>
      </c>
      <c r="G503" t="s">
        <v>86</v>
      </c>
      <c r="H503">
        <v>1</v>
      </c>
      <c r="I503" s="2">
        <v>50</v>
      </c>
      <c r="K503" t="s">
        <v>65</v>
      </c>
      <c r="L503" s="1">
        <v>0.7</v>
      </c>
    </row>
    <row r="504" spans="1:12" x14ac:dyDescent="0.35">
      <c r="A504" t="s">
        <v>1080</v>
      </c>
      <c r="B504" t="s">
        <v>1081</v>
      </c>
      <c r="C504" t="s">
        <v>20</v>
      </c>
      <c r="D504">
        <v>21</v>
      </c>
      <c r="E504" t="s">
        <v>82</v>
      </c>
      <c r="F504" t="s">
        <v>83</v>
      </c>
      <c r="G504" t="s">
        <v>70</v>
      </c>
      <c r="H504">
        <v>0</v>
      </c>
      <c r="I504" t="s">
        <v>106</v>
      </c>
      <c r="J504">
        <v>4.2</v>
      </c>
      <c r="K504" t="s">
        <v>65</v>
      </c>
      <c r="L504" s="1">
        <v>0.79</v>
      </c>
    </row>
    <row r="505" spans="1:12" x14ac:dyDescent="0.35">
      <c r="A505" t="s">
        <v>1082</v>
      </c>
      <c r="B505" t="s">
        <v>1083</v>
      </c>
      <c r="C505" t="s">
        <v>89</v>
      </c>
      <c r="D505">
        <v>23</v>
      </c>
      <c r="E505" t="s">
        <v>109</v>
      </c>
      <c r="F505" t="s">
        <v>110</v>
      </c>
      <c r="G505" t="s">
        <v>17</v>
      </c>
      <c r="H505">
        <v>1</v>
      </c>
      <c r="I505">
        <v>40</v>
      </c>
      <c r="J505">
        <v>0</v>
      </c>
      <c r="K505">
        <v>0</v>
      </c>
      <c r="L505" s="1">
        <v>0.64</v>
      </c>
    </row>
    <row r="506" spans="1:12" x14ac:dyDescent="0.35">
      <c r="A506" t="s">
        <v>1084</v>
      </c>
      <c r="B506" t="s">
        <v>1085</v>
      </c>
      <c r="C506" t="s">
        <v>94</v>
      </c>
      <c r="D506">
        <v>21</v>
      </c>
      <c r="E506" t="s">
        <v>64</v>
      </c>
      <c r="F506" t="s">
        <v>22</v>
      </c>
      <c r="G506" t="s">
        <v>23</v>
      </c>
      <c r="H506">
        <v>1</v>
      </c>
      <c r="I506" t="s">
        <v>106</v>
      </c>
      <c r="J506">
        <v>1</v>
      </c>
      <c r="K506" t="s">
        <v>31</v>
      </c>
      <c r="L506" s="1">
        <v>0.81</v>
      </c>
    </row>
    <row r="507" spans="1:12" x14ac:dyDescent="0.35">
      <c r="A507" t="s">
        <v>1086</v>
      </c>
      <c r="B507" t="s">
        <v>1087</v>
      </c>
      <c r="C507" t="s">
        <v>94</v>
      </c>
      <c r="D507">
        <v>31</v>
      </c>
      <c r="E507" t="s">
        <v>68</v>
      </c>
      <c r="F507" t="s">
        <v>69</v>
      </c>
      <c r="G507" t="s">
        <v>43</v>
      </c>
      <c r="H507">
        <v>7</v>
      </c>
      <c r="I507">
        <v>75</v>
      </c>
      <c r="J507">
        <v>4.4000000000000004</v>
      </c>
      <c r="K507">
        <v>0</v>
      </c>
      <c r="L507" s="1">
        <v>0.83</v>
      </c>
    </row>
    <row r="508" spans="1:12" x14ac:dyDescent="0.35">
      <c r="A508" t="s">
        <v>1088</v>
      </c>
      <c r="B508" t="s">
        <v>1089</v>
      </c>
      <c r="C508" t="s">
        <v>89</v>
      </c>
      <c r="D508">
        <v>21</v>
      </c>
      <c r="E508" t="s">
        <v>174</v>
      </c>
      <c r="F508" t="s">
        <v>69</v>
      </c>
      <c r="G508" t="s">
        <v>17</v>
      </c>
      <c r="I508">
        <v>40</v>
      </c>
      <c r="J508">
        <v>4</v>
      </c>
      <c r="K508">
        <v>0</v>
      </c>
      <c r="L508" s="1">
        <v>0.91</v>
      </c>
    </row>
    <row r="509" spans="1:12" x14ac:dyDescent="0.35">
      <c r="A509" t="s">
        <v>1090</v>
      </c>
      <c r="B509" t="s">
        <v>1091</v>
      </c>
      <c r="C509" t="s">
        <v>27</v>
      </c>
      <c r="D509">
        <v>33</v>
      </c>
      <c r="E509" t="s">
        <v>64</v>
      </c>
      <c r="F509" t="s">
        <v>22</v>
      </c>
      <c r="G509" t="s">
        <v>75</v>
      </c>
      <c r="H509">
        <v>6</v>
      </c>
      <c r="I509" t="s">
        <v>95</v>
      </c>
      <c r="J509">
        <v>3.1</v>
      </c>
      <c r="K509" t="s">
        <v>31</v>
      </c>
    </row>
    <row r="510" spans="1:12" x14ac:dyDescent="0.35">
      <c r="A510" t="s">
        <v>1092</v>
      </c>
      <c r="B510" t="s">
        <v>1093</v>
      </c>
      <c r="C510" t="s">
        <v>46</v>
      </c>
      <c r="D510">
        <v>57</v>
      </c>
      <c r="E510" t="s">
        <v>104</v>
      </c>
      <c r="F510" t="s">
        <v>105</v>
      </c>
      <c r="G510" t="s">
        <v>35</v>
      </c>
      <c r="H510">
        <v>5</v>
      </c>
      <c r="I510">
        <v>75</v>
      </c>
      <c r="J510">
        <v>1.1000000000000001</v>
      </c>
      <c r="K510" t="b">
        <v>1</v>
      </c>
      <c r="L510" s="1">
        <v>0.77</v>
      </c>
    </row>
    <row r="511" spans="1:12" x14ac:dyDescent="0.35">
      <c r="A511" t="s">
        <v>1094</v>
      </c>
      <c r="B511" t="s">
        <v>1095</v>
      </c>
      <c r="C511" t="s">
        <v>46</v>
      </c>
      <c r="D511">
        <v>52</v>
      </c>
      <c r="E511" t="s">
        <v>56</v>
      </c>
      <c r="F511" t="s">
        <v>22</v>
      </c>
      <c r="G511" t="s">
        <v>86</v>
      </c>
      <c r="H511">
        <v>17</v>
      </c>
      <c r="I511" t="s">
        <v>50</v>
      </c>
      <c r="J511">
        <v>0</v>
      </c>
      <c r="K511">
        <v>0</v>
      </c>
      <c r="L511" s="1">
        <v>0.94</v>
      </c>
    </row>
    <row r="512" spans="1:12" x14ac:dyDescent="0.35">
      <c r="A512" t="s">
        <v>1096</v>
      </c>
      <c r="B512" t="s">
        <v>1097</v>
      </c>
      <c r="C512" t="s">
        <v>74</v>
      </c>
      <c r="D512">
        <v>21</v>
      </c>
      <c r="E512" t="s">
        <v>28</v>
      </c>
      <c r="F512" t="s">
        <v>29</v>
      </c>
      <c r="G512" t="s">
        <v>35</v>
      </c>
      <c r="H512">
        <v>0</v>
      </c>
      <c r="I512" s="2">
        <v>20</v>
      </c>
      <c r="J512">
        <v>3.8</v>
      </c>
      <c r="K512">
        <v>1</v>
      </c>
      <c r="L512" s="1">
        <v>0.61</v>
      </c>
    </row>
    <row r="513" spans="1:12" x14ac:dyDescent="0.35">
      <c r="A513" t="s">
        <v>1098</v>
      </c>
      <c r="B513" t="s">
        <v>1099</v>
      </c>
      <c r="C513" t="s">
        <v>20</v>
      </c>
      <c r="D513">
        <v>36</v>
      </c>
      <c r="E513" t="s">
        <v>68</v>
      </c>
      <c r="F513" t="s">
        <v>69</v>
      </c>
      <c r="G513" t="s">
        <v>70</v>
      </c>
      <c r="H513">
        <v>8</v>
      </c>
      <c r="I513">
        <v>100</v>
      </c>
      <c r="J513">
        <v>1.7</v>
      </c>
      <c r="K513" t="s">
        <v>31</v>
      </c>
      <c r="L513" s="1">
        <v>0.68</v>
      </c>
    </row>
    <row r="514" spans="1:12" x14ac:dyDescent="0.35">
      <c r="A514" t="s">
        <v>1100</v>
      </c>
      <c r="B514" t="s">
        <v>1101</v>
      </c>
      <c r="C514" t="s">
        <v>27</v>
      </c>
      <c r="D514">
        <v>33</v>
      </c>
      <c r="E514" t="s">
        <v>185</v>
      </c>
      <c r="F514" t="s">
        <v>69</v>
      </c>
      <c r="G514" t="s">
        <v>111</v>
      </c>
      <c r="H514">
        <v>13</v>
      </c>
      <c r="I514">
        <v>50</v>
      </c>
      <c r="J514">
        <v>2.2000000000000002</v>
      </c>
      <c r="K514" t="s">
        <v>31</v>
      </c>
      <c r="L514" s="1">
        <v>0.7</v>
      </c>
    </row>
    <row r="515" spans="1:12" x14ac:dyDescent="0.35">
      <c r="A515" t="s">
        <v>1102</v>
      </c>
      <c r="B515" t="s">
        <v>1103</v>
      </c>
      <c r="C515" t="s">
        <v>34</v>
      </c>
      <c r="D515">
        <v>54</v>
      </c>
      <c r="E515" t="s">
        <v>64</v>
      </c>
      <c r="F515" t="s">
        <v>22</v>
      </c>
      <c r="G515" t="s">
        <v>49</v>
      </c>
      <c r="H515">
        <v>15</v>
      </c>
      <c r="I515">
        <v>40</v>
      </c>
      <c r="J515">
        <v>4.0999999999999996</v>
      </c>
      <c r="K515" t="b">
        <v>1</v>
      </c>
      <c r="L515">
        <v>71</v>
      </c>
    </row>
    <row r="516" spans="1:12" x14ac:dyDescent="0.35">
      <c r="A516" t="s">
        <v>1104</v>
      </c>
      <c r="B516" t="s">
        <v>1105</v>
      </c>
      <c r="C516" t="s">
        <v>38</v>
      </c>
      <c r="D516">
        <v>33</v>
      </c>
      <c r="E516" t="s">
        <v>56</v>
      </c>
      <c r="F516" t="s">
        <v>22</v>
      </c>
      <c r="G516" t="s">
        <v>17</v>
      </c>
      <c r="H516">
        <v>2</v>
      </c>
      <c r="I516" t="s">
        <v>24</v>
      </c>
      <c r="J516">
        <v>3.8</v>
      </c>
      <c r="K516" t="b">
        <v>0</v>
      </c>
    </row>
    <row r="517" spans="1:12" x14ac:dyDescent="0.35">
      <c r="A517" t="s">
        <v>1106</v>
      </c>
      <c r="B517" t="s">
        <v>1107</v>
      </c>
      <c r="C517" t="s">
        <v>38</v>
      </c>
      <c r="D517">
        <v>36</v>
      </c>
      <c r="E517" t="s">
        <v>82</v>
      </c>
      <c r="F517" t="s">
        <v>83</v>
      </c>
      <c r="G517" t="s">
        <v>111</v>
      </c>
      <c r="H517">
        <v>9</v>
      </c>
      <c r="I517" s="2">
        <v>30</v>
      </c>
      <c r="J517">
        <v>0</v>
      </c>
      <c r="K517" t="s">
        <v>65</v>
      </c>
      <c r="L517" s="1">
        <v>0.78</v>
      </c>
    </row>
    <row r="518" spans="1:12" x14ac:dyDescent="0.35">
      <c r="A518" t="s">
        <v>1108</v>
      </c>
      <c r="B518" t="s">
        <v>1109</v>
      </c>
      <c r="C518" t="s">
        <v>20</v>
      </c>
      <c r="D518">
        <v>36</v>
      </c>
      <c r="E518" t="s">
        <v>60</v>
      </c>
      <c r="F518" t="s">
        <v>61</v>
      </c>
      <c r="G518" t="s">
        <v>43</v>
      </c>
      <c r="H518">
        <v>3</v>
      </c>
      <c r="I518" t="s">
        <v>95</v>
      </c>
      <c r="J518">
        <v>0</v>
      </c>
      <c r="K518" t="s">
        <v>155</v>
      </c>
      <c r="L518">
        <v>75</v>
      </c>
    </row>
    <row r="519" spans="1:12" x14ac:dyDescent="0.35">
      <c r="A519" t="s">
        <v>1110</v>
      </c>
      <c r="B519" t="s">
        <v>1111</v>
      </c>
      <c r="C519" t="s">
        <v>34</v>
      </c>
      <c r="D519">
        <v>43</v>
      </c>
      <c r="E519" t="s">
        <v>170</v>
      </c>
      <c r="F519" t="s">
        <v>171</v>
      </c>
      <c r="G519" t="s">
        <v>43</v>
      </c>
      <c r="H519">
        <v>15</v>
      </c>
      <c r="I519" s="2">
        <v>20</v>
      </c>
      <c r="J519">
        <v>4.2</v>
      </c>
      <c r="K519" t="b">
        <v>1</v>
      </c>
      <c r="L519" s="1">
        <v>0.91</v>
      </c>
    </row>
    <row r="520" spans="1:12" x14ac:dyDescent="0.35">
      <c r="A520" t="s">
        <v>1112</v>
      </c>
      <c r="B520" t="s">
        <v>1113</v>
      </c>
      <c r="C520" t="s">
        <v>94</v>
      </c>
      <c r="D520">
        <v>52</v>
      </c>
      <c r="E520" t="s">
        <v>64</v>
      </c>
      <c r="F520" t="s">
        <v>22</v>
      </c>
      <c r="G520" t="s">
        <v>49</v>
      </c>
      <c r="H520">
        <v>21</v>
      </c>
      <c r="I520" t="s">
        <v>50</v>
      </c>
      <c r="J520">
        <v>2.2000000000000002</v>
      </c>
      <c r="K520">
        <v>1</v>
      </c>
      <c r="L520" s="1">
        <v>0.66</v>
      </c>
    </row>
    <row r="521" spans="1:12" x14ac:dyDescent="0.35">
      <c r="A521" t="s">
        <v>1114</v>
      </c>
      <c r="B521" t="s">
        <v>1115</v>
      </c>
      <c r="C521" t="s">
        <v>34</v>
      </c>
      <c r="D521">
        <v>28</v>
      </c>
      <c r="E521" t="s">
        <v>47</v>
      </c>
      <c r="F521" t="s">
        <v>48</v>
      </c>
      <c r="G521" t="s">
        <v>75</v>
      </c>
      <c r="H521">
        <v>2</v>
      </c>
      <c r="I521" t="s">
        <v>50</v>
      </c>
      <c r="J521">
        <v>1.5</v>
      </c>
      <c r="K521">
        <v>1</v>
      </c>
      <c r="L521" s="1">
        <v>0.68</v>
      </c>
    </row>
    <row r="522" spans="1:12" x14ac:dyDescent="0.35">
      <c r="A522" t="s">
        <v>1116</v>
      </c>
      <c r="B522" t="s">
        <v>1117</v>
      </c>
      <c r="C522" t="s">
        <v>74</v>
      </c>
      <c r="D522">
        <v>47</v>
      </c>
      <c r="E522" t="s">
        <v>170</v>
      </c>
      <c r="F522" t="s">
        <v>171</v>
      </c>
      <c r="G522" t="s">
        <v>75</v>
      </c>
      <c r="H522">
        <v>21</v>
      </c>
      <c r="I522" s="2">
        <v>100</v>
      </c>
      <c r="J522">
        <v>0</v>
      </c>
      <c r="K522" t="s">
        <v>31</v>
      </c>
    </row>
    <row r="523" spans="1:12" x14ac:dyDescent="0.35">
      <c r="A523" t="s">
        <v>1118</v>
      </c>
      <c r="B523" t="s">
        <v>1119</v>
      </c>
      <c r="C523" t="s">
        <v>38</v>
      </c>
      <c r="D523">
        <v>30</v>
      </c>
      <c r="E523" t="s">
        <v>131</v>
      </c>
      <c r="F523" t="s">
        <v>132</v>
      </c>
      <c r="G523" t="s">
        <v>86</v>
      </c>
      <c r="H523">
        <v>0</v>
      </c>
      <c r="I523" t="s">
        <v>24</v>
      </c>
      <c r="J523">
        <v>4.0999999999999996</v>
      </c>
      <c r="K523">
        <v>0</v>
      </c>
      <c r="L523" s="1">
        <v>0.62</v>
      </c>
    </row>
    <row r="524" spans="1:12" x14ac:dyDescent="0.35">
      <c r="A524" t="s">
        <v>1120</v>
      </c>
      <c r="B524" t="s">
        <v>1121</v>
      </c>
      <c r="C524" t="s">
        <v>46</v>
      </c>
      <c r="D524">
        <v>36</v>
      </c>
      <c r="E524" t="s">
        <v>135</v>
      </c>
      <c r="F524" t="s">
        <v>136</v>
      </c>
      <c r="G524" t="s">
        <v>17</v>
      </c>
      <c r="H524">
        <v>4</v>
      </c>
      <c r="I524">
        <v>40</v>
      </c>
      <c r="J524">
        <v>2.6</v>
      </c>
      <c r="K524" t="s">
        <v>155</v>
      </c>
      <c r="L524" s="1">
        <v>0.9</v>
      </c>
    </row>
    <row r="525" spans="1:12" x14ac:dyDescent="0.35">
      <c r="A525" t="s">
        <v>1122</v>
      </c>
      <c r="B525" t="s">
        <v>1123</v>
      </c>
      <c r="C525" t="s">
        <v>20</v>
      </c>
      <c r="D525">
        <v>45</v>
      </c>
      <c r="E525" t="s">
        <v>56</v>
      </c>
      <c r="F525" t="s">
        <v>22</v>
      </c>
      <c r="G525" t="s">
        <v>70</v>
      </c>
      <c r="H525">
        <v>23</v>
      </c>
      <c r="I525">
        <v>100</v>
      </c>
      <c r="J525">
        <v>2.4</v>
      </c>
      <c r="K525" t="b">
        <v>0</v>
      </c>
      <c r="L525" s="1">
        <v>0.96</v>
      </c>
    </row>
    <row r="526" spans="1:12" x14ac:dyDescent="0.35">
      <c r="A526" t="s">
        <v>1124</v>
      </c>
      <c r="B526" t="s">
        <v>1125</v>
      </c>
      <c r="C526" t="s">
        <v>34</v>
      </c>
      <c r="D526">
        <v>51</v>
      </c>
      <c r="E526" t="s">
        <v>56</v>
      </c>
      <c r="F526" t="s">
        <v>22</v>
      </c>
      <c r="G526" t="s">
        <v>17</v>
      </c>
      <c r="H526">
        <v>25</v>
      </c>
      <c r="I526">
        <v>50</v>
      </c>
      <c r="J526">
        <v>1.4</v>
      </c>
      <c r="K526" t="s">
        <v>71</v>
      </c>
      <c r="L526" s="1">
        <v>0.6</v>
      </c>
    </row>
    <row r="527" spans="1:12" x14ac:dyDescent="0.35">
      <c r="A527" t="s">
        <v>1126</v>
      </c>
      <c r="B527" t="s">
        <v>1127</v>
      </c>
      <c r="C527" t="s">
        <v>46</v>
      </c>
      <c r="D527">
        <v>46</v>
      </c>
      <c r="E527" t="s">
        <v>60</v>
      </c>
      <c r="F527" t="s">
        <v>61</v>
      </c>
      <c r="G527" t="s">
        <v>23</v>
      </c>
      <c r="H527">
        <v>10</v>
      </c>
      <c r="J527">
        <v>4.5999999999999996</v>
      </c>
      <c r="K527" t="s">
        <v>71</v>
      </c>
      <c r="L527" s="1">
        <v>0.62</v>
      </c>
    </row>
    <row r="528" spans="1:12" x14ac:dyDescent="0.35">
      <c r="A528" t="s">
        <v>1128</v>
      </c>
      <c r="B528" t="s">
        <v>1129</v>
      </c>
      <c r="C528" t="s">
        <v>20</v>
      </c>
      <c r="D528">
        <v>38</v>
      </c>
      <c r="E528" t="s">
        <v>15</v>
      </c>
      <c r="F528" t="s">
        <v>16</v>
      </c>
      <c r="G528" t="s">
        <v>49</v>
      </c>
      <c r="H528">
        <v>18</v>
      </c>
      <c r="I528" t="s">
        <v>53</v>
      </c>
      <c r="J528">
        <v>4.9000000000000004</v>
      </c>
      <c r="K528" t="b">
        <v>0</v>
      </c>
      <c r="L528" s="1">
        <v>0.74</v>
      </c>
    </row>
    <row r="529" spans="1:12" x14ac:dyDescent="0.35">
      <c r="A529" t="s">
        <v>1130</v>
      </c>
      <c r="B529" t="s">
        <v>1131</v>
      </c>
      <c r="C529" t="s">
        <v>94</v>
      </c>
      <c r="D529">
        <v>26</v>
      </c>
      <c r="E529" t="s">
        <v>185</v>
      </c>
      <c r="F529" t="s">
        <v>69</v>
      </c>
      <c r="G529" t="s">
        <v>17</v>
      </c>
      <c r="H529">
        <v>1</v>
      </c>
      <c r="I529" s="2">
        <v>20</v>
      </c>
      <c r="J529">
        <v>0</v>
      </c>
      <c r="K529">
        <v>1</v>
      </c>
    </row>
    <row r="530" spans="1:12" x14ac:dyDescent="0.35">
      <c r="A530" t="s">
        <v>1132</v>
      </c>
      <c r="B530" t="s">
        <v>1133</v>
      </c>
      <c r="C530" t="s">
        <v>74</v>
      </c>
      <c r="D530">
        <v>40</v>
      </c>
      <c r="E530" t="s">
        <v>64</v>
      </c>
      <c r="F530" t="s">
        <v>22</v>
      </c>
      <c r="G530" t="s">
        <v>86</v>
      </c>
      <c r="H530">
        <v>12</v>
      </c>
      <c r="I530">
        <v>30</v>
      </c>
      <c r="J530">
        <v>3.5</v>
      </c>
      <c r="L530" s="1">
        <v>0.98</v>
      </c>
    </row>
    <row r="531" spans="1:12" x14ac:dyDescent="0.35">
      <c r="A531" t="s">
        <v>1134</v>
      </c>
      <c r="B531" t="s">
        <v>1135</v>
      </c>
      <c r="C531" t="s">
        <v>94</v>
      </c>
      <c r="D531">
        <v>37</v>
      </c>
      <c r="E531" t="s">
        <v>28</v>
      </c>
      <c r="F531" t="s">
        <v>29</v>
      </c>
      <c r="G531" t="s">
        <v>111</v>
      </c>
      <c r="J531">
        <v>1.7</v>
      </c>
      <c r="K531" t="s">
        <v>65</v>
      </c>
      <c r="L531" s="1">
        <v>0.63</v>
      </c>
    </row>
    <row r="532" spans="1:12" x14ac:dyDescent="0.35">
      <c r="A532" t="s">
        <v>1136</v>
      </c>
      <c r="B532" t="s">
        <v>1137</v>
      </c>
      <c r="C532" t="s">
        <v>89</v>
      </c>
      <c r="D532">
        <v>28</v>
      </c>
      <c r="E532" t="s">
        <v>124</v>
      </c>
      <c r="F532" t="s">
        <v>22</v>
      </c>
      <c r="G532" t="s">
        <v>17</v>
      </c>
      <c r="H532">
        <v>5</v>
      </c>
      <c r="I532" s="2">
        <v>50</v>
      </c>
      <c r="J532">
        <v>0</v>
      </c>
      <c r="K532" t="s">
        <v>65</v>
      </c>
      <c r="L532">
        <v>96</v>
      </c>
    </row>
    <row r="533" spans="1:12" x14ac:dyDescent="0.35">
      <c r="A533" t="s">
        <v>1138</v>
      </c>
      <c r="B533" t="s">
        <v>1139</v>
      </c>
      <c r="C533" t="s">
        <v>38</v>
      </c>
      <c r="D533">
        <v>48</v>
      </c>
      <c r="E533" t="s">
        <v>90</v>
      </c>
      <c r="F533" t="s">
        <v>91</v>
      </c>
      <c r="G533" t="s">
        <v>23</v>
      </c>
      <c r="H533">
        <v>28</v>
      </c>
      <c r="I533" t="s">
        <v>308</v>
      </c>
      <c r="J533">
        <v>0</v>
      </c>
      <c r="K533">
        <v>0</v>
      </c>
      <c r="L533" s="1">
        <v>0.88</v>
      </c>
    </row>
    <row r="534" spans="1:12" x14ac:dyDescent="0.35">
      <c r="A534" t="s">
        <v>1140</v>
      </c>
      <c r="B534" t="s">
        <v>1141</v>
      </c>
      <c r="C534" t="s">
        <v>59</v>
      </c>
      <c r="D534">
        <v>22</v>
      </c>
      <c r="E534" t="s">
        <v>90</v>
      </c>
      <c r="F534" t="s">
        <v>91</v>
      </c>
      <c r="G534" t="s">
        <v>43</v>
      </c>
      <c r="H534">
        <v>0</v>
      </c>
      <c r="J534">
        <v>4.5999999999999996</v>
      </c>
      <c r="K534" t="b">
        <v>0</v>
      </c>
    </row>
    <row r="535" spans="1:12" x14ac:dyDescent="0.35">
      <c r="A535" t="s">
        <v>1142</v>
      </c>
      <c r="B535" t="s">
        <v>1143</v>
      </c>
      <c r="C535" t="s">
        <v>38</v>
      </c>
      <c r="D535">
        <v>41</v>
      </c>
      <c r="E535" t="s">
        <v>28</v>
      </c>
      <c r="F535" t="s">
        <v>29</v>
      </c>
      <c r="G535" t="s">
        <v>35</v>
      </c>
      <c r="H535">
        <v>14</v>
      </c>
      <c r="I535">
        <v>40</v>
      </c>
      <c r="J535">
        <v>1.1000000000000001</v>
      </c>
      <c r="K535" t="b">
        <v>1</v>
      </c>
      <c r="L535" s="1">
        <v>0.73</v>
      </c>
    </row>
    <row r="536" spans="1:12" x14ac:dyDescent="0.35">
      <c r="A536" t="s">
        <v>1144</v>
      </c>
      <c r="B536" t="s">
        <v>1145</v>
      </c>
      <c r="C536" t="s">
        <v>59</v>
      </c>
      <c r="D536">
        <v>38</v>
      </c>
      <c r="E536" t="s">
        <v>56</v>
      </c>
      <c r="F536" t="s">
        <v>22</v>
      </c>
      <c r="G536" t="s">
        <v>30</v>
      </c>
      <c r="H536">
        <v>15</v>
      </c>
      <c r="J536">
        <v>4.2</v>
      </c>
      <c r="K536">
        <v>0</v>
      </c>
      <c r="L536" s="1">
        <v>0.88</v>
      </c>
    </row>
    <row r="537" spans="1:12" x14ac:dyDescent="0.35">
      <c r="A537" t="s">
        <v>1146</v>
      </c>
      <c r="B537" t="s">
        <v>1147</v>
      </c>
      <c r="C537" t="s">
        <v>20</v>
      </c>
      <c r="D537">
        <v>31</v>
      </c>
      <c r="E537" t="s">
        <v>149</v>
      </c>
      <c r="F537" t="s">
        <v>150</v>
      </c>
      <c r="G537" t="s">
        <v>70</v>
      </c>
      <c r="H537">
        <v>9</v>
      </c>
      <c r="J537">
        <v>0</v>
      </c>
      <c r="K537" t="b">
        <v>0</v>
      </c>
      <c r="L537" s="1">
        <v>0.91</v>
      </c>
    </row>
    <row r="538" spans="1:12" x14ac:dyDescent="0.35">
      <c r="A538" t="s">
        <v>1148</v>
      </c>
      <c r="B538" t="s">
        <v>1149</v>
      </c>
      <c r="C538" t="s">
        <v>34</v>
      </c>
      <c r="D538">
        <v>30</v>
      </c>
      <c r="E538" t="s">
        <v>170</v>
      </c>
      <c r="F538" t="s">
        <v>171</v>
      </c>
      <c r="G538" t="s">
        <v>23</v>
      </c>
      <c r="H538">
        <v>9</v>
      </c>
      <c r="I538" s="2">
        <v>30</v>
      </c>
      <c r="J538">
        <v>3.9</v>
      </c>
      <c r="K538" t="s">
        <v>155</v>
      </c>
      <c r="L538" s="1">
        <v>0.65</v>
      </c>
    </row>
    <row r="539" spans="1:12" x14ac:dyDescent="0.35">
      <c r="A539" t="s">
        <v>1150</v>
      </c>
      <c r="B539" t="s">
        <v>1151</v>
      </c>
      <c r="C539" t="s">
        <v>59</v>
      </c>
      <c r="D539">
        <v>51</v>
      </c>
      <c r="E539" t="s">
        <v>174</v>
      </c>
      <c r="F539" t="s">
        <v>69</v>
      </c>
      <c r="G539" t="s">
        <v>70</v>
      </c>
      <c r="H539">
        <v>22</v>
      </c>
      <c r="I539">
        <v>20</v>
      </c>
      <c r="J539">
        <v>3.4</v>
      </c>
      <c r="K539" t="b">
        <v>1</v>
      </c>
      <c r="L539">
        <v>90</v>
      </c>
    </row>
    <row r="540" spans="1:12" x14ac:dyDescent="0.35">
      <c r="A540" t="s">
        <v>1152</v>
      </c>
      <c r="B540" t="s">
        <v>1153</v>
      </c>
      <c r="C540" t="s">
        <v>14</v>
      </c>
      <c r="D540">
        <v>21</v>
      </c>
      <c r="E540" t="s">
        <v>28</v>
      </c>
      <c r="F540" t="s">
        <v>29</v>
      </c>
      <c r="G540" t="s">
        <v>86</v>
      </c>
      <c r="H540">
        <v>0</v>
      </c>
      <c r="I540" s="2">
        <v>20</v>
      </c>
      <c r="J540">
        <v>2.6</v>
      </c>
      <c r="K540" t="s">
        <v>31</v>
      </c>
      <c r="L540" s="1">
        <v>0.72</v>
      </c>
    </row>
    <row r="541" spans="1:12" x14ac:dyDescent="0.35">
      <c r="A541" t="s">
        <v>1154</v>
      </c>
      <c r="B541" t="s">
        <v>1155</v>
      </c>
      <c r="C541" t="s">
        <v>20</v>
      </c>
      <c r="D541">
        <v>20</v>
      </c>
      <c r="E541" t="s">
        <v>15</v>
      </c>
      <c r="F541" t="s">
        <v>16</v>
      </c>
      <c r="G541" t="s">
        <v>86</v>
      </c>
      <c r="H541">
        <v>1</v>
      </c>
      <c r="I541" t="s">
        <v>53</v>
      </c>
      <c r="J541">
        <v>2.2999999999999998</v>
      </c>
      <c r="K541">
        <v>1</v>
      </c>
      <c r="L541" s="1">
        <v>0.72</v>
      </c>
    </row>
    <row r="542" spans="1:12" x14ac:dyDescent="0.35">
      <c r="A542" t="s">
        <v>1156</v>
      </c>
      <c r="B542" t="s">
        <v>1157</v>
      </c>
      <c r="C542" t="s">
        <v>94</v>
      </c>
      <c r="D542">
        <v>30</v>
      </c>
      <c r="E542" t="s">
        <v>82</v>
      </c>
      <c r="F542" t="s">
        <v>83</v>
      </c>
      <c r="G542" t="s">
        <v>17</v>
      </c>
      <c r="H542">
        <v>5</v>
      </c>
      <c r="I542" s="2">
        <v>30</v>
      </c>
      <c r="J542">
        <v>4.8</v>
      </c>
      <c r="K542" t="s">
        <v>31</v>
      </c>
    </row>
    <row r="543" spans="1:12" x14ac:dyDescent="0.35">
      <c r="A543" t="s">
        <v>1158</v>
      </c>
      <c r="B543" t="s">
        <v>1159</v>
      </c>
      <c r="C543" t="s">
        <v>59</v>
      </c>
      <c r="D543">
        <v>41</v>
      </c>
      <c r="E543" t="s">
        <v>170</v>
      </c>
      <c r="F543" t="s">
        <v>171</v>
      </c>
      <c r="G543" t="s">
        <v>49</v>
      </c>
      <c r="H543">
        <v>0</v>
      </c>
      <c r="I543" t="s">
        <v>53</v>
      </c>
      <c r="J543">
        <v>4.5</v>
      </c>
      <c r="K543" t="s">
        <v>31</v>
      </c>
      <c r="L543" s="1">
        <v>0.68</v>
      </c>
    </row>
    <row r="544" spans="1:12" x14ac:dyDescent="0.35">
      <c r="A544" t="s">
        <v>1160</v>
      </c>
      <c r="B544" t="s">
        <v>1161</v>
      </c>
      <c r="C544" t="s">
        <v>94</v>
      </c>
      <c r="D544">
        <v>22</v>
      </c>
      <c r="E544" t="s">
        <v>185</v>
      </c>
      <c r="F544" t="s">
        <v>69</v>
      </c>
      <c r="G544" t="s">
        <v>17</v>
      </c>
      <c r="H544">
        <v>0</v>
      </c>
      <c r="I544" s="2">
        <v>30</v>
      </c>
      <c r="J544">
        <v>0</v>
      </c>
      <c r="K544">
        <v>0</v>
      </c>
      <c r="L544" s="1">
        <v>0.87</v>
      </c>
    </row>
    <row r="545" spans="1:12" x14ac:dyDescent="0.35">
      <c r="A545" t="s">
        <v>1162</v>
      </c>
      <c r="B545" t="s">
        <v>1163</v>
      </c>
      <c r="C545" t="s">
        <v>59</v>
      </c>
      <c r="D545">
        <v>45</v>
      </c>
      <c r="E545" t="s">
        <v>174</v>
      </c>
      <c r="F545" t="s">
        <v>69</v>
      </c>
      <c r="G545" t="s">
        <v>75</v>
      </c>
      <c r="H545">
        <v>19</v>
      </c>
      <c r="I545">
        <v>75</v>
      </c>
      <c r="J545">
        <v>0</v>
      </c>
      <c r="K545" t="s">
        <v>155</v>
      </c>
      <c r="L545" s="1">
        <v>0.72</v>
      </c>
    </row>
    <row r="546" spans="1:12" x14ac:dyDescent="0.35">
      <c r="A546" t="s">
        <v>1164</v>
      </c>
      <c r="B546" t="s">
        <v>1165</v>
      </c>
      <c r="C546" t="s">
        <v>74</v>
      </c>
      <c r="D546">
        <v>22</v>
      </c>
      <c r="E546" t="s">
        <v>21</v>
      </c>
      <c r="F546" t="s">
        <v>22</v>
      </c>
      <c r="G546" t="s">
        <v>49</v>
      </c>
      <c r="H546">
        <v>2</v>
      </c>
      <c r="I546">
        <v>40</v>
      </c>
      <c r="J546">
        <v>1.1000000000000001</v>
      </c>
      <c r="K546" t="s">
        <v>155</v>
      </c>
      <c r="L546" s="1">
        <v>0.76</v>
      </c>
    </row>
    <row r="547" spans="1:12" x14ac:dyDescent="0.35">
      <c r="A547" t="s">
        <v>1166</v>
      </c>
      <c r="B547" t="s">
        <v>1167</v>
      </c>
      <c r="C547" t="s">
        <v>14</v>
      </c>
      <c r="D547">
        <v>20</v>
      </c>
      <c r="E547" t="s">
        <v>60</v>
      </c>
      <c r="F547" t="s">
        <v>61</v>
      </c>
      <c r="G547" t="s">
        <v>23</v>
      </c>
      <c r="H547">
        <v>0</v>
      </c>
      <c r="I547">
        <v>100</v>
      </c>
      <c r="J547">
        <v>0</v>
      </c>
      <c r="K547">
        <v>0</v>
      </c>
      <c r="L547">
        <v>63</v>
      </c>
    </row>
    <row r="548" spans="1:12" x14ac:dyDescent="0.35">
      <c r="A548" t="s">
        <v>1168</v>
      </c>
      <c r="B548" t="s">
        <v>1169</v>
      </c>
      <c r="C548" t="s">
        <v>20</v>
      </c>
      <c r="D548">
        <v>20</v>
      </c>
      <c r="E548" t="s">
        <v>124</v>
      </c>
      <c r="F548" t="s">
        <v>22</v>
      </c>
      <c r="G548" t="s">
        <v>49</v>
      </c>
      <c r="H548">
        <v>2</v>
      </c>
      <c r="I548">
        <v>40</v>
      </c>
      <c r="K548">
        <v>1</v>
      </c>
      <c r="L548" s="1">
        <v>0.91</v>
      </c>
    </row>
    <row r="549" spans="1:12" x14ac:dyDescent="0.35">
      <c r="A549" t="s">
        <v>1170</v>
      </c>
      <c r="B549" t="s">
        <v>1171</v>
      </c>
      <c r="C549" t="s">
        <v>89</v>
      </c>
      <c r="D549">
        <v>21</v>
      </c>
      <c r="E549" t="s">
        <v>64</v>
      </c>
      <c r="F549" t="s">
        <v>22</v>
      </c>
      <c r="G549" t="s">
        <v>43</v>
      </c>
      <c r="H549">
        <v>0</v>
      </c>
      <c r="I549">
        <v>100</v>
      </c>
      <c r="K549">
        <v>0</v>
      </c>
      <c r="L549" s="1">
        <v>0.73</v>
      </c>
    </row>
    <row r="550" spans="1:12" x14ac:dyDescent="0.35">
      <c r="A550" t="s">
        <v>1172</v>
      </c>
      <c r="B550" t="s">
        <v>1173</v>
      </c>
      <c r="C550" t="s">
        <v>94</v>
      </c>
      <c r="D550">
        <v>22</v>
      </c>
      <c r="E550" t="s">
        <v>41</v>
      </c>
      <c r="F550" t="s">
        <v>42</v>
      </c>
      <c r="G550" t="s">
        <v>75</v>
      </c>
      <c r="H550">
        <v>1</v>
      </c>
      <c r="I550">
        <v>40</v>
      </c>
      <c r="J550">
        <v>0</v>
      </c>
      <c r="K550">
        <v>0</v>
      </c>
      <c r="L550" s="1">
        <v>0.63</v>
      </c>
    </row>
    <row r="551" spans="1:12" x14ac:dyDescent="0.35">
      <c r="A551" t="s">
        <v>1174</v>
      </c>
      <c r="B551" t="s">
        <v>1175</v>
      </c>
      <c r="C551" t="s">
        <v>34</v>
      </c>
      <c r="D551">
        <v>28</v>
      </c>
      <c r="E551" t="s">
        <v>64</v>
      </c>
      <c r="F551" t="s">
        <v>22</v>
      </c>
      <c r="G551" t="s">
        <v>86</v>
      </c>
      <c r="H551">
        <v>3</v>
      </c>
      <c r="I551" t="s">
        <v>308</v>
      </c>
      <c r="K551">
        <v>1</v>
      </c>
      <c r="L551" s="1">
        <v>0.79</v>
      </c>
    </row>
    <row r="552" spans="1:12" x14ac:dyDescent="0.35">
      <c r="A552" t="s">
        <v>1176</v>
      </c>
      <c r="B552" t="s">
        <v>1177</v>
      </c>
      <c r="C552" t="s">
        <v>34</v>
      </c>
      <c r="D552">
        <v>59</v>
      </c>
      <c r="E552" t="s">
        <v>68</v>
      </c>
      <c r="F552" t="s">
        <v>69</v>
      </c>
      <c r="G552" t="s">
        <v>43</v>
      </c>
      <c r="I552">
        <v>20</v>
      </c>
      <c r="J552">
        <v>4.0999999999999996</v>
      </c>
      <c r="K552">
        <v>0</v>
      </c>
      <c r="L552">
        <v>75</v>
      </c>
    </row>
    <row r="553" spans="1:12" x14ac:dyDescent="0.35">
      <c r="A553" t="s">
        <v>1178</v>
      </c>
      <c r="B553" t="s">
        <v>1179</v>
      </c>
      <c r="C553" t="s">
        <v>38</v>
      </c>
      <c r="D553">
        <v>28</v>
      </c>
      <c r="E553" t="s">
        <v>131</v>
      </c>
      <c r="F553" t="s">
        <v>132</v>
      </c>
      <c r="G553" t="s">
        <v>35</v>
      </c>
      <c r="H553">
        <v>1</v>
      </c>
      <c r="J553">
        <v>0</v>
      </c>
      <c r="K553">
        <v>0</v>
      </c>
      <c r="L553" s="1">
        <v>0.7</v>
      </c>
    </row>
    <row r="554" spans="1:12" x14ac:dyDescent="0.35">
      <c r="A554" t="s">
        <v>1180</v>
      </c>
      <c r="B554" t="s">
        <v>1181</v>
      </c>
      <c r="C554" t="s">
        <v>34</v>
      </c>
      <c r="D554">
        <v>40</v>
      </c>
      <c r="E554" t="s">
        <v>21</v>
      </c>
      <c r="F554" t="s">
        <v>22</v>
      </c>
      <c r="G554" t="s">
        <v>86</v>
      </c>
      <c r="H554">
        <v>0</v>
      </c>
      <c r="I554" s="2">
        <v>100</v>
      </c>
      <c r="J554">
        <v>1.2</v>
      </c>
      <c r="L554" s="1">
        <v>0.87</v>
      </c>
    </row>
    <row r="555" spans="1:12" x14ac:dyDescent="0.35">
      <c r="A555" t="s">
        <v>1182</v>
      </c>
      <c r="B555" t="s">
        <v>1183</v>
      </c>
      <c r="C555" t="s">
        <v>89</v>
      </c>
      <c r="D555">
        <v>57</v>
      </c>
      <c r="E555" t="s">
        <v>15</v>
      </c>
      <c r="F555" t="s">
        <v>16</v>
      </c>
      <c r="G555" t="s">
        <v>17</v>
      </c>
      <c r="H555">
        <v>7</v>
      </c>
      <c r="I555">
        <v>30</v>
      </c>
      <c r="J555">
        <v>1.6</v>
      </c>
      <c r="K555" t="s">
        <v>155</v>
      </c>
    </row>
    <row r="556" spans="1:12" x14ac:dyDescent="0.35">
      <c r="A556" t="s">
        <v>1184</v>
      </c>
      <c r="B556" t="s">
        <v>1185</v>
      </c>
      <c r="C556" t="s">
        <v>59</v>
      </c>
      <c r="D556">
        <v>47</v>
      </c>
      <c r="E556" t="s">
        <v>60</v>
      </c>
      <c r="F556" t="s">
        <v>61</v>
      </c>
      <c r="G556" t="s">
        <v>86</v>
      </c>
      <c r="H556">
        <v>1</v>
      </c>
      <c r="I556">
        <v>50</v>
      </c>
      <c r="J556">
        <v>3.9</v>
      </c>
      <c r="K556" t="s">
        <v>71</v>
      </c>
      <c r="L556" s="1">
        <v>0.88</v>
      </c>
    </row>
    <row r="557" spans="1:12" x14ac:dyDescent="0.35">
      <c r="A557" t="s">
        <v>1186</v>
      </c>
      <c r="B557" t="s">
        <v>1187</v>
      </c>
      <c r="C557" t="s">
        <v>27</v>
      </c>
      <c r="D557">
        <v>48</v>
      </c>
      <c r="E557" t="s">
        <v>109</v>
      </c>
      <c r="F557" t="s">
        <v>110</v>
      </c>
      <c r="G557" t="s">
        <v>75</v>
      </c>
      <c r="H557">
        <v>21</v>
      </c>
      <c r="I557">
        <v>40</v>
      </c>
      <c r="J557">
        <v>0</v>
      </c>
      <c r="K557">
        <v>1</v>
      </c>
    </row>
    <row r="558" spans="1:12" x14ac:dyDescent="0.35">
      <c r="A558" t="s">
        <v>1188</v>
      </c>
      <c r="B558" t="s">
        <v>1189</v>
      </c>
      <c r="C558" t="s">
        <v>94</v>
      </c>
      <c r="D558">
        <v>28</v>
      </c>
      <c r="E558" t="s">
        <v>56</v>
      </c>
      <c r="F558" t="s">
        <v>22</v>
      </c>
      <c r="G558" t="s">
        <v>70</v>
      </c>
      <c r="H558">
        <v>1</v>
      </c>
      <c r="I558" t="s">
        <v>308</v>
      </c>
      <c r="J558">
        <v>4.7</v>
      </c>
      <c r="K558" t="b">
        <v>0</v>
      </c>
      <c r="L558" s="1">
        <v>0.93</v>
      </c>
    </row>
    <row r="559" spans="1:12" x14ac:dyDescent="0.35">
      <c r="A559" t="s">
        <v>1190</v>
      </c>
      <c r="B559" t="s">
        <v>1191</v>
      </c>
      <c r="C559" t="s">
        <v>89</v>
      </c>
      <c r="D559">
        <v>41</v>
      </c>
      <c r="E559" t="s">
        <v>60</v>
      </c>
      <c r="F559" t="s">
        <v>61</v>
      </c>
      <c r="G559" t="s">
        <v>30</v>
      </c>
      <c r="H559">
        <v>15</v>
      </c>
      <c r="J559">
        <v>3.8</v>
      </c>
      <c r="K559">
        <v>1</v>
      </c>
    </row>
    <row r="560" spans="1:12" x14ac:dyDescent="0.35">
      <c r="A560" t="s">
        <v>1192</v>
      </c>
      <c r="B560" t="s">
        <v>1193</v>
      </c>
      <c r="C560" t="s">
        <v>14</v>
      </c>
      <c r="D560">
        <v>57</v>
      </c>
      <c r="E560" t="s">
        <v>149</v>
      </c>
      <c r="F560" t="s">
        <v>150</v>
      </c>
      <c r="G560" t="s">
        <v>75</v>
      </c>
      <c r="H560">
        <v>33</v>
      </c>
      <c r="I560">
        <v>100</v>
      </c>
      <c r="J560">
        <v>3.5</v>
      </c>
      <c r="K560" t="s">
        <v>155</v>
      </c>
      <c r="L560" s="1">
        <v>0.74</v>
      </c>
    </row>
    <row r="561" spans="1:12" x14ac:dyDescent="0.35">
      <c r="A561" t="s">
        <v>1194</v>
      </c>
      <c r="B561" t="s">
        <v>1195</v>
      </c>
      <c r="C561" t="s">
        <v>27</v>
      </c>
      <c r="D561">
        <v>60</v>
      </c>
      <c r="E561" t="s">
        <v>68</v>
      </c>
      <c r="F561" t="s">
        <v>69</v>
      </c>
      <c r="G561" t="s">
        <v>30</v>
      </c>
      <c r="H561">
        <v>39</v>
      </c>
      <c r="I561" t="s">
        <v>50</v>
      </c>
      <c r="J561">
        <v>4</v>
      </c>
      <c r="L561" s="1">
        <v>0.7</v>
      </c>
    </row>
    <row r="562" spans="1:12" x14ac:dyDescent="0.35">
      <c r="A562" t="s">
        <v>1196</v>
      </c>
      <c r="B562" t="s">
        <v>1197</v>
      </c>
      <c r="C562" t="s">
        <v>38</v>
      </c>
      <c r="D562">
        <v>48</v>
      </c>
      <c r="E562" t="s">
        <v>135</v>
      </c>
      <c r="F562" t="s">
        <v>136</v>
      </c>
      <c r="G562" t="s">
        <v>30</v>
      </c>
      <c r="H562">
        <v>21</v>
      </c>
      <c r="I562">
        <v>30</v>
      </c>
      <c r="J562">
        <v>1.6</v>
      </c>
      <c r="K562" t="s">
        <v>71</v>
      </c>
      <c r="L562" s="1">
        <v>0.67</v>
      </c>
    </row>
    <row r="563" spans="1:12" x14ac:dyDescent="0.35">
      <c r="A563" t="s">
        <v>1198</v>
      </c>
      <c r="B563" t="s">
        <v>1199</v>
      </c>
      <c r="C563" t="s">
        <v>74</v>
      </c>
      <c r="D563">
        <v>24</v>
      </c>
      <c r="E563" t="s">
        <v>131</v>
      </c>
      <c r="F563" t="s">
        <v>132</v>
      </c>
      <c r="G563" t="s">
        <v>75</v>
      </c>
      <c r="H563">
        <v>5</v>
      </c>
      <c r="I563">
        <v>40</v>
      </c>
      <c r="J563">
        <v>3</v>
      </c>
      <c r="K563" t="s">
        <v>155</v>
      </c>
      <c r="L563" s="1">
        <v>0.86</v>
      </c>
    </row>
    <row r="564" spans="1:12" x14ac:dyDescent="0.35">
      <c r="A564" t="s">
        <v>1200</v>
      </c>
      <c r="B564" t="s">
        <v>1201</v>
      </c>
      <c r="C564" t="s">
        <v>20</v>
      </c>
      <c r="D564">
        <v>33</v>
      </c>
      <c r="E564" t="s">
        <v>174</v>
      </c>
      <c r="F564" t="s">
        <v>69</v>
      </c>
      <c r="G564" t="s">
        <v>86</v>
      </c>
      <c r="H564">
        <v>11</v>
      </c>
      <c r="I564">
        <v>50</v>
      </c>
      <c r="J564">
        <v>5</v>
      </c>
      <c r="K564" t="s">
        <v>65</v>
      </c>
      <c r="L564" s="1">
        <v>0.69</v>
      </c>
    </row>
    <row r="565" spans="1:12" x14ac:dyDescent="0.35">
      <c r="A565" t="s">
        <v>1202</v>
      </c>
      <c r="B565" t="s">
        <v>1203</v>
      </c>
      <c r="C565" t="s">
        <v>20</v>
      </c>
      <c r="D565">
        <v>20</v>
      </c>
      <c r="E565" t="s">
        <v>60</v>
      </c>
      <c r="F565" t="s">
        <v>61</v>
      </c>
      <c r="G565" t="s">
        <v>30</v>
      </c>
      <c r="H565">
        <v>0</v>
      </c>
      <c r="I565">
        <v>30</v>
      </c>
      <c r="J565">
        <v>4.8</v>
      </c>
      <c r="K565" t="s">
        <v>65</v>
      </c>
      <c r="L565" s="1">
        <v>0.68</v>
      </c>
    </row>
    <row r="566" spans="1:12" x14ac:dyDescent="0.35">
      <c r="A566" t="s">
        <v>1204</v>
      </c>
      <c r="B566" t="s">
        <v>1205</v>
      </c>
      <c r="C566" t="s">
        <v>59</v>
      </c>
      <c r="D566">
        <v>59</v>
      </c>
      <c r="E566" t="s">
        <v>64</v>
      </c>
      <c r="F566" t="s">
        <v>22</v>
      </c>
      <c r="G566" t="s">
        <v>86</v>
      </c>
      <c r="H566">
        <v>15</v>
      </c>
      <c r="I566" s="2">
        <v>50</v>
      </c>
      <c r="K566" t="s">
        <v>155</v>
      </c>
    </row>
    <row r="567" spans="1:12" x14ac:dyDescent="0.35">
      <c r="A567" t="s">
        <v>1206</v>
      </c>
      <c r="B567" t="s">
        <v>1207</v>
      </c>
      <c r="C567" t="s">
        <v>38</v>
      </c>
      <c r="D567">
        <v>42</v>
      </c>
      <c r="E567" t="s">
        <v>170</v>
      </c>
      <c r="F567" t="s">
        <v>171</v>
      </c>
      <c r="G567" t="s">
        <v>86</v>
      </c>
      <c r="H567">
        <v>22</v>
      </c>
      <c r="J567">
        <v>2.9</v>
      </c>
      <c r="K567">
        <v>0</v>
      </c>
      <c r="L567" s="1">
        <v>0.61</v>
      </c>
    </row>
    <row r="568" spans="1:12" x14ac:dyDescent="0.35">
      <c r="A568" t="s">
        <v>1208</v>
      </c>
      <c r="B568" t="s">
        <v>1209</v>
      </c>
      <c r="C568" t="s">
        <v>20</v>
      </c>
      <c r="D568">
        <v>22</v>
      </c>
      <c r="E568" t="s">
        <v>60</v>
      </c>
      <c r="F568" t="s">
        <v>61</v>
      </c>
      <c r="G568" t="s">
        <v>70</v>
      </c>
      <c r="H568">
        <v>3</v>
      </c>
      <c r="J568">
        <v>3</v>
      </c>
      <c r="K568" t="b">
        <v>1</v>
      </c>
      <c r="L568" s="1">
        <v>0.96</v>
      </c>
    </row>
    <row r="569" spans="1:12" x14ac:dyDescent="0.35">
      <c r="A569" t="s">
        <v>1210</v>
      </c>
      <c r="B569" t="s">
        <v>1211</v>
      </c>
      <c r="C569" t="s">
        <v>89</v>
      </c>
      <c r="D569">
        <v>41</v>
      </c>
      <c r="E569" t="s">
        <v>124</v>
      </c>
      <c r="F569" t="s">
        <v>22</v>
      </c>
      <c r="G569" t="s">
        <v>75</v>
      </c>
      <c r="H569">
        <v>11</v>
      </c>
      <c r="I569">
        <v>50</v>
      </c>
      <c r="J569">
        <v>3.5</v>
      </c>
      <c r="K569">
        <v>1</v>
      </c>
      <c r="L569" s="1">
        <v>0.68</v>
      </c>
    </row>
    <row r="570" spans="1:12" x14ac:dyDescent="0.35">
      <c r="A570" t="s">
        <v>1212</v>
      </c>
      <c r="B570" t="s">
        <v>1213</v>
      </c>
      <c r="C570" t="s">
        <v>74</v>
      </c>
      <c r="D570">
        <v>25</v>
      </c>
      <c r="E570" t="s">
        <v>68</v>
      </c>
      <c r="F570" t="s">
        <v>69</v>
      </c>
      <c r="G570" t="s">
        <v>35</v>
      </c>
      <c r="H570">
        <v>5</v>
      </c>
      <c r="I570">
        <v>40</v>
      </c>
      <c r="K570" t="b">
        <v>1</v>
      </c>
      <c r="L570" s="1">
        <v>0.75</v>
      </c>
    </row>
    <row r="571" spans="1:12" x14ac:dyDescent="0.35">
      <c r="A571" t="s">
        <v>1214</v>
      </c>
      <c r="B571" t="s">
        <v>1215</v>
      </c>
      <c r="C571" t="s">
        <v>14</v>
      </c>
      <c r="D571">
        <v>38</v>
      </c>
      <c r="E571" t="s">
        <v>124</v>
      </c>
      <c r="F571" t="s">
        <v>22</v>
      </c>
      <c r="G571" t="s">
        <v>70</v>
      </c>
      <c r="H571">
        <v>3</v>
      </c>
      <c r="I571">
        <v>40</v>
      </c>
      <c r="J571">
        <v>4.7</v>
      </c>
      <c r="K571">
        <v>0</v>
      </c>
      <c r="L571" s="1">
        <v>0.69</v>
      </c>
    </row>
    <row r="572" spans="1:12" x14ac:dyDescent="0.35">
      <c r="A572" t="s">
        <v>1216</v>
      </c>
      <c r="B572" t="s">
        <v>1217</v>
      </c>
      <c r="C572" t="s">
        <v>38</v>
      </c>
      <c r="D572">
        <v>43</v>
      </c>
      <c r="E572" t="s">
        <v>56</v>
      </c>
      <c r="F572" t="s">
        <v>22</v>
      </c>
      <c r="G572" t="s">
        <v>86</v>
      </c>
      <c r="H572">
        <v>1</v>
      </c>
      <c r="J572">
        <v>2.9</v>
      </c>
      <c r="K572" t="s">
        <v>155</v>
      </c>
      <c r="L572" s="1">
        <v>0.78</v>
      </c>
    </row>
    <row r="573" spans="1:12" x14ac:dyDescent="0.35">
      <c r="A573" t="s">
        <v>1218</v>
      </c>
      <c r="B573" t="s">
        <v>1219</v>
      </c>
      <c r="C573" t="s">
        <v>34</v>
      </c>
      <c r="D573">
        <v>54</v>
      </c>
      <c r="E573" t="s">
        <v>174</v>
      </c>
      <c r="F573" t="s">
        <v>69</v>
      </c>
      <c r="G573" t="s">
        <v>43</v>
      </c>
      <c r="H573">
        <v>1</v>
      </c>
      <c r="I573">
        <v>75</v>
      </c>
      <c r="J573">
        <v>4.4000000000000004</v>
      </c>
      <c r="K573" t="s">
        <v>71</v>
      </c>
    </row>
    <row r="574" spans="1:12" x14ac:dyDescent="0.35">
      <c r="A574" t="s">
        <v>1220</v>
      </c>
      <c r="B574" t="s">
        <v>1221</v>
      </c>
      <c r="C574" t="s">
        <v>34</v>
      </c>
      <c r="D574">
        <v>31</v>
      </c>
      <c r="E574" t="s">
        <v>47</v>
      </c>
      <c r="F574" t="s">
        <v>48</v>
      </c>
      <c r="G574" t="s">
        <v>23</v>
      </c>
      <c r="H574">
        <v>2</v>
      </c>
      <c r="I574">
        <v>40</v>
      </c>
      <c r="J574">
        <v>2.2999999999999998</v>
      </c>
      <c r="K574" t="s">
        <v>31</v>
      </c>
      <c r="L574" s="1">
        <v>0.98</v>
      </c>
    </row>
    <row r="575" spans="1:12" x14ac:dyDescent="0.35">
      <c r="A575" t="s">
        <v>1222</v>
      </c>
      <c r="B575" t="s">
        <v>1223</v>
      </c>
      <c r="C575" t="s">
        <v>14</v>
      </c>
      <c r="D575">
        <v>56</v>
      </c>
      <c r="E575" t="s">
        <v>174</v>
      </c>
      <c r="F575" t="s">
        <v>69</v>
      </c>
      <c r="G575" t="s">
        <v>43</v>
      </c>
      <c r="H575">
        <v>3</v>
      </c>
      <c r="I575" s="2">
        <v>30</v>
      </c>
      <c r="J575">
        <v>3.7</v>
      </c>
      <c r="L575" s="1">
        <v>0.83</v>
      </c>
    </row>
    <row r="576" spans="1:12" x14ac:dyDescent="0.35">
      <c r="A576" t="s">
        <v>1224</v>
      </c>
      <c r="B576" t="s">
        <v>1225</v>
      </c>
      <c r="C576" t="s">
        <v>59</v>
      </c>
      <c r="D576">
        <v>46</v>
      </c>
      <c r="E576" t="s">
        <v>174</v>
      </c>
      <c r="F576" t="s">
        <v>69</v>
      </c>
      <c r="G576" t="s">
        <v>30</v>
      </c>
      <c r="H576">
        <v>11</v>
      </c>
      <c r="J576">
        <v>1.8</v>
      </c>
      <c r="K576">
        <v>1</v>
      </c>
      <c r="L576" s="1">
        <v>0.91</v>
      </c>
    </row>
    <row r="577" spans="1:12" x14ac:dyDescent="0.35">
      <c r="A577" t="s">
        <v>1226</v>
      </c>
      <c r="B577" t="s">
        <v>1227</v>
      </c>
      <c r="C577" t="s">
        <v>94</v>
      </c>
      <c r="D577">
        <v>60</v>
      </c>
      <c r="E577" t="s">
        <v>135</v>
      </c>
      <c r="F577" t="s">
        <v>136</v>
      </c>
      <c r="G577" t="s">
        <v>43</v>
      </c>
      <c r="I577">
        <v>100</v>
      </c>
      <c r="J577">
        <v>0</v>
      </c>
      <c r="K577">
        <v>1</v>
      </c>
      <c r="L577" s="1">
        <v>0.96</v>
      </c>
    </row>
    <row r="578" spans="1:12" x14ac:dyDescent="0.35">
      <c r="A578" t="s">
        <v>1228</v>
      </c>
      <c r="B578" t="s">
        <v>1229</v>
      </c>
      <c r="C578" t="s">
        <v>34</v>
      </c>
      <c r="D578">
        <v>28</v>
      </c>
      <c r="E578" t="s">
        <v>109</v>
      </c>
      <c r="F578" t="s">
        <v>110</v>
      </c>
      <c r="G578" t="s">
        <v>30</v>
      </c>
      <c r="H578">
        <v>2</v>
      </c>
      <c r="I578" t="s">
        <v>95</v>
      </c>
      <c r="K578">
        <v>1</v>
      </c>
      <c r="L578" s="1">
        <v>0.85</v>
      </c>
    </row>
    <row r="579" spans="1:12" x14ac:dyDescent="0.35">
      <c r="A579" t="s">
        <v>1230</v>
      </c>
      <c r="B579" t="s">
        <v>1231</v>
      </c>
      <c r="C579" t="s">
        <v>34</v>
      </c>
      <c r="D579">
        <v>43</v>
      </c>
      <c r="E579" t="s">
        <v>47</v>
      </c>
      <c r="F579" t="s">
        <v>48</v>
      </c>
      <c r="G579" t="s">
        <v>35</v>
      </c>
      <c r="H579">
        <v>20</v>
      </c>
      <c r="I579" t="s">
        <v>106</v>
      </c>
      <c r="J579">
        <v>2.7</v>
      </c>
      <c r="K579" t="b">
        <v>0</v>
      </c>
      <c r="L579" s="1">
        <v>0.72</v>
      </c>
    </row>
    <row r="580" spans="1:12" x14ac:dyDescent="0.35">
      <c r="A580" t="s">
        <v>1232</v>
      </c>
      <c r="B580" t="s">
        <v>1233</v>
      </c>
      <c r="C580" t="s">
        <v>59</v>
      </c>
      <c r="D580">
        <v>41</v>
      </c>
      <c r="E580" t="s">
        <v>131</v>
      </c>
      <c r="F580" t="s">
        <v>132</v>
      </c>
      <c r="G580" t="s">
        <v>35</v>
      </c>
      <c r="H580">
        <v>11</v>
      </c>
      <c r="I580" s="2">
        <v>20</v>
      </c>
      <c r="J580">
        <v>4.7</v>
      </c>
      <c r="L580" s="1">
        <v>0.69</v>
      </c>
    </row>
    <row r="581" spans="1:12" x14ac:dyDescent="0.35">
      <c r="A581" t="s">
        <v>1234</v>
      </c>
      <c r="B581" t="s">
        <v>1235</v>
      </c>
      <c r="C581" t="s">
        <v>27</v>
      </c>
      <c r="D581">
        <v>41</v>
      </c>
      <c r="E581" t="s">
        <v>64</v>
      </c>
      <c r="F581" t="s">
        <v>22</v>
      </c>
      <c r="G581" t="s">
        <v>86</v>
      </c>
      <c r="H581">
        <v>0</v>
      </c>
      <c r="I581" s="2">
        <v>20</v>
      </c>
      <c r="J581">
        <v>3.1</v>
      </c>
      <c r="K581">
        <v>0</v>
      </c>
      <c r="L581">
        <v>90</v>
      </c>
    </row>
    <row r="582" spans="1:12" x14ac:dyDescent="0.35">
      <c r="A582" t="s">
        <v>1236</v>
      </c>
      <c r="B582" t="s">
        <v>1237</v>
      </c>
      <c r="C582" t="s">
        <v>34</v>
      </c>
      <c r="D582">
        <v>40</v>
      </c>
      <c r="E582" t="s">
        <v>64</v>
      </c>
      <c r="F582" t="s">
        <v>22</v>
      </c>
      <c r="G582" t="s">
        <v>23</v>
      </c>
      <c r="H582">
        <v>20</v>
      </c>
      <c r="I582">
        <v>20</v>
      </c>
      <c r="J582">
        <v>2.2999999999999998</v>
      </c>
      <c r="K582">
        <v>0</v>
      </c>
      <c r="L582" s="1">
        <v>0.92</v>
      </c>
    </row>
    <row r="583" spans="1:12" x14ac:dyDescent="0.35">
      <c r="A583" t="s">
        <v>1238</v>
      </c>
      <c r="B583" t="s">
        <v>1239</v>
      </c>
      <c r="C583" t="s">
        <v>94</v>
      </c>
      <c r="D583">
        <v>45</v>
      </c>
      <c r="E583" t="s">
        <v>28</v>
      </c>
      <c r="F583" t="s">
        <v>29</v>
      </c>
      <c r="G583" t="s">
        <v>86</v>
      </c>
      <c r="H583">
        <v>3</v>
      </c>
      <c r="I583" t="s">
        <v>308</v>
      </c>
      <c r="J583">
        <v>1.3</v>
      </c>
      <c r="K583" t="s">
        <v>71</v>
      </c>
      <c r="L583" s="1">
        <v>0.91</v>
      </c>
    </row>
    <row r="584" spans="1:12" x14ac:dyDescent="0.35">
      <c r="A584" t="s">
        <v>1240</v>
      </c>
      <c r="B584" t="s">
        <v>1241</v>
      </c>
      <c r="C584" t="s">
        <v>59</v>
      </c>
      <c r="D584">
        <v>47</v>
      </c>
      <c r="E584" t="s">
        <v>135</v>
      </c>
      <c r="F584" t="s">
        <v>136</v>
      </c>
      <c r="G584" t="s">
        <v>86</v>
      </c>
      <c r="H584">
        <v>28</v>
      </c>
      <c r="I584" t="s">
        <v>95</v>
      </c>
      <c r="J584">
        <v>2.9</v>
      </c>
      <c r="K584" t="b">
        <v>1</v>
      </c>
    </row>
    <row r="585" spans="1:12" x14ac:dyDescent="0.35">
      <c r="A585" t="s">
        <v>1242</v>
      </c>
      <c r="B585" t="s">
        <v>1243</v>
      </c>
      <c r="C585" t="s">
        <v>46</v>
      </c>
      <c r="D585">
        <v>34</v>
      </c>
      <c r="E585" t="s">
        <v>90</v>
      </c>
      <c r="F585" t="s">
        <v>91</v>
      </c>
      <c r="G585" t="s">
        <v>49</v>
      </c>
      <c r="H585">
        <v>0</v>
      </c>
      <c r="I585">
        <v>40</v>
      </c>
      <c r="J585">
        <v>3.3</v>
      </c>
      <c r="K585">
        <v>0</v>
      </c>
      <c r="L585" s="1">
        <v>0.98</v>
      </c>
    </row>
    <row r="586" spans="1:12" x14ac:dyDescent="0.35">
      <c r="A586" t="s">
        <v>1244</v>
      </c>
      <c r="B586" t="s">
        <v>1245</v>
      </c>
      <c r="C586" t="s">
        <v>89</v>
      </c>
      <c r="D586">
        <v>47</v>
      </c>
      <c r="E586" t="s">
        <v>56</v>
      </c>
      <c r="F586" t="s">
        <v>22</v>
      </c>
      <c r="G586" t="s">
        <v>70</v>
      </c>
      <c r="H586">
        <v>4</v>
      </c>
      <c r="I586" t="s">
        <v>308</v>
      </c>
      <c r="J586">
        <v>4.2</v>
      </c>
      <c r="L586" s="1">
        <v>0.82</v>
      </c>
    </row>
    <row r="587" spans="1:12" x14ac:dyDescent="0.35">
      <c r="A587" t="s">
        <v>1246</v>
      </c>
      <c r="B587" t="s">
        <v>1247</v>
      </c>
      <c r="C587" t="s">
        <v>89</v>
      </c>
      <c r="D587">
        <v>32</v>
      </c>
      <c r="E587" t="s">
        <v>174</v>
      </c>
      <c r="F587" t="s">
        <v>69</v>
      </c>
      <c r="G587" t="s">
        <v>70</v>
      </c>
      <c r="H587">
        <v>9</v>
      </c>
      <c r="I587" t="s">
        <v>53</v>
      </c>
      <c r="J587">
        <v>1.3</v>
      </c>
      <c r="K587" t="b">
        <v>1</v>
      </c>
      <c r="L587" s="1">
        <v>0.83</v>
      </c>
    </row>
    <row r="588" spans="1:12" x14ac:dyDescent="0.35">
      <c r="A588" t="s">
        <v>1248</v>
      </c>
      <c r="B588" t="s">
        <v>1249</v>
      </c>
      <c r="C588" t="s">
        <v>89</v>
      </c>
      <c r="D588">
        <v>28</v>
      </c>
      <c r="E588" t="s">
        <v>64</v>
      </c>
      <c r="F588" t="s">
        <v>22</v>
      </c>
      <c r="G588" t="s">
        <v>23</v>
      </c>
      <c r="H588">
        <v>2</v>
      </c>
      <c r="I588" s="2">
        <v>100</v>
      </c>
      <c r="J588">
        <v>4.4000000000000004</v>
      </c>
      <c r="K588" t="b">
        <v>1</v>
      </c>
    </row>
    <row r="589" spans="1:12" x14ac:dyDescent="0.35">
      <c r="A589" t="s">
        <v>1250</v>
      </c>
      <c r="B589" t="s">
        <v>1251</v>
      </c>
      <c r="C589" t="s">
        <v>46</v>
      </c>
      <c r="D589">
        <v>32</v>
      </c>
      <c r="E589" t="s">
        <v>21</v>
      </c>
      <c r="F589" t="s">
        <v>22</v>
      </c>
      <c r="G589" t="s">
        <v>86</v>
      </c>
      <c r="H589">
        <v>1</v>
      </c>
      <c r="I589">
        <v>100</v>
      </c>
      <c r="J589">
        <v>3.4</v>
      </c>
      <c r="K589" t="b">
        <v>1</v>
      </c>
    </row>
    <row r="590" spans="1:12" x14ac:dyDescent="0.35">
      <c r="A590" t="s">
        <v>1252</v>
      </c>
      <c r="B590" t="s">
        <v>1253</v>
      </c>
      <c r="C590" t="s">
        <v>34</v>
      </c>
      <c r="D590">
        <v>49</v>
      </c>
      <c r="E590" t="s">
        <v>41</v>
      </c>
      <c r="F590" t="s">
        <v>42</v>
      </c>
      <c r="G590" t="s">
        <v>43</v>
      </c>
      <c r="H590">
        <v>2</v>
      </c>
      <c r="I590" s="2">
        <v>100</v>
      </c>
      <c r="J590">
        <v>3.4</v>
      </c>
      <c r="K590">
        <v>1</v>
      </c>
      <c r="L590" s="1">
        <v>0.85</v>
      </c>
    </row>
    <row r="591" spans="1:12" x14ac:dyDescent="0.35">
      <c r="A591" t="s">
        <v>1254</v>
      </c>
      <c r="B591" t="s">
        <v>1255</v>
      </c>
      <c r="C591" t="s">
        <v>14</v>
      </c>
      <c r="D591">
        <v>36</v>
      </c>
      <c r="E591" t="s">
        <v>68</v>
      </c>
      <c r="F591" t="s">
        <v>69</v>
      </c>
      <c r="G591" t="s">
        <v>23</v>
      </c>
      <c r="H591">
        <v>16</v>
      </c>
      <c r="I591" t="s">
        <v>308</v>
      </c>
      <c r="J591">
        <v>3.2</v>
      </c>
    </row>
    <row r="592" spans="1:12" x14ac:dyDescent="0.35">
      <c r="A592" t="s">
        <v>1256</v>
      </c>
      <c r="B592" t="s">
        <v>1257</v>
      </c>
      <c r="C592" t="s">
        <v>89</v>
      </c>
      <c r="D592">
        <v>59</v>
      </c>
      <c r="E592" t="s">
        <v>174</v>
      </c>
      <c r="F592" t="s">
        <v>69</v>
      </c>
      <c r="G592" t="s">
        <v>17</v>
      </c>
      <c r="H592">
        <v>22</v>
      </c>
      <c r="I592" t="s">
        <v>308</v>
      </c>
      <c r="J592">
        <v>3.6</v>
      </c>
      <c r="K592" t="s">
        <v>31</v>
      </c>
      <c r="L592" s="1">
        <v>0.63</v>
      </c>
    </row>
    <row r="593" spans="1:12" x14ac:dyDescent="0.35">
      <c r="A593" t="s">
        <v>1258</v>
      </c>
      <c r="B593" t="s">
        <v>1259</v>
      </c>
      <c r="C593" t="s">
        <v>38</v>
      </c>
      <c r="D593">
        <v>52</v>
      </c>
      <c r="E593" t="s">
        <v>124</v>
      </c>
      <c r="F593" t="s">
        <v>22</v>
      </c>
      <c r="G593" t="s">
        <v>75</v>
      </c>
      <c r="H593">
        <v>22</v>
      </c>
      <c r="I593" s="2">
        <v>20</v>
      </c>
      <c r="J593">
        <v>0</v>
      </c>
      <c r="K593">
        <v>0</v>
      </c>
    </row>
    <row r="594" spans="1:12" x14ac:dyDescent="0.35">
      <c r="A594" t="s">
        <v>1260</v>
      </c>
      <c r="B594" t="s">
        <v>1261</v>
      </c>
      <c r="C594" t="s">
        <v>38</v>
      </c>
      <c r="D594">
        <v>24</v>
      </c>
      <c r="E594" t="s">
        <v>170</v>
      </c>
      <c r="F594" t="s">
        <v>171</v>
      </c>
      <c r="G594" t="s">
        <v>17</v>
      </c>
      <c r="H594">
        <v>5</v>
      </c>
      <c r="I594">
        <v>40</v>
      </c>
      <c r="J594">
        <v>1.8</v>
      </c>
      <c r="K594">
        <v>1</v>
      </c>
      <c r="L594" s="1">
        <v>0.86</v>
      </c>
    </row>
    <row r="595" spans="1:12" x14ac:dyDescent="0.35">
      <c r="A595" t="s">
        <v>1262</v>
      </c>
      <c r="B595" t="s">
        <v>1263</v>
      </c>
      <c r="C595" t="s">
        <v>20</v>
      </c>
      <c r="D595">
        <v>26</v>
      </c>
      <c r="E595" t="s">
        <v>21</v>
      </c>
      <c r="F595" t="s">
        <v>22</v>
      </c>
      <c r="G595" t="s">
        <v>30</v>
      </c>
      <c r="H595">
        <v>2</v>
      </c>
      <c r="I595" t="s">
        <v>50</v>
      </c>
      <c r="J595">
        <v>2.5</v>
      </c>
      <c r="K595" t="s">
        <v>65</v>
      </c>
      <c r="L595">
        <v>60</v>
      </c>
    </row>
    <row r="596" spans="1:12" x14ac:dyDescent="0.35">
      <c r="A596" t="s">
        <v>1264</v>
      </c>
      <c r="B596" t="s">
        <v>1265</v>
      </c>
      <c r="C596" t="s">
        <v>89</v>
      </c>
      <c r="D596">
        <v>55</v>
      </c>
      <c r="E596" t="s">
        <v>124</v>
      </c>
      <c r="F596" t="s">
        <v>22</v>
      </c>
      <c r="G596" t="s">
        <v>75</v>
      </c>
      <c r="H596">
        <v>24</v>
      </c>
      <c r="I596">
        <v>40</v>
      </c>
      <c r="J596">
        <v>2</v>
      </c>
      <c r="K596">
        <v>1</v>
      </c>
      <c r="L596">
        <v>88</v>
      </c>
    </row>
    <row r="597" spans="1:12" x14ac:dyDescent="0.35">
      <c r="A597" t="s">
        <v>1266</v>
      </c>
      <c r="B597" t="s">
        <v>1267</v>
      </c>
      <c r="C597" t="s">
        <v>20</v>
      </c>
      <c r="D597">
        <v>56</v>
      </c>
      <c r="E597" t="s">
        <v>15</v>
      </c>
      <c r="F597" t="s">
        <v>16</v>
      </c>
      <c r="G597" t="s">
        <v>23</v>
      </c>
      <c r="H597">
        <v>37</v>
      </c>
      <c r="I597">
        <v>40</v>
      </c>
      <c r="J597">
        <v>0</v>
      </c>
      <c r="K597" t="s">
        <v>31</v>
      </c>
      <c r="L597" s="1">
        <v>0.7</v>
      </c>
    </row>
    <row r="598" spans="1:12" x14ac:dyDescent="0.35">
      <c r="A598" t="s">
        <v>1268</v>
      </c>
      <c r="B598" t="s">
        <v>1269</v>
      </c>
      <c r="C598" t="s">
        <v>46</v>
      </c>
      <c r="D598">
        <v>36</v>
      </c>
      <c r="E598" t="s">
        <v>131</v>
      </c>
      <c r="F598" t="s">
        <v>132</v>
      </c>
      <c r="G598" t="s">
        <v>30</v>
      </c>
      <c r="H598">
        <v>3</v>
      </c>
      <c r="I598" t="s">
        <v>95</v>
      </c>
      <c r="J598">
        <v>1.3</v>
      </c>
      <c r="K598">
        <v>1</v>
      </c>
      <c r="L598" s="1">
        <v>0.77</v>
      </c>
    </row>
    <row r="599" spans="1:12" x14ac:dyDescent="0.35">
      <c r="A599" t="s">
        <v>1270</v>
      </c>
      <c r="B599" t="s">
        <v>1271</v>
      </c>
      <c r="C599" t="s">
        <v>89</v>
      </c>
      <c r="D599">
        <v>48</v>
      </c>
      <c r="E599" t="s">
        <v>68</v>
      </c>
      <c r="F599" t="s">
        <v>69</v>
      </c>
      <c r="G599" t="s">
        <v>35</v>
      </c>
      <c r="H599">
        <v>18</v>
      </c>
      <c r="I599">
        <v>75</v>
      </c>
      <c r="J599">
        <v>0</v>
      </c>
      <c r="K599">
        <v>0</v>
      </c>
      <c r="L599" s="1">
        <v>0.8</v>
      </c>
    </row>
    <row r="600" spans="1:12" x14ac:dyDescent="0.35">
      <c r="A600" t="s">
        <v>1272</v>
      </c>
      <c r="B600" t="s">
        <v>1273</v>
      </c>
      <c r="C600" t="s">
        <v>94</v>
      </c>
      <c r="D600">
        <v>55</v>
      </c>
      <c r="E600" t="s">
        <v>135</v>
      </c>
      <c r="F600" t="s">
        <v>136</v>
      </c>
      <c r="G600" t="s">
        <v>111</v>
      </c>
      <c r="H600">
        <v>6</v>
      </c>
      <c r="I600" s="2">
        <v>40</v>
      </c>
      <c r="J600">
        <v>3.6</v>
      </c>
      <c r="K600" t="s">
        <v>71</v>
      </c>
    </row>
    <row r="601" spans="1:12" x14ac:dyDescent="0.35">
      <c r="A601" t="s">
        <v>1274</v>
      </c>
      <c r="B601" t="s">
        <v>1275</v>
      </c>
      <c r="C601" t="s">
        <v>38</v>
      </c>
      <c r="D601">
        <v>56</v>
      </c>
      <c r="E601" t="s">
        <v>185</v>
      </c>
      <c r="F601" t="s">
        <v>69</v>
      </c>
      <c r="G601" t="s">
        <v>86</v>
      </c>
      <c r="H601">
        <v>17</v>
      </c>
      <c r="J601">
        <v>1.3</v>
      </c>
      <c r="L601" s="1">
        <v>0.87</v>
      </c>
    </row>
    <row r="602" spans="1:12" x14ac:dyDescent="0.35">
      <c r="A602" t="s">
        <v>1276</v>
      </c>
      <c r="B602" t="s">
        <v>1277</v>
      </c>
      <c r="C602" t="s">
        <v>74</v>
      </c>
      <c r="D602">
        <v>28</v>
      </c>
      <c r="E602" t="s">
        <v>124</v>
      </c>
      <c r="F602" t="s">
        <v>22</v>
      </c>
      <c r="G602" t="s">
        <v>17</v>
      </c>
      <c r="H602">
        <v>1</v>
      </c>
      <c r="I602">
        <v>75</v>
      </c>
      <c r="J602">
        <v>2.7</v>
      </c>
      <c r="K602" t="b">
        <v>1</v>
      </c>
      <c r="L602" s="1">
        <v>0.93</v>
      </c>
    </row>
    <row r="603" spans="1:12" x14ac:dyDescent="0.35">
      <c r="A603" t="s">
        <v>1278</v>
      </c>
      <c r="B603" t="s">
        <v>1279</v>
      </c>
      <c r="C603" t="s">
        <v>27</v>
      </c>
      <c r="D603">
        <v>60</v>
      </c>
      <c r="E603" t="s">
        <v>56</v>
      </c>
      <c r="F603" t="s">
        <v>22</v>
      </c>
      <c r="G603" t="s">
        <v>43</v>
      </c>
      <c r="H603">
        <v>39</v>
      </c>
      <c r="I603" t="s">
        <v>24</v>
      </c>
      <c r="J603">
        <v>1.5</v>
      </c>
      <c r="L603">
        <v>88</v>
      </c>
    </row>
    <row r="604" spans="1:12" x14ac:dyDescent="0.35">
      <c r="A604" t="s">
        <v>1280</v>
      </c>
      <c r="B604" t="s">
        <v>1281</v>
      </c>
      <c r="C604" t="s">
        <v>27</v>
      </c>
      <c r="D604">
        <v>34</v>
      </c>
      <c r="E604" t="s">
        <v>109</v>
      </c>
      <c r="F604" t="s">
        <v>110</v>
      </c>
      <c r="G604" t="s">
        <v>17</v>
      </c>
      <c r="H604">
        <v>15</v>
      </c>
      <c r="I604">
        <v>20</v>
      </c>
      <c r="J604">
        <v>0</v>
      </c>
      <c r="K604">
        <v>0</v>
      </c>
      <c r="L604" s="1">
        <v>1</v>
      </c>
    </row>
    <row r="605" spans="1:12" x14ac:dyDescent="0.35">
      <c r="A605" t="s">
        <v>1282</v>
      </c>
      <c r="B605" t="s">
        <v>1283</v>
      </c>
      <c r="C605" t="s">
        <v>38</v>
      </c>
      <c r="D605">
        <v>38</v>
      </c>
      <c r="E605" t="s">
        <v>47</v>
      </c>
      <c r="F605" t="s">
        <v>48</v>
      </c>
      <c r="G605" t="s">
        <v>43</v>
      </c>
      <c r="H605">
        <v>13</v>
      </c>
      <c r="I605" s="2">
        <v>40</v>
      </c>
      <c r="J605">
        <v>0</v>
      </c>
      <c r="K605">
        <v>1</v>
      </c>
      <c r="L605">
        <v>61</v>
      </c>
    </row>
    <row r="606" spans="1:12" x14ac:dyDescent="0.35">
      <c r="A606" t="s">
        <v>1284</v>
      </c>
      <c r="B606" t="s">
        <v>1285</v>
      </c>
      <c r="C606" t="s">
        <v>20</v>
      </c>
      <c r="D606">
        <v>51</v>
      </c>
      <c r="E606" t="s">
        <v>109</v>
      </c>
      <c r="F606" t="s">
        <v>110</v>
      </c>
      <c r="G606" t="s">
        <v>35</v>
      </c>
      <c r="H606">
        <v>17</v>
      </c>
      <c r="I606">
        <v>100</v>
      </c>
      <c r="J606">
        <v>3</v>
      </c>
      <c r="K606" t="b">
        <v>0</v>
      </c>
      <c r="L606" s="1">
        <v>0.79</v>
      </c>
    </row>
    <row r="607" spans="1:12" x14ac:dyDescent="0.35">
      <c r="A607" t="s">
        <v>1286</v>
      </c>
      <c r="B607" t="s">
        <v>1287</v>
      </c>
      <c r="C607" t="s">
        <v>14</v>
      </c>
      <c r="D607">
        <v>21</v>
      </c>
      <c r="E607" t="s">
        <v>82</v>
      </c>
      <c r="F607" t="s">
        <v>83</v>
      </c>
      <c r="G607" t="s">
        <v>23</v>
      </c>
      <c r="H607">
        <v>1</v>
      </c>
      <c r="I607">
        <v>30</v>
      </c>
      <c r="J607">
        <v>1.2</v>
      </c>
      <c r="L607" s="1">
        <v>0.73</v>
      </c>
    </row>
    <row r="608" spans="1:12" x14ac:dyDescent="0.35">
      <c r="A608" t="s">
        <v>1288</v>
      </c>
      <c r="B608" t="s">
        <v>1289</v>
      </c>
      <c r="C608" t="s">
        <v>89</v>
      </c>
      <c r="D608">
        <v>35</v>
      </c>
      <c r="E608" t="s">
        <v>15</v>
      </c>
      <c r="F608" t="s">
        <v>16</v>
      </c>
      <c r="G608" t="s">
        <v>70</v>
      </c>
      <c r="H608">
        <v>16</v>
      </c>
      <c r="J608">
        <v>1.3</v>
      </c>
      <c r="K608">
        <v>1</v>
      </c>
      <c r="L608" s="1">
        <v>0.64</v>
      </c>
    </row>
    <row r="609" spans="1:12" x14ac:dyDescent="0.35">
      <c r="A609" t="s">
        <v>1290</v>
      </c>
      <c r="B609" t="s">
        <v>1291</v>
      </c>
      <c r="C609" t="s">
        <v>89</v>
      </c>
      <c r="D609">
        <v>27</v>
      </c>
      <c r="E609" t="s">
        <v>104</v>
      </c>
      <c r="F609" t="s">
        <v>105</v>
      </c>
      <c r="G609" t="s">
        <v>35</v>
      </c>
      <c r="H609">
        <v>9</v>
      </c>
      <c r="I609" s="2">
        <v>100</v>
      </c>
      <c r="K609" t="b">
        <v>1</v>
      </c>
    </row>
    <row r="610" spans="1:12" x14ac:dyDescent="0.35">
      <c r="A610" t="s">
        <v>1292</v>
      </c>
      <c r="B610" t="s">
        <v>1293</v>
      </c>
      <c r="C610" t="s">
        <v>20</v>
      </c>
      <c r="D610">
        <v>42</v>
      </c>
      <c r="E610" t="s">
        <v>60</v>
      </c>
      <c r="F610" t="s">
        <v>61</v>
      </c>
      <c r="G610" t="s">
        <v>23</v>
      </c>
      <c r="H610">
        <v>20</v>
      </c>
      <c r="I610" t="s">
        <v>95</v>
      </c>
      <c r="J610">
        <v>3.8</v>
      </c>
      <c r="K610" t="s">
        <v>31</v>
      </c>
      <c r="L610" s="1">
        <v>0.93</v>
      </c>
    </row>
    <row r="611" spans="1:12" x14ac:dyDescent="0.35">
      <c r="A611" t="s">
        <v>1294</v>
      </c>
      <c r="B611" t="s">
        <v>1295</v>
      </c>
      <c r="C611" t="s">
        <v>34</v>
      </c>
      <c r="D611">
        <v>52</v>
      </c>
      <c r="E611" t="s">
        <v>124</v>
      </c>
      <c r="F611" t="s">
        <v>22</v>
      </c>
      <c r="G611" t="s">
        <v>17</v>
      </c>
      <c r="H611">
        <v>29</v>
      </c>
      <c r="I611">
        <v>30</v>
      </c>
      <c r="J611">
        <v>3.8</v>
      </c>
      <c r="K611">
        <v>0</v>
      </c>
      <c r="L611" s="1">
        <v>0.68</v>
      </c>
    </row>
    <row r="612" spans="1:12" x14ac:dyDescent="0.35">
      <c r="A612" t="s">
        <v>1296</v>
      </c>
      <c r="B612" t="s">
        <v>1297</v>
      </c>
      <c r="C612" t="s">
        <v>27</v>
      </c>
      <c r="D612">
        <v>53</v>
      </c>
      <c r="E612" t="s">
        <v>109</v>
      </c>
      <c r="F612" t="s">
        <v>110</v>
      </c>
      <c r="G612" t="s">
        <v>35</v>
      </c>
      <c r="H612">
        <v>21</v>
      </c>
      <c r="I612">
        <v>40</v>
      </c>
      <c r="J612">
        <v>4.7</v>
      </c>
      <c r="K612">
        <v>1</v>
      </c>
      <c r="L612" s="1">
        <v>0.62</v>
      </c>
    </row>
    <row r="613" spans="1:12" x14ac:dyDescent="0.35">
      <c r="A613" t="s">
        <v>1298</v>
      </c>
      <c r="B613" t="s">
        <v>1299</v>
      </c>
      <c r="C613" t="s">
        <v>20</v>
      </c>
      <c r="D613">
        <v>54</v>
      </c>
      <c r="E613" t="s">
        <v>15</v>
      </c>
      <c r="F613" t="s">
        <v>16</v>
      </c>
      <c r="G613" t="s">
        <v>23</v>
      </c>
      <c r="H613">
        <v>28</v>
      </c>
      <c r="I613" t="s">
        <v>53</v>
      </c>
      <c r="J613">
        <v>1.1000000000000001</v>
      </c>
      <c r="K613" t="s">
        <v>155</v>
      </c>
    </row>
    <row r="614" spans="1:12" x14ac:dyDescent="0.35">
      <c r="A614" t="s">
        <v>1300</v>
      </c>
      <c r="B614" t="s">
        <v>1301</v>
      </c>
      <c r="C614" t="s">
        <v>59</v>
      </c>
      <c r="D614">
        <v>51</v>
      </c>
      <c r="E614" t="s">
        <v>82</v>
      </c>
      <c r="F614" t="s">
        <v>83</v>
      </c>
      <c r="G614" t="s">
        <v>30</v>
      </c>
      <c r="H614">
        <v>5</v>
      </c>
      <c r="I614">
        <v>50</v>
      </c>
      <c r="J614">
        <v>4.2</v>
      </c>
      <c r="K614">
        <v>1</v>
      </c>
      <c r="L614" s="1">
        <v>0.82</v>
      </c>
    </row>
    <row r="615" spans="1:12" x14ac:dyDescent="0.35">
      <c r="A615" t="s">
        <v>1302</v>
      </c>
      <c r="B615" t="s">
        <v>1303</v>
      </c>
      <c r="C615" t="s">
        <v>14</v>
      </c>
      <c r="D615">
        <v>30</v>
      </c>
      <c r="E615" t="s">
        <v>109</v>
      </c>
      <c r="F615" t="s">
        <v>110</v>
      </c>
      <c r="G615" t="s">
        <v>35</v>
      </c>
      <c r="H615">
        <v>0</v>
      </c>
      <c r="J615">
        <v>0</v>
      </c>
      <c r="K615">
        <v>0</v>
      </c>
    </row>
    <row r="616" spans="1:12" x14ac:dyDescent="0.35">
      <c r="A616" t="s">
        <v>1304</v>
      </c>
      <c r="B616" t="s">
        <v>1305</v>
      </c>
      <c r="C616" t="s">
        <v>74</v>
      </c>
      <c r="D616">
        <v>45</v>
      </c>
      <c r="E616" t="s">
        <v>41</v>
      </c>
      <c r="F616" t="s">
        <v>42</v>
      </c>
      <c r="G616" t="s">
        <v>111</v>
      </c>
      <c r="H616">
        <v>27</v>
      </c>
      <c r="I616" t="s">
        <v>50</v>
      </c>
      <c r="J616">
        <v>0</v>
      </c>
      <c r="L616" s="1">
        <v>0.85</v>
      </c>
    </row>
    <row r="617" spans="1:12" x14ac:dyDescent="0.35">
      <c r="A617" t="s">
        <v>1306</v>
      </c>
      <c r="B617" t="s">
        <v>1307</v>
      </c>
      <c r="C617" t="s">
        <v>27</v>
      </c>
      <c r="D617">
        <v>57</v>
      </c>
      <c r="E617" t="s">
        <v>47</v>
      </c>
      <c r="F617" t="s">
        <v>48</v>
      </c>
      <c r="G617" t="s">
        <v>30</v>
      </c>
      <c r="H617">
        <v>26</v>
      </c>
      <c r="I617" t="s">
        <v>24</v>
      </c>
      <c r="J617">
        <v>2.4</v>
      </c>
      <c r="K617">
        <v>1</v>
      </c>
      <c r="L617" s="1">
        <v>0.78</v>
      </c>
    </row>
    <row r="618" spans="1:12" x14ac:dyDescent="0.35">
      <c r="A618" t="s">
        <v>1308</v>
      </c>
      <c r="B618" t="s">
        <v>1309</v>
      </c>
      <c r="C618" t="s">
        <v>94</v>
      </c>
      <c r="D618">
        <v>38</v>
      </c>
      <c r="E618" t="s">
        <v>60</v>
      </c>
      <c r="F618" t="s">
        <v>61</v>
      </c>
      <c r="G618" t="s">
        <v>17</v>
      </c>
      <c r="H618">
        <v>19</v>
      </c>
      <c r="I618">
        <v>40</v>
      </c>
      <c r="J618">
        <v>0</v>
      </c>
      <c r="K618">
        <v>1</v>
      </c>
      <c r="L618" s="1">
        <v>0.86</v>
      </c>
    </row>
    <row r="619" spans="1:12" x14ac:dyDescent="0.35">
      <c r="A619" t="s">
        <v>1310</v>
      </c>
      <c r="B619" t="s">
        <v>1311</v>
      </c>
      <c r="C619" t="s">
        <v>20</v>
      </c>
      <c r="D619">
        <v>42</v>
      </c>
      <c r="E619" t="s">
        <v>120</v>
      </c>
      <c r="F619" t="s">
        <v>121</v>
      </c>
      <c r="G619" t="s">
        <v>86</v>
      </c>
      <c r="H619">
        <v>24</v>
      </c>
      <c r="I619" t="s">
        <v>53</v>
      </c>
      <c r="K619" t="b">
        <v>0</v>
      </c>
      <c r="L619" s="1">
        <v>0.88</v>
      </c>
    </row>
    <row r="620" spans="1:12" x14ac:dyDescent="0.35">
      <c r="A620" t="s">
        <v>1312</v>
      </c>
      <c r="B620" t="s">
        <v>1313</v>
      </c>
      <c r="C620" t="s">
        <v>74</v>
      </c>
      <c r="D620">
        <v>30</v>
      </c>
      <c r="E620" t="s">
        <v>149</v>
      </c>
      <c r="F620" t="s">
        <v>150</v>
      </c>
      <c r="G620" t="s">
        <v>86</v>
      </c>
      <c r="H620">
        <v>7</v>
      </c>
      <c r="I620">
        <v>30</v>
      </c>
      <c r="J620">
        <v>3.3</v>
      </c>
      <c r="L620" s="1">
        <v>0.68</v>
      </c>
    </row>
    <row r="621" spans="1:12" x14ac:dyDescent="0.35">
      <c r="A621" t="s">
        <v>1314</v>
      </c>
      <c r="B621" t="s">
        <v>1315</v>
      </c>
      <c r="C621" t="s">
        <v>38</v>
      </c>
      <c r="D621">
        <v>43</v>
      </c>
      <c r="E621" t="s">
        <v>21</v>
      </c>
      <c r="F621" t="s">
        <v>22</v>
      </c>
      <c r="G621" t="s">
        <v>35</v>
      </c>
      <c r="H621">
        <v>13</v>
      </c>
      <c r="I621" s="2">
        <v>100</v>
      </c>
      <c r="J621">
        <v>1.4</v>
      </c>
      <c r="K621">
        <v>1</v>
      </c>
      <c r="L621" s="1">
        <v>0.97</v>
      </c>
    </row>
    <row r="622" spans="1:12" x14ac:dyDescent="0.35">
      <c r="A622" t="s">
        <v>1316</v>
      </c>
      <c r="B622" t="s">
        <v>1317</v>
      </c>
      <c r="C622" t="s">
        <v>94</v>
      </c>
      <c r="D622">
        <v>22</v>
      </c>
      <c r="E622" t="s">
        <v>135</v>
      </c>
      <c r="F622" t="s">
        <v>136</v>
      </c>
      <c r="G622" t="s">
        <v>70</v>
      </c>
      <c r="H622">
        <v>2</v>
      </c>
      <c r="I622" s="2">
        <v>75</v>
      </c>
      <c r="J622">
        <v>1.7</v>
      </c>
      <c r="K622" t="s">
        <v>155</v>
      </c>
      <c r="L622" s="1">
        <v>0.91</v>
      </c>
    </row>
    <row r="623" spans="1:12" x14ac:dyDescent="0.35">
      <c r="A623" t="s">
        <v>1318</v>
      </c>
      <c r="B623" t="s">
        <v>1319</v>
      </c>
      <c r="C623" t="s">
        <v>89</v>
      </c>
      <c r="D623">
        <v>57</v>
      </c>
      <c r="E623" t="s">
        <v>174</v>
      </c>
      <c r="F623" t="s">
        <v>69</v>
      </c>
      <c r="G623" t="s">
        <v>111</v>
      </c>
      <c r="H623">
        <v>37</v>
      </c>
      <c r="I623">
        <v>30</v>
      </c>
      <c r="J623">
        <v>4.8</v>
      </c>
      <c r="K623" t="b">
        <v>0</v>
      </c>
    </row>
    <row r="624" spans="1:12" x14ac:dyDescent="0.35">
      <c r="A624" t="s">
        <v>1320</v>
      </c>
      <c r="B624" t="s">
        <v>1321</v>
      </c>
      <c r="C624" t="s">
        <v>59</v>
      </c>
      <c r="D624">
        <v>44</v>
      </c>
      <c r="E624" t="s">
        <v>64</v>
      </c>
      <c r="F624" t="s">
        <v>22</v>
      </c>
      <c r="G624" t="s">
        <v>30</v>
      </c>
      <c r="H624">
        <v>1</v>
      </c>
      <c r="J624">
        <v>4.8</v>
      </c>
      <c r="K624" t="s">
        <v>31</v>
      </c>
      <c r="L624" s="1">
        <v>0.97</v>
      </c>
    </row>
    <row r="625" spans="1:12" x14ac:dyDescent="0.35">
      <c r="A625" t="s">
        <v>1322</v>
      </c>
      <c r="B625" t="s">
        <v>1323</v>
      </c>
      <c r="C625" t="s">
        <v>38</v>
      </c>
      <c r="D625">
        <v>46</v>
      </c>
      <c r="E625" t="s">
        <v>170</v>
      </c>
      <c r="F625" t="s">
        <v>171</v>
      </c>
      <c r="G625" t="s">
        <v>86</v>
      </c>
      <c r="H625">
        <v>5</v>
      </c>
      <c r="I625" t="s">
        <v>106</v>
      </c>
      <c r="J625">
        <v>2</v>
      </c>
      <c r="K625" t="s">
        <v>65</v>
      </c>
      <c r="L625" s="1">
        <v>0.64</v>
      </c>
    </row>
    <row r="626" spans="1:12" x14ac:dyDescent="0.35">
      <c r="A626" t="s">
        <v>1324</v>
      </c>
      <c r="B626" t="s">
        <v>1325</v>
      </c>
      <c r="C626" t="s">
        <v>94</v>
      </c>
      <c r="E626" t="s">
        <v>185</v>
      </c>
      <c r="F626" t="s">
        <v>69</v>
      </c>
      <c r="G626" t="s">
        <v>17</v>
      </c>
      <c r="H626">
        <v>1</v>
      </c>
      <c r="I626" t="s">
        <v>95</v>
      </c>
      <c r="J626">
        <v>2.8</v>
      </c>
      <c r="K626" t="s">
        <v>155</v>
      </c>
      <c r="L626" s="1">
        <v>0.87</v>
      </c>
    </row>
    <row r="627" spans="1:12" x14ac:dyDescent="0.35">
      <c r="A627" t="s">
        <v>1326</v>
      </c>
      <c r="B627" t="s">
        <v>1327</v>
      </c>
      <c r="C627" t="s">
        <v>74</v>
      </c>
      <c r="D627">
        <v>34</v>
      </c>
      <c r="E627" t="s">
        <v>21</v>
      </c>
      <c r="F627" t="s">
        <v>22</v>
      </c>
      <c r="G627" t="s">
        <v>49</v>
      </c>
      <c r="H627">
        <v>2</v>
      </c>
      <c r="I627">
        <v>100</v>
      </c>
      <c r="J627">
        <v>0</v>
      </c>
      <c r="K627">
        <v>0</v>
      </c>
      <c r="L627">
        <v>86</v>
      </c>
    </row>
    <row r="628" spans="1:12" x14ac:dyDescent="0.35">
      <c r="A628" t="s">
        <v>1328</v>
      </c>
      <c r="B628" t="s">
        <v>1329</v>
      </c>
      <c r="C628" t="s">
        <v>34</v>
      </c>
      <c r="D628">
        <v>46</v>
      </c>
      <c r="E628" t="s">
        <v>15</v>
      </c>
      <c r="F628" t="s">
        <v>16</v>
      </c>
      <c r="G628" t="s">
        <v>23</v>
      </c>
      <c r="I628" s="2">
        <v>100</v>
      </c>
      <c r="J628">
        <v>4.4000000000000004</v>
      </c>
      <c r="K628">
        <v>1</v>
      </c>
      <c r="L628">
        <v>97</v>
      </c>
    </row>
    <row r="629" spans="1:12" x14ac:dyDescent="0.35">
      <c r="A629" t="s">
        <v>1330</v>
      </c>
      <c r="B629" t="s">
        <v>1331</v>
      </c>
      <c r="C629" t="s">
        <v>14</v>
      </c>
      <c r="D629">
        <v>22</v>
      </c>
      <c r="E629" t="s">
        <v>131</v>
      </c>
      <c r="F629" t="s">
        <v>132</v>
      </c>
      <c r="G629" t="s">
        <v>17</v>
      </c>
      <c r="H629">
        <v>0</v>
      </c>
      <c r="I629" t="s">
        <v>106</v>
      </c>
      <c r="J629">
        <v>4.9000000000000004</v>
      </c>
      <c r="K629" t="b">
        <v>0</v>
      </c>
      <c r="L629" s="1">
        <v>0.73</v>
      </c>
    </row>
    <row r="630" spans="1:12" x14ac:dyDescent="0.35">
      <c r="A630" t="s">
        <v>1332</v>
      </c>
      <c r="B630" t="s">
        <v>1333</v>
      </c>
      <c r="C630" t="s">
        <v>38</v>
      </c>
      <c r="D630">
        <v>23</v>
      </c>
      <c r="E630" t="s">
        <v>149</v>
      </c>
      <c r="F630" t="s">
        <v>150</v>
      </c>
      <c r="G630" t="s">
        <v>43</v>
      </c>
      <c r="H630">
        <v>0</v>
      </c>
      <c r="I630" t="s">
        <v>50</v>
      </c>
      <c r="J630">
        <v>2.2999999999999998</v>
      </c>
      <c r="L630" s="1">
        <v>0.6</v>
      </c>
    </row>
    <row r="631" spans="1:12" x14ac:dyDescent="0.35">
      <c r="A631" t="s">
        <v>1334</v>
      </c>
      <c r="B631" t="s">
        <v>1335</v>
      </c>
      <c r="C631" t="s">
        <v>34</v>
      </c>
      <c r="D631">
        <v>60</v>
      </c>
      <c r="E631" t="s">
        <v>60</v>
      </c>
      <c r="F631" t="s">
        <v>61</v>
      </c>
      <c r="G631" t="s">
        <v>35</v>
      </c>
      <c r="H631">
        <v>41</v>
      </c>
      <c r="I631" s="2">
        <v>40</v>
      </c>
      <c r="J631">
        <v>4.9000000000000004</v>
      </c>
      <c r="K631">
        <v>1</v>
      </c>
      <c r="L631">
        <v>66</v>
      </c>
    </row>
    <row r="632" spans="1:12" x14ac:dyDescent="0.35">
      <c r="A632" t="s">
        <v>1336</v>
      </c>
      <c r="B632" t="s">
        <v>1337</v>
      </c>
      <c r="C632" t="s">
        <v>46</v>
      </c>
      <c r="D632">
        <v>20</v>
      </c>
      <c r="E632" t="s">
        <v>124</v>
      </c>
      <c r="F632" t="s">
        <v>22</v>
      </c>
      <c r="G632" t="s">
        <v>86</v>
      </c>
      <c r="I632" s="2">
        <v>75</v>
      </c>
      <c r="J632">
        <v>4.3</v>
      </c>
      <c r="K632">
        <v>0</v>
      </c>
      <c r="L632" s="1">
        <v>0.9</v>
      </c>
    </row>
    <row r="633" spans="1:12" x14ac:dyDescent="0.35">
      <c r="A633" t="s">
        <v>1338</v>
      </c>
      <c r="B633" t="s">
        <v>1339</v>
      </c>
      <c r="C633" t="s">
        <v>14</v>
      </c>
      <c r="D633">
        <v>41</v>
      </c>
      <c r="E633" t="s">
        <v>109</v>
      </c>
      <c r="F633" t="s">
        <v>110</v>
      </c>
      <c r="G633" t="s">
        <v>70</v>
      </c>
      <c r="H633">
        <v>23</v>
      </c>
      <c r="I633" s="2">
        <v>75</v>
      </c>
      <c r="J633">
        <v>1.4</v>
      </c>
      <c r="K633">
        <v>0</v>
      </c>
    </row>
    <row r="634" spans="1:12" x14ac:dyDescent="0.35">
      <c r="A634" t="s">
        <v>1340</v>
      </c>
      <c r="B634" t="s">
        <v>1341</v>
      </c>
      <c r="C634" t="s">
        <v>46</v>
      </c>
      <c r="D634">
        <v>24</v>
      </c>
      <c r="E634" t="s">
        <v>131</v>
      </c>
      <c r="F634" t="s">
        <v>132</v>
      </c>
      <c r="G634" t="s">
        <v>23</v>
      </c>
      <c r="H634">
        <v>0</v>
      </c>
      <c r="I634">
        <v>100</v>
      </c>
      <c r="K634" t="s">
        <v>155</v>
      </c>
    </row>
    <row r="635" spans="1:12" x14ac:dyDescent="0.35">
      <c r="A635" t="s">
        <v>1342</v>
      </c>
      <c r="B635" t="s">
        <v>1343</v>
      </c>
      <c r="C635" t="s">
        <v>46</v>
      </c>
      <c r="D635">
        <v>44</v>
      </c>
      <c r="E635" t="s">
        <v>41</v>
      </c>
      <c r="F635" t="s">
        <v>42</v>
      </c>
      <c r="G635" t="s">
        <v>111</v>
      </c>
      <c r="H635">
        <v>4</v>
      </c>
      <c r="J635">
        <v>1.3</v>
      </c>
      <c r="K635" t="s">
        <v>65</v>
      </c>
      <c r="L635">
        <v>77</v>
      </c>
    </row>
    <row r="636" spans="1:12" x14ac:dyDescent="0.35">
      <c r="A636" t="s">
        <v>1344</v>
      </c>
      <c r="B636" t="s">
        <v>1345</v>
      </c>
      <c r="C636" t="s">
        <v>59</v>
      </c>
      <c r="D636">
        <v>52</v>
      </c>
      <c r="E636" t="s">
        <v>170</v>
      </c>
      <c r="F636" t="s">
        <v>171</v>
      </c>
      <c r="G636" t="s">
        <v>70</v>
      </c>
      <c r="H636">
        <v>4</v>
      </c>
      <c r="I636">
        <v>75</v>
      </c>
      <c r="J636">
        <v>2.2999999999999998</v>
      </c>
      <c r="K636">
        <v>1</v>
      </c>
      <c r="L636" s="1">
        <v>0.79</v>
      </c>
    </row>
    <row r="637" spans="1:12" x14ac:dyDescent="0.35">
      <c r="A637" t="s">
        <v>1346</v>
      </c>
      <c r="B637" t="s">
        <v>1347</v>
      </c>
      <c r="C637" t="s">
        <v>89</v>
      </c>
      <c r="D637">
        <v>35</v>
      </c>
      <c r="E637" t="s">
        <v>185</v>
      </c>
      <c r="F637" t="s">
        <v>69</v>
      </c>
      <c r="G637" t="s">
        <v>111</v>
      </c>
      <c r="H637">
        <v>13</v>
      </c>
      <c r="I637">
        <v>40</v>
      </c>
      <c r="J637">
        <v>3.6</v>
      </c>
      <c r="K637">
        <v>0</v>
      </c>
      <c r="L637" s="1">
        <v>0.83</v>
      </c>
    </row>
    <row r="638" spans="1:12" x14ac:dyDescent="0.35">
      <c r="A638" t="s">
        <v>1348</v>
      </c>
      <c r="B638" t="s">
        <v>1349</v>
      </c>
      <c r="C638" t="s">
        <v>74</v>
      </c>
      <c r="D638">
        <v>24</v>
      </c>
      <c r="E638" t="s">
        <v>41</v>
      </c>
      <c r="F638" t="s">
        <v>42</v>
      </c>
      <c r="G638" t="s">
        <v>86</v>
      </c>
      <c r="H638">
        <v>2</v>
      </c>
      <c r="I638" s="2">
        <v>50</v>
      </c>
      <c r="K638" t="s">
        <v>31</v>
      </c>
      <c r="L638" s="1">
        <v>0.64</v>
      </c>
    </row>
    <row r="639" spans="1:12" x14ac:dyDescent="0.35">
      <c r="A639" t="s">
        <v>1350</v>
      </c>
      <c r="B639" t="s">
        <v>1351</v>
      </c>
      <c r="C639" t="s">
        <v>20</v>
      </c>
      <c r="D639">
        <v>46</v>
      </c>
      <c r="E639" t="s">
        <v>21</v>
      </c>
      <c r="F639" t="s">
        <v>22</v>
      </c>
      <c r="G639" t="s">
        <v>75</v>
      </c>
      <c r="H639">
        <v>25</v>
      </c>
      <c r="I639" s="2">
        <v>100</v>
      </c>
      <c r="J639">
        <v>1.3</v>
      </c>
      <c r="K639" t="s">
        <v>155</v>
      </c>
      <c r="L639" s="1">
        <v>0.8</v>
      </c>
    </row>
    <row r="640" spans="1:12" x14ac:dyDescent="0.35">
      <c r="A640" t="s">
        <v>1352</v>
      </c>
      <c r="B640" t="s">
        <v>1353</v>
      </c>
      <c r="C640" t="s">
        <v>89</v>
      </c>
      <c r="D640">
        <v>57</v>
      </c>
      <c r="E640" t="s">
        <v>174</v>
      </c>
      <c r="F640" t="s">
        <v>69</v>
      </c>
      <c r="G640" t="s">
        <v>23</v>
      </c>
      <c r="H640">
        <v>18</v>
      </c>
      <c r="I640" t="s">
        <v>106</v>
      </c>
      <c r="J640">
        <v>1.1000000000000001</v>
      </c>
      <c r="K640" t="b">
        <v>0</v>
      </c>
      <c r="L640" s="1">
        <v>0.9</v>
      </c>
    </row>
    <row r="641" spans="1:12" x14ac:dyDescent="0.35">
      <c r="A641" t="s">
        <v>1354</v>
      </c>
      <c r="B641" t="s">
        <v>1355</v>
      </c>
      <c r="C641" t="s">
        <v>34</v>
      </c>
      <c r="D641">
        <v>49</v>
      </c>
      <c r="E641" t="s">
        <v>174</v>
      </c>
      <c r="F641" t="s">
        <v>69</v>
      </c>
      <c r="G641" t="s">
        <v>35</v>
      </c>
      <c r="H641">
        <v>24</v>
      </c>
      <c r="I641" s="2">
        <v>50</v>
      </c>
      <c r="J641">
        <v>0</v>
      </c>
      <c r="K641">
        <v>0</v>
      </c>
      <c r="L641" s="1">
        <v>0.94</v>
      </c>
    </row>
    <row r="642" spans="1:12" x14ac:dyDescent="0.35">
      <c r="A642" t="s">
        <v>1356</v>
      </c>
      <c r="B642" t="s">
        <v>1357</v>
      </c>
      <c r="C642" t="s">
        <v>59</v>
      </c>
      <c r="D642">
        <v>41</v>
      </c>
      <c r="E642" t="s">
        <v>82</v>
      </c>
      <c r="F642" t="s">
        <v>83</v>
      </c>
      <c r="G642" t="s">
        <v>43</v>
      </c>
      <c r="H642">
        <v>7</v>
      </c>
      <c r="I642">
        <v>40</v>
      </c>
      <c r="J642">
        <v>1.8</v>
      </c>
      <c r="K642" t="b">
        <v>0</v>
      </c>
      <c r="L642" s="1">
        <v>0.7</v>
      </c>
    </row>
    <row r="643" spans="1:12" x14ac:dyDescent="0.35">
      <c r="A643" t="s">
        <v>1358</v>
      </c>
      <c r="B643" t="s">
        <v>1359</v>
      </c>
      <c r="C643" t="s">
        <v>27</v>
      </c>
      <c r="D643">
        <v>22</v>
      </c>
      <c r="E643" t="s">
        <v>174</v>
      </c>
      <c r="F643" t="s">
        <v>69</v>
      </c>
      <c r="G643" t="s">
        <v>111</v>
      </c>
      <c r="H643">
        <v>1</v>
      </c>
      <c r="I643" t="s">
        <v>308</v>
      </c>
      <c r="K643" t="s">
        <v>65</v>
      </c>
      <c r="L643" s="1">
        <v>0.75</v>
      </c>
    </row>
    <row r="644" spans="1:12" x14ac:dyDescent="0.35">
      <c r="A644" t="s">
        <v>1360</v>
      </c>
      <c r="B644" t="s">
        <v>1361</v>
      </c>
      <c r="C644" t="s">
        <v>27</v>
      </c>
      <c r="D644">
        <v>50</v>
      </c>
      <c r="E644" t="s">
        <v>21</v>
      </c>
      <c r="F644" t="s">
        <v>22</v>
      </c>
      <c r="G644" t="s">
        <v>17</v>
      </c>
      <c r="H644">
        <v>17</v>
      </c>
      <c r="I644">
        <v>75</v>
      </c>
      <c r="J644">
        <v>3.3</v>
      </c>
      <c r="K644">
        <v>1</v>
      </c>
      <c r="L644" s="1">
        <v>0.69</v>
      </c>
    </row>
    <row r="645" spans="1:12" x14ac:dyDescent="0.35">
      <c r="A645" t="s">
        <v>1362</v>
      </c>
      <c r="B645" t="s">
        <v>1363</v>
      </c>
      <c r="C645" t="s">
        <v>27</v>
      </c>
      <c r="D645">
        <v>57</v>
      </c>
      <c r="E645" t="s">
        <v>28</v>
      </c>
      <c r="F645" t="s">
        <v>29</v>
      </c>
      <c r="G645" t="s">
        <v>30</v>
      </c>
      <c r="H645">
        <v>4</v>
      </c>
      <c r="I645" t="s">
        <v>106</v>
      </c>
      <c r="J645">
        <v>4.2</v>
      </c>
      <c r="K645">
        <v>0</v>
      </c>
    </row>
    <row r="646" spans="1:12" x14ac:dyDescent="0.35">
      <c r="A646" t="s">
        <v>1364</v>
      </c>
      <c r="B646" t="s">
        <v>1365</v>
      </c>
      <c r="C646" t="s">
        <v>20</v>
      </c>
      <c r="D646">
        <v>47</v>
      </c>
      <c r="E646" t="s">
        <v>174</v>
      </c>
      <c r="F646" t="s">
        <v>69</v>
      </c>
      <c r="G646" t="s">
        <v>43</v>
      </c>
      <c r="H646">
        <v>29</v>
      </c>
      <c r="I646" s="2">
        <v>50</v>
      </c>
      <c r="K646">
        <v>1</v>
      </c>
      <c r="L646" s="1">
        <v>0.79</v>
      </c>
    </row>
    <row r="647" spans="1:12" x14ac:dyDescent="0.35">
      <c r="A647" t="s">
        <v>1366</v>
      </c>
      <c r="B647" t="s">
        <v>1367</v>
      </c>
      <c r="C647" t="s">
        <v>89</v>
      </c>
      <c r="D647">
        <v>24</v>
      </c>
      <c r="E647" t="s">
        <v>149</v>
      </c>
      <c r="F647" t="s">
        <v>150</v>
      </c>
      <c r="G647" t="s">
        <v>49</v>
      </c>
      <c r="H647">
        <v>2</v>
      </c>
      <c r="I647" s="2">
        <v>100</v>
      </c>
      <c r="J647">
        <v>3.8</v>
      </c>
      <c r="K647">
        <v>1</v>
      </c>
      <c r="L647" s="1">
        <v>0.71</v>
      </c>
    </row>
    <row r="648" spans="1:12" x14ac:dyDescent="0.35">
      <c r="A648" t="s">
        <v>1368</v>
      </c>
      <c r="B648" t="s">
        <v>1369</v>
      </c>
      <c r="C648" t="s">
        <v>27</v>
      </c>
      <c r="E648" t="s">
        <v>90</v>
      </c>
      <c r="F648" t="s">
        <v>91</v>
      </c>
      <c r="G648" t="s">
        <v>75</v>
      </c>
      <c r="H648">
        <v>9</v>
      </c>
      <c r="I648">
        <v>100</v>
      </c>
      <c r="J648">
        <v>4.8</v>
      </c>
      <c r="K648" t="s">
        <v>71</v>
      </c>
      <c r="L648" s="1">
        <v>0.72</v>
      </c>
    </row>
    <row r="649" spans="1:12" x14ac:dyDescent="0.35">
      <c r="A649" t="s">
        <v>1370</v>
      </c>
      <c r="B649" t="s">
        <v>1371</v>
      </c>
      <c r="C649" t="s">
        <v>20</v>
      </c>
      <c r="D649">
        <v>50</v>
      </c>
      <c r="E649" t="s">
        <v>28</v>
      </c>
      <c r="F649" t="s">
        <v>29</v>
      </c>
      <c r="G649" t="s">
        <v>86</v>
      </c>
      <c r="H649">
        <v>10</v>
      </c>
      <c r="I649" s="2">
        <v>100</v>
      </c>
      <c r="J649">
        <v>4.3</v>
      </c>
      <c r="K649" t="s">
        <v>31</v>
      </c>
      <c r="L649" s="1">
        <v>0.93</v>
      </c>
    </row>
    <row r="650" spans="1:12" x14ac:dyDescent="0.35">
      <c r="A650" t="s">
        <v>1372</v>
      </c>
      <c r="B650" t="s">
        <v>1373</v>
      </c>
      <c r="C650" t="s">
        <v>89</v>
      </c>
      <c r="D650">
        <v>46</v>
      </c>
      <c r="E650" t="s">
        <v>104</v>
      </c>
      <c r="F650" t="s">
        <v>105</v>
      </c>
      <c r="G650" t="s">
        <v>111</v>
      </c>
      <c r="H650">
        <v>20</v>
      </c>
      <c r="J650">
        <v>4.8</v>
      </c>
      <c r="K650">
        <v>1</v>
      </c>
      <c r="L650" s="1">
        <v>0.82</v>
      </c>
    </row>
    <row r="651" spans="1:12" x14ac:dyDescent="0.35">
      <c r="A651" t="s">
        <v>1374</v>
      </c>
      <c r="B651" t="s">
        <v>1375</v>
      </c>
      <c r="C651" t="s">
        <v>27</v>
      </c>
      <c r="D651">
        <v>51</v>
      </c>
      <c r="E651" t="s">
        <v>21</v>
      </c>
      <c r="F651" t="s">
        <v>22</v>
      </c>
      <c r="G651" t="s">
        <v>75</v>
      </c>
      <c r="H651">
        <v>9</v>
      </c>
      <c r="I651" s="2">
        <v>40</v>
      </c>
      <c r="K651" t="s">
        <v>31</v>
      </c>
      <c r="L651">
        <v>60</v>
      </c>
    </row>
    <row r="652" spans="1:12" x14ac:dyDescent="0.35">
      <c r="A652" t="s">
        <v>1376</v>
      </c>
      <c r="B652" t="s">
        <v>1377</v>
      </c>
      <c r="C652" t="s">
        <v>59</v>
      </c>
      <c r="D652">
        <v>51</v>
      </c>
      <c r="E652" t="s">
        <v>64</v>
      </c>
      <c r="F652" t="s">
        <v>22</v>
      </c>
      <c r="G652" t="s">
        <v>43</v>
      </c>
      <c r="H652">
        <v>12</v>
      </c>
      <c r="I652">
        <v>20</v>
      </c>
      <c r="J652">
        <v>4</v>
      </c>
      <c r="K652">
        <v>0</v>
      </c>
      <c r="L652">
        <v>93</v>
      </c>
    </row>
    <row r="653" spans="1:12" x14ac:dyDescent="0.35">
      <c r="A653" t="s">
        <v>1378</v>
      </c>
      <c r="B653" t="s">
        <v>1379</v>
      </c>
      <c r="C653" t="s">
        <v>46</v>
      </c>
      <c r="D653">
        <v>27</v>
      </c>
      <c r="E653" t="s">
        <v>64</v>
      </c>
      <c r="F653" t="s">
        <v>22</v>
      </c>
      <c r="G653" t="s">
        <v>43</v>
      </c>
      <c r="H653">
        <v>3</v>
      </c>
      <c r="I653" t="s">
        <v>95</v>
      </c>
      <c r="K653" t="b">
        <v>0</v>
      </c>
    </row>
    <row r="654" spans="1:12" x14ac:dyDescent="0.35">
      <c r="A654" t="s">
        <v>1380</v>
      </c>
      <c r="B654" t="s">
        <v>1381</v>
      </c>
      <c r="C654" t="s">
        <v>59</v>
      </c>
      <c r="D654">
        <v>42</v>
      </c>
      <c r="E654" t="s">
        <v>185</v>
      </c>
      <c r="F654" t="s">
        <v>69</v>
      </c>
      <c r="G654" t="s">
        <v>35</v>
      </c>
      <c r="H654">
        <v>13</v>
      </c>
      <c r="I654">
        <v>30</v>
      </c>
      <c r="J654">
        <v>0</v>
      </c>
      <c r="K654" t="b">
        <v>0</v>
      </c>
      <c r="L654" s="1">
        <v>0.74</v>
      </c>
    </row>
    <row r="655" spans="1:12" x14ac:dyDescent="0.35">
      <c r="A655" t="s">
        <v>1382</v>
      </c>
      <c r="B655" t="s">
        <v>1383</v>
      </c>
      <c r="C655" t="s">
        <v>59</v>
      </c>
      <c r="D655">
        <v>25</v>
      </c>
      <c r="E655" t="s">
        <v>28</v>
      </c>
      <c r="F655" t="s">
        <v>29</v>
      </c>
      <c r="G655" t="s">
        <v>70</v>
      </c>
      <c r="H655">
        <v>4</v>
      </c>
      <c r="I655" s="2">
        <v>40</v>
      </c>
      <c r="J655">
        <v>2.2999999999999998</v>
      </c>
      <c r="K655" t="s">
        <v>65</v>
      </c>
      <c r="L655">
        <v>73</v>
      </c>
    </row>
    <row r="656" spans="1:12" x14ac:dyDescent="0.35">
      <c r="A656" t="s">
        <v>1384</v>
      </c>
      <c r="B656" t="s">
        <v>1385</v>
      </c>
      <c r="C656" t="s">
        <v>74</v>
      </c>
      <c r="D656">
        <v>32</v>
      </c>
      <c r="E656" t="s">
        <v>28</v>
      </c>
      <c r="F656" t="s">
        <v>29</v>
      </c>
      <c r="G656" t="s">
        <v>49</v>
      </c>
      <c r="H656">
        <v>9</v>
      </c>
      <c r="I656">
        <v>75</v>
      </c>
      <c r="K656" t="s">
        <v>31</v>
      </c>
      <c r="L656" s="1">
        <v>0.96</v>
      </c>
    </row>
    <row r="657" spans="1:12" x14ac:dyDescent="0.35">
      <c r="A657" t="s">
        <v>1386</v>
      </c>
      <c r="B657" t="s">
        <v>1387</v>
      </c>
      <c r="C657" t="s">
        <v>38</v>
      </c>
      <c r="D657">
        <v>59</v>
      </c>
      <c r="E657" t="s">
        <v>124</v>
      </c>
      <c r="F657" t="s">
        <v>22</v>
      </c>
      <c r="G657" t="s">
        <v>30</v>
      </c>
      <c r="H657">
        <v>14</v>
      </c>
      <c r="I657">
        <v>30</v>
      </c>
      <c r="J657">
        <v>3.8</v>
      </c>
      <c r="L657" s="1">
        <v>0.66</v>
      </c>
    </row>
    <row r="658" spans="1:12" x14ac:dyDescent="0.35">
      <c r="A658" t="s">
        <v>1388</v>
      </c>
      <c r="B658" t="s">
        <v>1389</v>
      </c>
      <c r="C658" t="s">
        <v>20</v>
      </c>
      <c r="D658">
        <v>59</v>
      </c>
      <c r="E658" t="s">
        <v>131</v>
      </c>
      <c r="F658" t="s">
        <v>132</v>
      </c>
      <c r="G658" t="s">
        <v>75</v>
      </c>
      <c r="H658">
        <v>37</v>
      </c>
      <c r="I658">
        <v>30</v>
      </c>
      <c r="J658">
        <v>4</v>
      </c>
      <c r="K658" t="b">
        <v>0</v>
      </c>
      <c r="L658" s="1">
        <v>0.62</v>
      </c>
    </row>
    <row r="659" spans="1:12" x14ac:dyDescent="0.35">
      <c r="A659" t="s">
        <v>1390</v>
      </c>
      <c r="B659" t="s">
        <v>1391</v>
      </c>
      <c r="C659" t="s">
        <v>94</v>
      </c>
      <c r="D659">
        <v>29</v>
      </c>
      <c r="E659" t="s">
        <v>28</v>
      </c>
      <c r="F659" t="s">
        <v>29</v>
      </c>
      <c r="G659" t="s">
        <v>30</v>
      </c>
      <c r="H659">
        <v>2</v>
      </c>
      <c r="I659" t="s">
        <v>50</v>
      </c>
      <c r="J659">
        <v>2.2000000000000002</v>
      </c>
      <c r="K659" t="s">
        <v>71</v>
      </c>
      <c r="L659" s="1">
        <v>0.85</v>
      </c>
    </row>
    <row r="660" spans="1:12" x14ac:dyDescent="0.35">
      <c r="A660" t="s">
        <v>1392</v>
      </c>
      <c r="B660" t="s">
        <v>1393</v>
      </c>
      <c r="C660" t="s">
        <v>59</v>
      </c>
      <c r="D660">
        <v>58</v>
      </c>
      <c r="E660" t="s">
        <v>170</v>
      </c>
      <c r="F660" t="s">
        <v>171</v>
      </c>
      <c r="G660" t="s">
        <v>43</v>
      </c>
      <c r="H660">
        <v>11</v>
      </c>
      <c r="I660">
        <v>100</v>
      </c>
      <c r="J660">
        <v>4.3</v>
      </c>
      <c r="K660">
        <v>0</v>
      </c>
      <c r="L660" s="1">
        <v>0.66</v>
      </c>
    </row>
    <row r="661" spans="1:12" x14ac:dyDescent="0.35">
      <c r="A661" t="s">
        <v>1394</v>
      </c>
      <c r="B661" t="s">
        <v>1395</v>
      </c>
      <c r="C661" t="s">
        <v>14</v>
      </c>
      <c r="D661">
        <v>56</v>
      </c>
      <c r="E661" t="s">
        <v>124</v>
      </c>
      <c r="F661" t="s">
        <v>22</v>
      </c>
      <c r="G661" t="s">
        <v>75</v>
      </c>
      <c r="H661">
        <v>19</v>
      </c>
      <c r="I661">
        <v>20</v>
      </c>
      <c r="J661">
        <v>0</v>
      </c>
      <c r="K661">
        <v>0</v>
      </c>
      <c r="L661" s="1">
        <v>0.87</v>
      </c>
    </row>
    <row r="662" spans="1:12" x14ac:dyDescent="0.35">
      <c r="A662" t="s">
        <v>1396</v>
      </c>
      <c r="B662" t="s">
        <v>1397</v>
      </c>
      <c r="C662" t="s">
        <v>34</v>
      </c>
      <c r="D662">
        <v>36</v>
      </c>
      <c r="E662" t="s">
        <v>56</v>
      </c>
      <c r="F662" t="s">
        <v>22</v>
      </c>
      <c r="G662" t="s">
        <v>111</v>
      </c>
      <c r="H662">
        <v>9</v>
      </c>
      <c r="I662">
        <v>20</v>
      </c>
      <c r="J662">
        <v>0</v>
      </c>
      <c r="K662">
        <v>1</v>
      </c>
      <c r="L662">
        <v>68</v>
      </c>
    </row>
    <row r="663" spans="1:12" x14ac:dyDescent="0.35">
      <c r="A663" t="s">
        <v>1398</v>
      </c>
      <c r="B663" t="s">
        <v>1399</v>
      </c>
      <c r="C663" t="s">
        <v>74</v>
      </c>
      <c r="D663">
        <v>52</v>
      </c>
      <c r="E663" t="s">
        <v>124</v>
      </c>
      <c r="F663" t="s">
        <v>22</v>
      </c>
      <c r="G663" t="s">
        <v>70</v>
      </c>
      <c r="H663">
        <v>16</v>
      </c>
      <c r="I663">
        <v>100</v>
      </c>
      <c r="J663">
        <v>4</v>
      </c>
      <c r="K663">
        <v>1</v>
      </c>
    </row>
    <row r="664" spans="1:12" x14ac:dyDescent="0.35">
      <c r="A664" t="s">
        <v>1400</v>
      </c>
      <c r="B664" t="s">
        <v>1401</v>
      </c>
      <c r="C664" t="s">
        <v>74</v>
      </c>
      <c r="D664">
        <v>42</v>
      </c>
      <c r="E664" t="s">
        <v>41</v>
      </c>
      <c r="F664" t="s">
        <v>42</v>
      </c>
      <c r="G664" t="s">
        <v>23</v>
      </c>
      <c r="H664">
        <v>8</v>
      </c>
      <c r="I664" t="s">
        <v>95</v>
      </c>
    </row>
    <row r="665" spans="1:12" x14ac:dyDescent="0.35">
      <c r="A665" t="s">
        <v>1402</v>
      </c>
      <c r="B665" t="s">
        <v>1403</v>
      </c>
      <c r="C665" t="s">
        <v>20</v>
      </c>
      <c r="D665">
        <v>59</v>
      </c>
      <c r="E665" t="s">
        <v>90</v>
      </c>
      <c r="F665" t="s">
        <v>91</v>
      </c>
      <c r="G665" t="s">
        <v>23</v>
      </c>
      <c r="H665">
        <v>34</v>
      </c>
      <c r="I665">
        <v>100</v>
      </c>
      <c r="J665">
        <v>2</v>
      </c>
      <c r="K665">
        <v>1</v>
      </c>
      <c r="L665" s="1">
        <v>0.79</v>
      </c>
    </row>
    <row r="666" spans="1:12" x14ac:dyDescent="0.35">
      <c r="A666" t="s">
        <v>1404</v>
      </c>
      <c r="B666" t="s">
        <v>1405</v>
      </c>
      <c r="C666" t="s">
        <v>27</v>
      </c>
      <c r="D666">
        <v>33</v>
      </c>
      <c r="E666" t="s">
        <v>41</v>
      </c>
      <c r="F666" t="s">
        <v>42</v>
      </c>
      <c r="G666" t="s">
        <v>23</v>
      </c>
      <c r="H666">
        <v>5</v>
      </c>
      <c r="I666" s="2">
        <v>50</v>
      </c>
      <c r="J666">
        <v>4.7</v>
      </c>
      <c r="K666">
        <v>1</v>
      </c>
      <c r="L666" s="1">
        <v>0.88</v>
      </c>
    </row>
    <row r="667" spans="1:12" x14ac:dyDescent="0.35">
      <c r="A667" t="s">
        <v>1406</v>
      </c>
      <c r="B667" t="s">
        <v>1407</v>
      </c>
      <c r="C667" t="s">
        <v>34</v>
      </c>
      <c r="D667">
        <v>55</v>
      </c>
      <c r="E667" t="s">
        <v>124</v>
      </c>
      <c r="F667" t="s">
        <v>22</v>
      </c>
      <c r="G667" t="s">
        <v>35</v>
      </c>
      <c r="H667">
        <v>14</v>
      </c>
      <c r="I667" t="s">
        <v>95</v>
      </c>
      <c r="J667">
        <v>3.6</v>
      </c>
      <c r="K667">
        <v>1</v>
      </c>
      <c r="L667" s="1">
        <v>0.81</v>
      </c>
    </row>
    <row r="668" spans="1:12" x14ac:dyDescent="0.35">
      <c r="A668" t="s">
        <v>1408</v>
      </c>
      <c r="B668" t="s">
        <v>1409</v>
      </c>
      <c r="C668" t="s">
        <v>27</v>
      </c>
      <c r="D668">
        <v>47</v>
      </c>
      <c r="E668" t="s">
        <v>109</v>
      </c>
      <c r="F668" t="s">
        <v>110</v>
      </c>
      <c r="G668" t="s">
        <v>70</v>
      </c>
      <c r="H668">
        <v>17</v>
      </c>
      <c r="I668">
        <v>50</v>
      </c>
      <c r="J668">
        <v>1.2</v>
      </c>
      <c r="K668" t="s">
        <v>31</v>
      </c>
    </row>
    <row r="669" spans="1:12" x14ac:dyDescent="0.35">
      <c r="A669" t="s">
        <v>1410</v>
      </c>
      <c r="B669" t="s">
        <v>1411</v>
      </c>
      <c r="C669" t="s">
        <v>20</v>
      </c>
      <c r="D669">
        <v>29</v>
      </c>
      <c r="E669" t="s">
        <v>174</v>
      </c>
      <c r="F669" t="s">
        <v>69</v>
      </c>
      <c r="G669" t="s">
        <v>43</v>
      </c>
      <c r="H669">
        <v>10</v>
      </c>
      <c r="J669">
        <v>4.4000000000000004</v>
      </c>
      <c r="K669" t="s">
        <v>71</v>
      </c>
      <c r="L669" s="1">
        <v>0.67</v>
      </c>
    </row>
    <row r="670" spans="1:12" x14ac:dyDescent="0.35">
      <c r="A670" t="s">
        <v>1412</v>
      </c>
      <c r="B670" t="s">
        <v>1413</v>
      </c>
      <c r="C670" t="s">
        <v>74</v>
      </c>
      <c r="D670">
        <v>30</v>
      </c>
      <c r="E670" t="s">
        <v>64</v>
      </c>
      <c r="F670" t="s">
        <v>22</v>
      </c>
      <c r="G670" t="s">
        <v>86</v>
      </c>
      <c r="H670">
        <v>8</v>
      </c>
      <c r="I670">
        <v>100</v>
      </c>
      <c r="J670">
        <v>1.4</v>
      </c>
      <c r="K670" t="s">
        <v>65</v>
      </c>
      <c r="L670">
        <v>62</v>
      </c>
    </row>
    <row r="671" spans="1:12" x14ac:dyDescent="0.35">
      <c r="A671" t="s">
        <v>1414</v>
      </c>
      <c r="B671" t="s">
        <v>1415</v>
      </c>
      <c r="C671" t="s">
        <v>20</v>
      </c>
      <c r="D671">
        <v>25</v>
      </c>
      <c r="E671" t="s">
        <v>124</v>
      </c>
      <c r="F671" t="s">
        <v>22</v>
      </c>
      <c r="G671" t="s">
        <v>86</v>
      </c>
      <c r="H671">
        <v>1</v>
      </c>
      <c r="I671" t="s">
        <v>106</v>
      </c>
      <c r="J671">
        <v>3.2</v>
      </c>
      <c r="K671">
        <v>0</v>
      </c>
      <c r="L671" s="1">
        <v>0.87</v>
      </c>
    </row>
    <row r="672" spans="1:12" x14ac:dyDescent="0.35">
      <c r="A672" t="s">
        <v>1416</v>
      </c>
      <c r="B672" t="s">
        <v>1417</v>
      </c>
      <c r="C672" t="s">
        <v>38</v>
      </c>
      <c r="D672">
        <v>28</v>
      </c>
      <c r="E672" t="s">
        <v>135</v>
      </c>
      <c r="F672" t="s">
        <v>136</v>
      </c>
      <c r="G672" t="s">
        <v>75</v>
      </c>
      <c r="H672">
        <v>10</v>
      </c>
      <c r="J672">
        <v>3.8</v>
      </c>
      <c r="K672" t="s">
        <v>65</v>
      </c>
      <c r="L672" s="1">
        <v>0.98</v>
      </c>
    </row>
    <row r="673" spans="1:12" x14ac:dyDescent="0.35">
      <c r="A673" t="s">
        <v>1418</v>
      </c>
      <c r="B673" t="s">
        <v>1419</v>
      </c>
      <c r="C673" t="s">
        <v>27</v>
      </c>
      <c r="D673">
        <v>29</v>
      </c>
      <c r="E673" t="s">
        <v>109</v>
      </c>
      <c r="F673" t="s">
        <v>110</v>
      </c>
      <c r="G673" t="s">
        <v>17</v>
      </c>
      <c r="H673">
        <v>0</v>
      </c>
      <c r="I673" s="2">
        <v>75</v>
      </c>
      <c r="J673">
        <v>1.5</v>
      </c>
      <c r="K673" t="b">
        <v>1</v>
      </c>
      <c r="L673" s="1">
        <v>0.64</v>
      </c>
    </row>
    <row r="674" spans="1:12" x14ac:dyDescent="0.35">
      <c r="A674" t="s">
        <v>1420</v>
      </c>
      <c r="B674" t="s">
        <v>1421</v>
      </c>
      <c r="C674" t="s">
        <v>94</v>
      </c>
      <c r="D674">
        <v>30</v>
      </c>
      <c r="E674" t="s">
        <v>185</v>
      </c>
      <c r="F674" t="s">
        <v>69</v>
      </c>
      <c r="G674" t="s">
        <v>30</v>
      </c>
      <c r="H674">
        <v>4</v>
      </c>
      <c r="J674">
        <v>2.8</v>
      </c>
      <c r="K674">
        <v>1</v>
      </c>
      <c r="L674" s="1">
        <v>0.71</v>
      </c>
    </row>
    <row r="675" spans="1:12" x14ac:dyDescent="0.35">
      <c r="A675" t="s">
        <v>1422</v>
      </c>
      <c r="B675" t="s">
        <v>1423</v>
      </c>
      <c r="C675" t="s">
        <v>27</v>
      </c>
      <c r="D675">
        <v>47</v>
      </c>
      <c r="E675" t="s">
        <v>135</v>
      </c>
      <c r="F675" t="s">
        <v>136</v>
      </c>
      <c r="G675" t="s">
        <v>43</v>
      </c>
      <c r="H675">
        <v>2</v>
      </c>
      <c r="I675">
        <v>50</v>
      </c>
      <c r="J675">
        <v>2.7</v>
      </c>
      <c r="K675" t="s">
        <v>155</v>
      </c>
      <c r="L675">
        <v>96</v>
      </c>
    </row>
    <row r="676" spans="1:12" x14ac:dyDescent="0.35">
      <c r="A676" t="s">
        <v>1424</v>
      </c>
      <c r="B676" t="s">
        <v>1425</v>
      </c>
      <c r="C676" t="s">
        <v>59</v>
      </c>
      <c r="D676">
        <v>34</v>
      </c>
      <c r="E676" t="s">
        <v>21</v>
      </c>
      <c r="F676" t="s">
        <v>22</v>
      </c>
      <c r="G676" t="s">
        <v>17</v>
      </c>
      <c r="H676">
        <v>10</v>
      </c>
      <c r="I676" s="2">
        <v>30</v>
      </c>
      <c r="J676">
        <v>3.9</v>
      </c>
    </row>
    <row r="677" spans="1:12" x14ac:dyDescent="0.35">
      <c r="A677" t="s">
        <v>1426</v>
      </c>
      <c r="B677" t="s">
        <v>1427</v>
      </c>
      <c r="C677" t="s">
        <v>89</v>
      </c>
      <c r="D677">
        <v>45</v>
      </c>
      <c r="E677" t="s">
        <v>56</v>
      </c>
      <c r="F677" t="s">
        <v>22</v>
      </c>
      <c r="G677" t="s">
        <v>30</v>
      </c>
      <c r="H677">
        <v>16</v>
      </c>
      <c r="I677">
        <v>100</v>
      </c>
      <c r="J677">
        <v>4.5999999999999996</v>
      </c>
      <c r="K677" t="s">
        <v>31</v>
      </c>
      <c r="L677" s="1">
        <v>0.78</v>
      </c>
    </row>
    <row r="678" spans="1:12" x14ac:dyDescent="0.35">
      <c r="A678" t="s">
        <v>1428</v>
      </c>
      <c r="B678" t="s">
        <v>1429</v>
      </c>
      <c r="C678" t="s">
        <v>34</v>
      </c>
      <c r="D678">
        <v>56</v>
      </c>
      <c r="E678" t="s">
        <v>185</v>
      </c>
      <c r="F678" t="s">
        <v>69</v>
      </c>
      <c r="G678" t="s">
        <v>75</v>
      </c>
      <c r="H678">
        <v>27</v>
      </c>
      <c r="I678" s="2">
        <v>20</v>
      </c>
      <c r="J678">
        <v>2.2000000000000002</v>
      </c>
      <c r="K678" t="b">
        <v>0</v>
      </c>
      <c r="L678" s="1">
        <v>0.7</v>
      </c>
    </row>
    <row r="679" spans="1:12" x14ac:dyDescent="0.35">
      <c r="A679" t="s">
        <v>1430</v>
      </c>
      <c r="B679" t="s">
        <v>1431</v>
      </c>
      <c r="C679" t="s">
        <v>38</v>
      </c>
      <c r="D679">
        <v>49</v>
      </c>
      <c r="E679" t="s">
        <v>170</v>
      </c>
      <c r="F679" t="s">
        <v>171</v>
      </c>
      <c r="G679" t="s">
        <v>86</v>
      </c>
      <c r="H679">
        <v>20</v>
      </c>
      <c r="I679">
        <v>50</v>
      </c>
      <c r="J679">
        <v>2.5</v>
      </c>
      <c r="K679">
        <v>0</v>
      </c>
      <c r="L679" s="1">
        <v>0.82</v>
      </c>
    </row>
    <row r="680" spans="1:12" x14ac:dyDescent="0.35">
      <c r="A680" t="s">
        <v>1432</v>
      </c>
      <c r="B680" t="s">
        <v>1433</v>
      </c>
      <c r="C680" t="s">
        <v>59</v>
      </c>
      <c r="D680">
        <v>48</v>
      </c>
      <c r="E680" t="s">
        <v>131</v>
      </c>
      <c r="F680" t="s">
        <v>132</v>
      </c>
      <c r="G680" t="s">
        <v>43</v>
      </c>
      <c r="H680">
        <v>10</v>
      </c>
      <c r="J680">
        <v>3.1</v>
      </c>
      <c r="K680" t="b">
        <v>0</v>
      </c>
    </row>
    <row r="681" spans="1:12" x14ac:dyDescent="0.35">
      <c r="A681" t="s">
        <v>1434</v>
      </c>
      <c r="B681" t="s">
        <v>1435</v>
      </c>
      <c r="C681" t="s">
        <v>38</v>
      </c>
      <c r="D681">
        <v>29</v>
      </c>
      <c r="E681" t="s">
        <v>109</v>
      </c>
      <c r="F681" t="s">
        <v>110</v>
      </c>
      <c r="G681" t="s">
        <v>30</v>
      </c>
      <c r="H681">
        <v>0</v>
      </c>
      <c r="I681" s="2">
        <v>20</v>
      </c>
      <c r="K681">
        <v>1</v>
      </c>
      <c r="L681" s="1">
        <v>0.99</v>
      </c>
    </row>
    <row r="682" spans="1:12" x14ac:dyDescent="0.35">
      <c r="A682" t="s">
        <v>1436</v>
      </c>
      <c r="B682" t="s">
        <v>1437</v>
      </c>
      <c r="C682" t="s">
        <v>74</v>
      </c>
      <c r="D682">
        <v>49</v>
      </c>
      <c r="E682" t="s">
        <v>41</v>
      </c>
      <c r="F682" t="s">
        <v>42</v>
      </c>
      <c r="G682" t="s">
        <v>35</v>
      </c>
      <c r="H682">
        <v>11</v>
      </c>
      <c r="I682">
        <v>75</v>
      </c>
      <c r="J682">
        <v>3.8</v>
      </c>
      <c r="K682" t="s">
        <v>71</v>
      </c>
      <c r="L682" s="1">
        <v>0.93</v>
      </c>
    </row>
    <row r="683" spans="1:12" x14ac:dyDescent="0.35">
      <c r="A683" t="s">
        <v>1438</v>
      </c>
      <c r="B683" t="s">
        <v>1439</v>
      </c>
      <c r="C683" t="s">
        <v>20</v>
      </c>
      <c r="D683">
        <v>22</v>
      </c>
      <c r="E683" t="s">
        <v>170</v>
      </c>
      <c r="F683" t="s">
        <v>171</v>
      </c>
      <c r="G683" t="s">
        <v>17</v>
      </c>
      <c r="H683">
        <v>1</v>
      </c>
      <c r="I683">
        <v>100</v>
      </c>
      <c r="J683">
        <v>4.8</v>
      </c>
      <c r="K683" t="s">
        <v>71</v>
      </c>
      <c r="L683" s="1">
        <v>0.75</v>
      </c>
    </row>
    <row r="684" spans="1:12" x14ac:dyDescent="0.35">
      <c r="A684" t="s">
        <v>1440</v>
      </c>
      <c r="B684" t="s">
        <v>1441</v>
      </c>
      <c r="C684" t="s">
        <v>46</v>
      </c>
      <c r="D684">
        <v>52</v>
      </c>
      <c r="E684" t="s">
        <v>174</v>
      </c>
      <c r="F684" t="s">
        <v>69</v>
      </c>
      <c r="G684" t="s">
        <v>30</v>
      </c>
      <c r="H684">
        <v>30</v>
      </c>
      <c r="I684" t="s">
        <v>24</v>
      </c>
      <c r="J684">
        <v>2.5</v>
      </c>
      <c r="L684">
        <v>61</v>
      </c>
    </row>
    <row r="685" spans="1:12" x14ac:dyDescent="0.35">
      <c r="A685" t="s">
        <v>1442</v>
      </c>
      <c r="B685" t="s">
        <v>1443</v>
      </c>
      <c r="C685" t="s">
        <v>59</v>
      </c>
      <c r="D685">
        <v>60</v>
      </c>
      <c r="E685" t="s">
        <v>124</v>
      </c>
      <c r="F685" t="s">
        <v>22</v>
      </c>
      <c r="G685" t="s">
        <v>17</v>
      </c>
      <c r="H685">
        <v>7</v>
      </c>
      <c r="I685" t="s">
        <v>106</v>
      </c>
      <c r="J685">
        <v>0</v>
      </c>
      <c r="K685" t="s">
        <v>155</v>
      </c>
      <c r="L685" s="1">
        <v>0.97</v>
      </c>
    </row>
    <row r="686" spans="1:12" x14ac:dyDescent="0.35">
      <c r="A686" t="s">
        <v>1444</v>
      </c>
      <c r="B686" t="s">
        <v>1445</v>
      </c>
      <c r="C686" t="s">
        <v>34</v>
      </c>
      <c r="D686">
        <v>33</v>
      </c>
      <c r="E686" t="s">
        <v>82</v>
      </c>
      <c r="F686" t="s">
        <v>83</v>
      </c>
      <c r="G686" t="s">
        <v>70</v>
      </c>
      <c r="H686">
        <v>0</v>
      </c>
      <c r="I686" s="2">
        <v>100</v>
      </c>
      <c r="J686">
        <v>1.7</v>
      </c>
      <c r="K686">
        <v>1</v>
      </c>
      <c r="L686">
        <v>95</v>
      </c>
    </row>
    <row r="687" spans="1:12" x14ac:dyDescent="0.35">
      <c r="A687" t="s">
        <v>1446</v>
      </c>
      <c r="B687" t="s">
        <v>1447</v>
      </c>
      <c r="C687" t="s">
        <v>89</v>
      </c>
      <c r="D687">
        <v>52</v>
      </c>
      <c r="E687" t="s">
        <v>109</v>
      </c>
      <c r="F687" t="s">
        <v>110</v>
      </c>
      <c r="G687" t="s">
        <v>30</v>
      </c>
      <c r="H687">
        <v>21</v>
      </c>
      <c r="I687" t="s">
        <v>53</v>
      </c>
      <c r="J687">
        <v>4</v>
      </c>
      <c r="L687" s="1">
        <v>0.69</v>
      </c>
    </row>
    <row r="688" spans="1:12" x14ac:dyDescent="0.35">
      <c r="A688" t="s">
        <v>1448</v>
      </c>
      <c r="B688" t="s">
        <v>1449</v>
      </c>
      <c r="C688" t="s">
        <v>14</v>
      </c>
      <c r="D688">
        <v>25</v>
      </c>
      <c r="E688" t="s">
        <v>28</v>
      </c>
      <c r="F688" t="s">
        <v>29</v>
      </c>
      <c r="G688" t="s">
        <v>86</v>
      </c>
      <c r="H688">
        <v>7</v>
      </c>
      <c r="I688" t="s">
        <v>24</v>
      </c>
      <c r="J688">
        <v>1.9</v>
      </c>
      <c r="K688" t="b">
        <v>0</v>
      </c>
      <c r="L688" s="1">
        <v>0.63</v>
      </c>
    </row>
    <row r="689" spans="1:12" x14ac:dyDescent="0.35">
      <c r="A689" t="s">
        <v>1450</v>
      </c>
      <c r="B689" t="s">
        <v>1451</v>
      </c>
      <c r="C689" t="s">
        <v>89</v>
      </c>
      <c r="D689">
        <v>33</v>
      </c>
      <c r="E689" t="s">
        <v>82</v>
      </c>
      <c r="F689" t="s">
        <v>83</v>
      </c>
      <c r="G689" t="s">
        <v>75</v>
      </c>
      <c r="I689" t="s">
        <v>106</v>
      </c>
      <c r="J689">
        <v>4.4000000000000004</v>
      </c>
      <c r="K689" t="b">
        <v>1</v>
      </c>
      <c r="L689" s="1">
        <v>0.65</v>
      </c>
    </row>
    <row r="690" spans="1:12" x14ac:dyDescent="0.35">
      <c r="A690" t="s">
        <v>1452</v>
      </c>
      <c r="B690" t="s">
        <v>1453</v>
      </c>
      <c r="C690" t="s">
        <v>14</v>
      </c>
      <c r="D690">
        <v>33</v>
      </c>
      <c r="E690" t="s">
        <v>170</v>
      </c>
      <c r="F690" t="s">
        <v>171</v>
      </c>
      <c r="G690" t="s">
        <v>23</v>
      </c>
      <c r="J690">
        <v>4.2</v>
      </c>
      <c r="K690" t="s">
        <v>71</v>
      </c>
      <c r="L690" s="1">
        <v>0.9</v>
      </c>
    </row>
    <row r="691" spans="1:12" x14ac:dyDescent="0.35">
      <c r="A691" t="s">
        <v>1454</v>
      </c>
      <c r="B691" t="s">
        <v>40</v>
      </c>
      <c r="C691" t="s">
        <v>74</v>
      </c>
      <c r="D691">
        <v>52</v>
      </c>
      <c r="E691" t="s">
        <v>124</v>
      </c>
      <c r="F691" t="s">
        <v>22</v>
      </c>
      <c r="G691" t="s">
        <v>70</v>
      </c>
      <c r="H691">
        <v>25</v>
      </c>
      <c r="I691">
        <v>100</v>
      </c>
      <c r="J691">
        <v>4.8</v>
      </c>
      <c r="K691" t="s">
        <v>31</v>
      </c>
    </row>
    <row r="692" spans="1:12" x14ac:dyDescent="0.35">
      <c r="A692" t="s">
        <v>1455</v>
      </c>
      <c r="B692" t="s">
        <v>1456</v>
      </c>
      <c r="C692" t="s">
        <v>14</v>
      </c>
      <c r="D692">
        <v>20</v>
      </c>
      <c r="E692" t="s">
        <v>47</v>
      </c>
      <c r="F692" t="s">
        <v>48</v>
      </c>
      <c r="G692" t="s">
        <v>35</v>
      </c>
      <c r="H692">
        <v>1</v>
      </c>
      <c r="I692" t="s">
        <v>106</v>
      </c>
      <c r="J692">
        <v>2</v>
      </c>
      <c r="K692" t="s">
        <v>155</v>
      </c>
      <c r="L692" s="1">
        <v>0.89</v>
      </c>
    </row>
    <row r="693" spans="1:12" x14ac:dyDescent="0.35">
      <c r="A693" t="s">
        <v>1457</v>
      </c>
      <c r="B693" t="s">
        <v>1458</v>
      </c>
      <c r="C693" t="s">
        <v>20</v>
      </c>
      <c r="D693">
        <v>43</v>
      </c>
      <c r="E693" t="s">
        <v>120</v>
      </c>
      <c r="F693" t="s">
        <v>121</v>
      </c>
      <c r="G693" t="s">
        <v>49</v>
      </c>
      <c r="H693">
        <v>7</v>
      </c>
      <c r="I693" t="s">
        <v>95</v>
      </c>
      <c r="K693">
        <v>1</v>
      </c>
      <c r="L693" s="1">
        <v>0.8</v>
      </c>
    </row>
    <row r="694" spans="1:12" x14ac:dyDescent="0.35">
      <c r="A694" t="s">
        <v>1459</v>
      </c>
      <c r="B694" t="s">
        <v>1415</v>
      </c>
      <c r="C694" t="s">
        <v>38</v>
      </c>
      <c r="D694">
        <v>31</v>
      </c>
      <c r="E694" t="s">
        <v>131</v>
      </c>
      <c r="F694" t="s">
        <v>132</v>
      </c>
      <c r="G694" t="s">
        <v>23</v>
      </c>
      <c r="I694">
        <v>50</v>
      </c>
      <c r="J694">
        <v>1.4</v>
      </c>
      <c r="K694" t="s">
        <v>155</v>
      </c>
      <c r="L694" s="1">
        <v>0.8</v>
      </c>
    </row>
    <row r="695" spans="1:12" x14ac:dyDescent="0.35">
      <c r="A695" t="s">
        <v>1460</v>
      </c>
      <c r="B695" t="s">
        <v>1461</v>
      </c>
      <c r="C695" t="s">
        <v>20</v>
      </c>
      <c r="D695">
        <v>29</v>
      </c>
      <c r="E695" t="s">
        <v>28</v>
      </c>
      <c r="F695" t="s">
        <v>29</v>
      </c>
      <c r="G695" t="s">
        <v>49</v>
      </c>
      <c r="H695">
        <v>6</v>
      </c>
      <c r="I695">
        <v>100</v>
      </c>
      <c r="J695">
        <v>1.8</v>
      </c>
      <c r="K695" t="s">
        <v>31</v>
      </c>
    </row>
    <row r="696" spans="1:12" x14ac:dyDescent="0.35">
      <c r="A696" t="s">
        <v>1462</v>
      </c>
      <c r="B696" t="s">
        <v>833</v>
      </c>
      <c r="C696" t="s">
        <v>20</v>
      </c>
      <c r="D696">
        <v>53</v>
      </c>
      <c r="E696" t="s">
        <v>149</v>
      </c>
      <c r="F696" t="s">
        <v>150</v>
      </c>
      <c r="G696" t="s">
        <v>30</v>
      </c>
      <c r="H696">
        <v>35</v>
      </c>
      <c r="J696">
        <v>0</v>
      </c>
      <c r="K696">
        <v>1</v>
      </c>
      <c r="L696" s="1">
        <v>0.67</v>
      </c>
    </row>
    <row r="697" spans="1:12" x14ac:dyDescent="0.35">
      <c r="A697" t="s">
        <v>1463</v>
      </c>
      <c r="B697" t="s">
        <v>1464</v>
      </c>
      <c r="C697" t="s">
        <v>27</v>
      </c>
      <c r="D697">
        <v>38</v>
      </c>
      <c r="E697" t="s">
        <v>90</v>
      </c>
      <c r="F697" t="s">
        <v>91</v>
      </c>
      <c r="G697" t="s">
        <v>23</v>
      </c>
      <c r="H697">
        <v>1</v>
      </c>
      <c r="I697" t="s">
        <v>53</v>
      </c>
      <c r="J697">
        <v>0</v>
      </c>
      <c r="K697">
        <v>0</v>
      </c>
      <c r="L697" s="1">
        <v>0.96</v>
      </c>
    </row>
    <row r="698" spans="1:12" x14ac:dyDescent="0.35">
      <c r="A698" t="s">
        <v>1465</v>
      </c>
      <c r="B698" t="s">
        <v>1466</v>
      </c>
      <c r="C698" t="s">
        <v>94</v>
      </c>
      <c r="D698">
        <v>29</v>
      </c>
      <c r="E698" t="s">
        <v>185</v>
      </c>
      <c r="F698" t="s">
        <v>69</v>
      </c>
      <c r="G698" t="s">
        <v>30</v>
      </c>
      <c r="I698">
        <v>20</v>
      </c>
      <c r="J698">
        <v>0</v>
      </c>
      <c r="K698">
        <v>0</v>
      </c>
      <c r="L698" s="1">
        <v>0.9</v>
      </c>
    </row>
    <row r="699" spans="1:12" x14ac:dyDescent="0.35">
      <c r="A699" t="s">
        <v>1467</v>
      </c>
      <c r="B699" t="s">
        <v>1468</v>
      </c>
      <c r="C699" t="s">
        <v>89</v>
      </c>
      <c r="D699">
        <v>42</v>
      </c>
      <c r="E699" t="s">
        <v>109</v>
      </c>
      <c r="F699" t="s">
        <v>110</v>
      </c>
      <c r="G699" t="s">
        <v>70</v>
      </c>
      <c r="H699">
        <v>0</v>
      </c>
      <c r="J699">
        <v>3.9</v>
      </c>
      <c r="K699" t="b">
        <v>0</v>
      </c>
      <c r="L699" s="1">
        <v>0.62</v>
      </c>
    </row>
    <row r="700" spans="1:12" x14ac:dyDescent="0.35">
      <c r="A700" t="s">
        <v>1469</v>
      </c>
      <c r="B700" t="s">
        <v>1470</v>
      </c>
      <c r="C700" t="s">
        <v>14</v>
      </c>
      <c r="D700">
        <v>54</v>
      </c>
      <c r="E700" t="s">
        <v>56</v>
      </c>
      <c r="F700" t="s">
        <v>22</v>
      </c>
      <c r="G700" t="s">
        <v>111</v>
      </c>
      <c r="H700">
        <v>9</v>
      </c>
      <c r="I700">
        <v>100</v>
      </c>
      <c r="K700" t="s">
        <v>31</v>
      </c>
      <c r="L700" s="1">
        <v>0.72</v>
      </c>
    </row>
    <row r="701" spans="1:12" x14ac:dyDescent="0.35">
      <c r="A701" t="s">
        <v>1471</v>
      </c>
      <c r="B701" t="s">
        <v>1472</v>
      </c>
      <c r="C701" t="s">
        <v>59</v>
      </c>
      <c r="D701">
        <v>56</v>
      </c>
      <c r="E701" t="s">
        <v>170</v>
      </c>
      <c r="F701" t="s">
        <v>171</v>
      </c>
      <c r="G701" t="s">
        <v>70</v>
      </c>
      <c r="H701">
        <v>18</v>
      </c>
      <c r="I701" t="s">
        <v>95</v>
      </c>
      <c r="J701">
        <v>4.4000000000000004</v>
      </c>
      <c r="K701" t="s">
        <v>71</v>
      </c>
      <c r="L701" s="1">
        <v>0.83</v>
      </c>
    </row>
    <row r="702" spans="1:12" x14ac:dyDescent="0.35">
      <c r="A702" t="s">
        <v>1473</v>
      </c>
      <c r="B702" t="s">
        <v>1474</v>
      </c>
      <c r="C702" t="s">
        <v>14</v>
      </c>
      <c r="D702">
        <v>47</v>
      </c>
      <c r="E702" t="s">
        <v>60</v>
      </c>
      <c r="F702" t="s">
        <v>61</v>
      </c>
      <c r="G702" t="s">
        <v>30</v>
      </c>
      <c r="H702">
        <v>22</v>
      </c>
      <c r="I702">
        <v>100</v>
      </c>
      <c r="J702">
        <v>4.4000000000000004</v>
      </c>
      <c r="K702" t="s">
        <v>155</v>
      </c>
      <c r="L702" s="1">
        <v>0.7</v>
      </c>
    </row>
    <row r="703" spans="1:12" x14ac:dyDescent="0.35">
      <c r="A703" t="s">
        <v>1475</v>
      </c>
      <c r="B703" t="s">
        <v>1476</v>
      </c>
      <c r="C703" t="s">
        <v>46</v>
      </c>
      <c r="D703">
        <v>45</v>
      </c>
      <c r="E703" t="s">
        <v>120</v>
      </c>
      <c r="F703" t="s">
        <v>121</v>
      </c>
      <c r="G703" t="s">
        <v>17</v>
      </c>
      <c r="H703">
        <v>25</v>
      </c>
      <c r="I703">
        <v>50</v>
      </c>
      <c r="J703">
        <v>0</v>
      </c>
      <c r="K703" t="s">
        <v>155</v>
      </c>
      <c r="L703">
        <v>99</v>
      </c>
    </row>
    <row r="704" spans="1:12" x14ac:dyDescent="0.35">
      <c r="A704" t="s">
        <v>1477</v>
      </c>
      <c r="B704" t="s">
        <v>1478</v>
      </c>
      <c r="C704" t="s">
        <v>89</v>
      </c>
      <c r="D704">
        <v>45</v>
      </c>
      <c r="E704" t="s">
        <v>170</v>
      </c>
      <c r="F704" t="s">
        <v>171</v>
      </c>
      <c r="G704" t="s">
        <v>49</v>
      </c>
      <c r="H704">
        <v>6</v>
      </c>
      <c r="I704">
        <v>50</v>
      </c>
      <c r="J704">
        <v>1.4</v>
      </c>
      <c r="L704">
        <v>97</v>
      </c>
    </row>
    <row r="705" spans="1:12" x14ac:dyDescent="0.35">
      <c r="A705" t="s">
        <v>1479</v>
      </c>
      <c r="B705" t="s">
        <v>1480</v>
      </c>
      <c r="C705" t="s">
        <v>89</v>
      </c>
      <c r="D705">
        <v>35</v>
      </c>
      <c r="E705" t="s">
        <v>124</v>
      </c>
      <c r="F705" t="s">
        <v>22</v>
      </c>
      <c r="G705" t="s">
        <v>111</v>
      </c>
      <c r="H705">
        <v>10</v>
      </c>
      <c r="I705">
        <v>20</v>
      </c>
      <c r="J705">
        <v>3.2</v>
      </c>
      <c r="K705" t="b">
        <v>1</v>
      </c>
      <c r="L705" s="1">
        <v>0.77</v>
      </c>
    </row>
    <row r="706" spans="1:12" x14ac:dyDescent="0.35">
      <c r="A706" t="s">
        <v>1481</v>
      </c>
      <c r="B706" t="s">
        <v>1482</v>
      </c>
      <c r="C706" t="s">
        <v>27</v>
      </c>
      <c r="D706">
        <v>51</v>
      </c>
      <c r="E706" t="s">
        <v>124</v>
      </c>
      <c r="F706" t="s">
        <v>22</v>
      </c>
      <c r="G706" t="s">
        <v>86</v>
      </c>
      <c r="H706">
        <v>4</v>
      </c>
      <c r="I706" t="s">
        <v>95</v>
      </c>
      <c r="J706">
        <v>2</v>
      </c>
      <c r="K706" t="s">
        <v>155</v>
      </c>
      <c r="L706" s="1">
        <v>0.92</v>
      </c>
    </row>
    <row r="707" spans="1:12" x14ac:dyDescent="0.35">
      <c r="A707" t="s">
        <v>1483</v>
      </c>
      <c r="B707" t="s">
        <v>1484</v>
      </c>
      <c r="C707" t="s">
        <v>34</v>
      </c>
      <c r="D707">
        <v>34</v>
      </c>
      <c r="E707" t="s">
        <v>185</v>
      </c>
      <c r="F707" t="s">
        <v>69</v>
      </c>
      <c r="G707" t="s">
        <v>23</v>
      </c>
      <c r="H707">
        <v>11</v>
      </c>
      <c r="I707">
        <v>50</v>
      </c>
      <c r="J707">
        <v>3.3</v>
      </c>
      <c r="K707" t="s">
        <v>65</v>
      </c>
      <c r="L707" s="1">
        <v>0.76</v>
      </c>
    </row>
    <row r="708" spans="1:12" x14ac:dyDescent="0.35">
      <c r="A708" t="s">
        <v>1485</v>
      </c>
      <c r="B708" t="s">
        <v>1486</v>
      </c>
      <c r="C708" t="s">
        <v>20</v>
      </c>
      <c r="D708">
        <v>51</v>
      </c>
      <c r="E708" t="s">
        <v>47</v>
      </c>
      <c r="F708" t="s">
        <v>48</v>
      </c>
      <c r="G708" t="s">
        <v>30</v>
      </c>
      <c r="H708">
        <v>1</v>
      </c>
      <c r="I708" s="2">
        <v>50</v>
      </c>
      <c r="J708">
        <v>0</v>
      </c>
      <c r="K708" t="s">
        <v>71</v>
      </c>
      <c r="L708" s="1">
        <v>0.97</v>
      </c>
    </row>
    <row r="709" spans="1:12" x14ac:dyDescent="0.35">
      <c r="A709" t="s">
        <v>1487</v>
      </c>
      <c r="B709" t="s">
        <v>1488</v>
      </c>
      <c r="C709" t="s">
        <v>89</v>
      </c>
      <c r="D709">
        <v>58</v>
      </c>
      <c r="E709" t="s">
        <v>135</v>
      </c>
      <c r="F709" t="s">
        <v>136</v>
      </c>
      <c r="G709" t="s">
        <v>30</v>
      </c>
      <c r="H709">
        <v>35</v>
      </c>
      <c r="I709" t="s">
        <v>24</v>
      </c>
      <c r="J709">
        <v>2.2999999999999998</v>
      </c>
      <c r="K709" t="s">
        <v>71</v>
      </c>
    </row>
    <row r="710" spans="1:12" x14ac:dyDescent="0.35">
      <c r="A710" t="s">
        <v>1489</v>
      </c>
      <c r="B710" t="s">
        <v>1490</v>
      </c>
      <c r="C710" t="s">
        <v>14</v>
      </c>
      <c r="D710">
        <v>36</v>
      </c>
      <c r="E710" t="s">
        <v>41</v>
      </c>
      <c r="F710" t="s">
        <v>42</v>
      </c>
      <c r="G710" t="s">
        <v>35</v>
      </c>
      <c r="H710">
        <v>17</v>
      </c>
      <c r="I710" s="2">
        <v>20</v>
      </c>
      <c r="J710">
        <v>0</v>
      </c>
      <c r="K710">
        <v>1</v>
      </c>
      <c r="L710">
        <v>99</v>
      </c>
    </row>
    <row r="711" spans="1:12" x14ac:dyDescent="0.35">
      <c r="A711" t="s">
        <v>1491</v>
      </c>
      <c r="B711" t="s">
        <v>1492</v>
      </c>
      <c r="C711" t="s">
        <v>59</v>
      </c>
      <c r="E711" t="s">
        <v>120</v>
      </c>
      <c r="F711" t="s">
        <v>121</v>
      </c>
      <c r="G711" t="s">
        <v>43</v>
      </c>
      <c r="H711">
        <v>12</v>
      </c>
      <c r="I711">
        <v>30</v>
      </c>
      <c r="J711">
        <v>2.6</v>
      </c>
      <c r="K711" t="s">
        <v>71</v>
      </c>
    </row>
    <row r="712" spans="1:12" x14ac:dyDescent="0.35">
      <c r="A712" t="s">
        <v>1493</v>
      </c>
      <c r="B712" t="s">
        <v>1494</v>
      </c>
      <c r="C712" t="s">
        <v>89</v>
      </c>
      <c r="D712">
        <v>56</v>
      </c>
      <c r="E712" t="s">
        <v>149</v>
      </c>
      <c r="F712" t="s">
        <v>150</v>
      </c>
      <c r="G712" t="s">
        <v>111</v>
      </c>
      <c r="H712">
        <v>30</v>
      </c>
      <c r="I712">
        <v>40</v>
      </c>
      <c r="J712">
        <v>3.3</v>
      </c>
      <c r="K712" t="s">
        <v>65</v>
      </c>
      <c r="L712" s="1">
        <v>0.82</v>
      </c>
    </row>
    <row r="713" spans="1:12" x14ac:dyDescent="0.35">
      <c r="A713" t="s">
        <v>1495</v>
      </c>
      <c r="B713" t="s">
        <v>1496</v>
      </c>
      <c r="C713" t="s">
        <v>14</v>
      </c>
      <c r="D713">
        <v>58</v>
      </c>
      <c r="E713" t="s">
        <v>124</v>
      </c>
      <c r="F713" t="s">
        <v>22</v>
      </c>
      <c r="G713" t="s">
        <v>75</v>
      </c>
      <c r="H713">
        <v>20</v>
      </c>
      <c r="I713">
        <v>75</v>
      </c>
      <c r="J713">
        <v>3.6</v>
      </c>
      <c r="K713" t="s">
        <v>65</v>
      </c>
      <c r="L713" s="1">
        <v>0.78</v>
      </c>
    </row>
    <row r="714" spans="1:12" x14ac:dyDescent="0.35">
      <c r="A714" t="s">
        <v>1497</v>
      </c>
      <c r="B714" t="s">
        <v>1498</v>
      </c>
      <c r="C714" t="s">
        <v>14</v>
      </c>
      <c r="D714">
        <v>58</v>
      </c>
      <c r="E714" t="s">
        <v>56</v>
      </c>
      <c r="F714" t="s">
        <v>22</v>
      </c>
      <c r="G714" t="s">
        <v>75</v>
      </c>
      <c r="H714">
        <v>22</v>
      </c>
      <c r="I714">
        <v>100</v>
      </c>
      <c r="J714">
        <v>3.7</v>
      </c>
      <c r="K714">
        <v>0</v>
      </c>
    </row>
    <row r="715" spans="1:12" x14ac:dyDescent="0.35">
      <c r="A715" t="s">
        <v>1499</v>
      </c>
      <c r="B715" t="s">
        <v>1500</v>
      </c>
      <c r="C715" t="s">
        <v>34</v>
      </c>
      <c r="D715">
        <v>54</v>
      </c>
      <c r="E715" t="s">
        <v>64</v>
      </c>
      <c r="F715" t="s">
        <v>22</v>
      </c>
      <c r="G715" t="s">
        <v>43</v>
      </c>
      <c r="H715">
        <v>32</v>
      </c>
      <c r="I715" s="2">
        <v>20</v>
      </c>
      <c r="J715">
        <v>3.4</v>
      </c>
      <c r="K715" t="s">
        <v>155</v>
      </c>
    </row>
    <row r="716" spans="1:12" x14ac:dyDescent="0.35">
      <c r="A716" t="s">
        <v>1501</v>
      </c>
      <c r="B716" t="s">
        <v>1502</v>
      </c>
      <c r="C716" t="s">
        <v>27</v>
      </c>
      <c r="D716">
        <v>53</v>
      </c>
      <c r="E716" t="s">
        <v>21</v>
      </c>
      <c r="F716" t="s">
        <v>22</v>
      </c>
      <c r="G716" t="s">
        <v>70</v>
      </c>
      <c r="H716">
        <v>9</v>
      </c>
      <c r="I716">
        <v>50</v>
      </c>
      <c r="J716">
        <v>4</v>
      </c>
      <c r="K716" t="s">
        <v>71</v>
      </c>
      <c r="L716" s="1">
        <v>0.72</v>
      </c>
    </row>
    <row r="717" spans="1:12" x14ac:dyDescent="0.35">
      <c r="A717" t="s">
        <v>1503</v>
      </c>
      <c r="B717" t="s">
        <v>1504</v>
      </c>
      <c r="C717" t="s">
        <v>74</v>
      </c>
      <c r="D717">
        <v>43</v>
      </c>
      <c r="E717" t="s">
        <v>21</v>
      </c>
      <c r="F717" t="s">
        <v>22</v>
      </c>
      <c r="G717" t="s">
        <v>35</v>
      </c>
      <c r="H717">
        <v>22</v>
      </c>
      <c r="I717">
        <v>40</v>
      </c>
      <c r="J717">
        <v>4.5</v>
      </c>
    </row>
    <row r="718" spans="1:12" x14ac:dyDescent="0.35">
      <c r="A718" t="s">
        <v>1505</v>
      </c>
      <c r="B718" t="s">
        <v>1506</v>
      </c>
      <c r="C718" t="s">
        <v>89</v>
      </c>
      <c r="D718">
        <v>44</v>
      </c>
      <c r="E718" t="s">
        <v>109</v>
      </c>
      <c r="F718" t="s">
        <v>110</v>
      </c>
      <c r="G718" t="s">
        <v>111</v>
      </c>
      <c r="H718">
        <v>1</v>
      </c>
      <c r="I718">
        <v>75</v>
      </c>
      <c r="J718">
        <v>4.3</v>
      </c>
      <c r="K718">
        <v>1</v>
      </c>
    </row>
    <row r="719" spans="1:12" x14ac:dyDescent="0.35">
      <c r="A719" t="s">
        <v>1507</v>
      </c>
      <c r="B719" t="s">
        <v>1508</v>
      </c>
      <c r="C719" t="s">
        <v>89</v>
      </c>
      <c r="D719">
        <v>34</v>
      </c>
      <c r="E719" t="s">
        <v>124</v>
      </c>
      <c r="F719" t="s">
        <v>22</v>
      </c>
      <c r="G719" t="s">
        <v>75</v>
      </c>
      <c r="H719">
        <v>4</v>
      </c>
      <c r="I719">
        <v>75</v>
      </c>
      <c r="J719">
        <v>4</v>
      </c>
      <c r="K719">
        <v>1</v>
      </c>
    </row>
    <row r="720" spans="1:12" x14ac:dyDescent="0.35">
      <c r="A720" t="s">
        <v>1509</v>
      </c>
      <c r="B720" t="s">
        <v>1510</v>
      </c>
      <c r="C720" t="s">
        <v>38</v>
      </c>
      <c r="D720">
        <v>27</v>
      </c>
      <c r="E720" t="s">
        <v>104</v>
      </c>
      <c r="F720" t="s">
        <v>105</v>
      </c>
      <c r="G720" t="s">
        <v>23</v>
      </c>
      <c r="H720">
        <v>8</v>
      </c>
      <c r="I720" s="2">
        <v>50</v>
      </c>
      <c r="J720">
        <v>1.6</v>
      </c>
      <c r="K720" t="s">
        <v>65</v>
      </c>
    </row>
    <row r="721" spans="1:12" x14ac:dyDescent="0.35">
      <c r="A721" t="s">
        <v>1511</v>
      </c>
      <c r="B721" t="s">
        <v>1512</v>
      </c>
      <c r="C721" t="s">
        <v>46</v>
      </c>
      <c r="D721">
        <v>50</v>
      </c>
      <c r="E721" t="s">
        <v>82</v>
      </c>
      <c r="F721" t="s">
        <v>83</v>
      </c>
      <c r="G721" t="s">
        <v>49</v>
      </c>
      <c r="H721">
        <v>3</v>
      </c>
      <c r="I721">
        <v>100</v>
      </c>
      <c r="J721">
        <v>0</v>
      </c>
      <c r="K721" t="s">
        <v>71</v>
      </c>
    </row>
    <row r="722" spans="1:12" x14ac:dyDescent="0.35">
      <c r="A722" t="s">
        <v>1513</v>
      </c>
      <c r="B722" t="s">
        <v>1514</v>
      </c>
      <c r="C722" t="s">
        <v>38</v>
      </c>
      <c r="D722">
        <v>52</v>
      </c>
      <c r="E722" t="s">
        <v>109</v>
      </c>
      <c r="F722" t="s">
        <v>110</v>
      </c>
      <c r="G722" t="s">
        <v>70</v>
      </c>
      <c r="H722">
        <v>30</v>
      </c>
      <c r="I722">
        <v>75</v>
      </c>
      <c r="K722" t="s">
        <v>155</v>
      </c>
      <c r="L722" s="1">
        <v>0.94</v>
      </c>
    </row>
    <row r="723" spans="1:12" x14ac:dyDescent="0.35">
      <c r="A723" t="s">
        <v>1515</v>
      </c>
      <c r="B723" t="s">
        <v>1516</v>
      </c>
      <c r="C723" t="s">
        <v>59</v>
      </c>
      <c r="D723">
        <v>57</v>
      </c>
      <c r="E723" t="s">
        <v>185</v>
      </c>
      <c r="F723" t="s">
        <v>69</v>
      </c>
      <c r="G723" t="s">
        <v>17</v>
      </c>
      <c r="H723">
        <v>11</v>
      </c>
      <c r="I723" t="s">
        <v>308</v>
      </c>
      <c r="J723">
        <v>4.9000000000000004</v>
      </c>
      <c r="K723" t="s">
        <v>71</v>
      </c>
    </row>
    <row r="724" spans="1:12" x14ac:dyDescent="0.35">
      <c r="A724" t="s">
        <v>1517</v>
      </c>
      <c r="B724" t="s">
        <v>1518</v>
      </c>
      <c r="C724" t="s">
        <v>38</v>
      </c>
      <c r="D724">
        <v>53</v>
      </c>
      <c r="E724" t="s">
        <v>174</v>
      </c>
      <c r="F724" t="s">
        <v>69</v>
      </c>
      <c r="G724" t="s">
        <v>86</v>
      </c>
      <c r="H724">
        <v>8</v>
      </c>
      <c r="I724">
        <v>20</v>
      </c>
      <c r="J724">
        <v>2.8</v>
      </c>
      <c r="K724" t="b">
        <v>1</v>
      </c>
    </row>
    <row r="725" spans="1:12" x14ac:dyDescent="0.35">
      <c r="A725" t="s">
        <v>1519</v>
      </c>
      <c r="B725" t="s">
        <v>1520</v>
      </c>
      <c r="C725" t="s">
        <v>46</v>
      </c>
      <c r="D725">
        <v>51</v>
      </c>
      <c r="E725" t="s">
        <v>60</v>
      </c>
      <c r="F725" t="s">
        <v>61</v>
      </c>
      <c r="G725" t="s">
        <v>70</v>
      </c>
      <c r="H725">
        <v>11</v>
      </c>
      <c r="I725" t="s">
        <v>106</v>
      </c>
      <c r="J725">
        <v>3.6</v>
      </c>
      <c r="K725" t="s">
        <v>71</v>
      </c>
      <c r="L725" s="1">
        <v>0.77</v>
      </c>
    </row>
    <row r="726" spans="1:12" x14ac:dyDescent="0.35">
      <c r="A726" t="s">
        <v>1521</v>
      </c>
      <c r="B726" t="s">
        <v>1522</v>
      </c>
      <c r="C726" t="s">
        <v>20</v>
      </c>
      <c r="D726">
        <v>37</v>
      </c>
      <c r="E726" t="s">
        <v>124</v>
      </c>
      <c r="F726" t="s">
        <v>22</v>
      </c>
      <c r="G726" t="s">
        <v>75</v>
      </c>
      <c r="H726">
        <v>9</v>
      </c>
      <c r="I726" s="2">
        <v>50</v>
      </c>
      <c r="K726" t="s">
        <v>65</v>
      </c>
      <c r="L726">
        <v>84</v>
      </c>
    </row>
    <row r="727" spans="1:12" x14ac:dyDescent="0.35">
      <c r="A727" t="s">
        <v>1523</v>
      </c>
      <c r="B727" t="s">
        <v>1524</v>
      </c>
      <c r="C727" t="s">
        <v>59</v>
      </c>
      <c r="D727">
        <v>40</v>
      </c>
      <c r="E727" t="s">
        <v>185</v>
      </c>
      <c r="F727" t="s">
        <v>69</v>
      </c>
      <c r="G727" t="s">
        <v>35</v>
      </c>
      <c r="H727">
        <v>7</v>
      </c>
      <c r="I727">
        <v>40</v>
      </c>
      <c r="J727">
        <v>4.5</v>
      </c>
      <c r="L727">
        <v>79</v>
      </c>
    </row>
    <row r="728" spans="1:12" x14ac:dyDescent="0.35">
      <c r="A728" t="s">
        <v>1525</v>
      </c>
      <c r="B728" t="s">
        <v>1526</v>
      </c>
      <c r="C728" t="s">
        <v>46</v>
      </c>
      <c r="D728">
        <v>60</v>
      </c>
      <c r="E728" t="s">
        <v>82</v>
      </c>
      <c r="F728" t="s">
        <v>83</v>
      </c>
      <c r="G728" t="s">
        <v>49</v>
      </c>
      <c r="H728">
        <v>24</v>
      </c>
      <c r="I728" t="s">
        <v>53</v>
      </c>
      <c r="J728">
        <v>3.1</v>
      </c>
      <c r="K728">
        <v>0</v>
      </c>
      <c r="L728" s="1">
        <v>0.69</v>
      </c>
    </row>
    <row r="729" spans="1:12" x14ac:dyDescent="0.35">
      <c r="A729" t="s">
        <v>1527</v>
      </c>
      <c r="B729" t="s">
        <v>1528</v>
      </c>
      <c r="C729" t="s">
        <v>89</v>
      </c>
      <c r="D729">
        <v>60</v>
      </c>
      <c r="E729" t="s">
        <v>131</v>
      </c>
      <c r="F729" t="s">
        <v>132</v>
      </c>
      <c r="G729" t="s">
        <v>70</v>
      </c>
      <c r="H729">
        <v>0</v>
      </c>
      <c r="I729">
        <v>40</v>
      </c>
      <c r="J729">
        <v>4.9000000000000004</v>
      </c>
      <c r="K729" t="s">
        <v>71</v>
      </c>
      <c r="L729" s="1">
        <v>0.68</v>
      </c>
    </row>
    <row r="730" spans="1:12" x14ac:dyDescent="0.35">
      <c r="A730" t="s">
        <v>1529</v>
      </c>
      <c r="B730" t="s">
        <v>1530</v>
      </c>
      <c r="C730" t="s">
        <v>74</v>
      </c>
      <c r="D730">
        <v>53</v>
      </c>
      <c r="E730" t="s">
        <v>109</v>
      </c>
      <c r="F730" t="s">
        <v>110</v>
      </c>
      <c r="G730" t="s">
        <v>70</v>
      </c>
      <c r="H730">
        <v>21</v>
      </c>
      <c r="I730" s="2">
        <v>30</v>
      </c>
      <c r="J730">
        <v>4.2</v>
      </c>
      <c r="K730">
        <v>1</v>
      </c>
      <c r="L730">
        <v>73</v>
      </c>
    </row>
    <row r="731" spans="1:12" x14ac:dyDescent="0.35">
      <c r="A731" t="s">
        <v>1531</v>
      </c>
      <c r="B731" t="s">
        <v>1532</v>
      </c>
      <c r="C731" t="s">
        <v>74</v>
      </c>
      <c r="D731">
        <v>20</v>
      </c>
      <c r="E731" t="s">
        <v>174</v>
      </c>
      <c r="F731" t="s">
        <v>69</v>
      </c>
      <c r="G731" t="s">
        <v>17</v>
      </c>
      <c r="H731">
        <v>0</v>
      </c>
      <c r="I731">
        <v>75</v>
      </c>
      <c r="J731">
        <v>3.2</v>
      </c>
      <c r="K731">
        <v>1</v>
      </c>
      <c r="L731" s="1">
        <v>0.74</v>
      </c>
    </row>
    <row r="732" spans="1:12" x14ac:dyDescent="0.35">
      <c r="A732" t="s">
        <v>1533</v>
      </c>
      <c r="B732" t="s">
        <v>1534</v>
      </c>
      <c r="C732" t="s">
        <v>59</v>
      </c>
      <c r="D732">
        <v>42</v>
      </c>
      <c r="E732" t="s">
        <v>120</v>
      </c>
      <c r="F732" t="s">
        <v>121</v>
      </c>
      <c r="G732" t="s">
        <v>35</v>
      </c>
      <c r="H732">
        <v>7</v>
      </c>
      <c r="I732" t="s">
        <v>308</v>
      </c>
      <c r="K732" t="b">
        <v>0</v>
      </c>
      <c r="L732" s="1">
        <v>1</v>
      </c>
    </row>
    <row r="733" spans="1:12" x14ac:dyDescent="0.35">
      <c r="A733" t="s">
        <v>1535</v>
      </c>
      <c r="B733" t="s">
        <v>1536</v>
      </c>
      <c r="C733" t="s">
        <v>89</v>
      </c>
      <c r="D733">
        <v>21</v>
      </c>
      <c r="E733" t="s">
        <v>64</v>
      </c>
      <c r="F733" t="s">
        <v>22</v>
      </c>
      <c r="G733" t="s">
        <v>23</v>
      </c>
      <c r="H733">
        <v>3</v>
      </c>
      <c r="I733">
        <v>40</v>
      </c>
      <c r="J733">
        <v>0</v>
      </c>
      <c r="K733">
        <v>0</v>
      </c>
      <c r="L733" s="1">
        <v>0.87</v>
      </c>
    </row>
    <row r="734" spans="1:12" x14ac:dyDescent="0.35">
      <c r="A734" t="s">
        <v>1537</v>
      </c>
      <c r="B734" t="s">
        <v>1538</v>
      </c>
      <c r="C734" t="s">
        <v>46</v>
      </c>
      <c r="D734">
        <v>39</v>
      </c>
      <c r="E734" t="s">
        <v>28</v>
      </c>
      <c r="F734" t="s">
        <v>29</v>
      </c>
      <c r="G734" t="s">
        <v>35</v>
      </c>
      <c r="H734">
        <v>21</v>
      </c>
      <c r="I734">
        <v>100</v>
      </c>
      <c r="J734">
        <v>2.2000000000000002</v>
      </c>
      <c r="K734">
        <v>0</v>
      </c>
      <c r="L734" s="1">
        <v>0.79</v>
      </c>
    </row>
    <row r="735" spans="1:12" x14ac:dyDescent="0.35">
      <c r="A735" t="s">
        <v>1539</v>
      </c>
      <c r="B735" t="s">
        <v>1540</v>
      </c>
      <c r="C735" t="s">
        <v>46</v>
      </c>
      <c r="D735">
        <v>32</v>
      </c>
      <c r="E735" t="s">
        <v>90</v>
      </c>
      <c r="F735" t="s">
        <v>91</v>
      </c>
      <c r="G735" t="s">
        <v>17</v>
      </c>
      <c r="I735">
        <v>30</v>
      </c>
      <c r="J735">
        <v>1.5</v>
      </c>
      <c r="K735">
        <v>0</v>
      </c>
      <c r="L735" s="1">
        <v>0.68</v>
      </c>
    </row>
    <row r="736" spans="1:12" x14ac:dyDescent="0.35">
      <c r="A736" t="s">
        <v>1541</v>
      </c>
      <c r="B736" t="s">
        <v>1542</v>
      </c>
      <c r="C736" t="s">
        <v>89</v>
      </c>
      <c r="D736">
        <v>35</v>
      </c>
      <c r="E736" t="s">
        <v>28</v>
      </c>
      <c r="F736" t="s">
        <v>29</v>
      </c>
      <c r="G736" t="s">
        <v>49</v>
      </c>
      <c r="I736" t="s">
        <v>24</v>
      </c>
      <c r="K736">
        <v>0</v>
      </c>
      <c r="L736" s="1">
        <v>0.84</v>
      </c>
    </row>
    <row r="737" spans="1:12" x14ac:dyDescent="0.35">
      <c r="A737" t="s">
        <v>1543</v>
      </c>
      <c r="B737" t="s">
        <v>1544</v>
      </c>
      <c r="C737" t="s">
        <v>14</v>
      </c>
      <c r="D737">
        <v>35</v>
      </c>
      <c r="E737" t="s">
        <v>131</v>
      </c>
      <c r="F737" t="s">
        <v>132</v>
      </c>
      <c r="G737" t="s">
        <v>70</v>
      </c>
      <c r="H737">
        <v>17</v>
      </c>
      <c r="I737">
        <v>50</v>
      </c>
      <c r="J737">
        <v>3.1</v>
      </c>
      <c r="K737">
        <v>0</v>
      </c>
      <c r="L737" s="1">
        <v>0.71</v>
      </c>
    </row>
    <row r="738" spans="1:12" x14ac:dyDescent="0.35">
      <c r="A738" t="s">
        <v>1545</v>
      </c>
      <c r="B738" t="s">
        <v>1546</v>
      </c>
      <c r="C738" t="s">
        <v>20</v>
      </c>
      <c r="D738">
        <v>23</v>
      </c>
      <c r="E738" t="s">
        <v>68</v>
      </c>
      <c r="F738" t="s">
        <v>69</v>
      </c>
      <c r="G738" t="s">
        <v>70</v>
      </c>
      <c r="H738">
        <v>0</v>
      </c>
      <c r="I738">
        <v>75</v>
      </c>
      <c r="J738">
        <v>0</v>
      </c>
      <c r="K738" t="s">
        <v>155</v>
      </c>
      <c r="L738" s="1">
        <v>0.92</v>
      </c>
    </row>
    <row r="739" spans="1:12" x14ac:dyDescent="0.35">
      <c r="A739" t="s">
        <v>1547</v>
      </c>
      <c r="B739" t="s">
        <v>1548</v>
      </c>
      <c r="C739" t="s">
        <v>89</v>
      </c>
      <c r="D739">
        <v>26</v>
      </c>
      <c r="E739" t="s">
        <v>41</v>
      </c>
      <c r="F739" t="s">
        <v>42</v>
      </c>
      <c r="G739" t="s">
        <v>43</v>
      </c>
      <c r="H739">
        <v>6</v>
      </c>
      <c r="I739" t="s">
        <v>24</v>
      </c>
      <c r="K739" t="s">
        <v>155</v>
      </c>
      <c r="L739" s="1">
        <v>0.69</v>
      </c>
    </row>
    <row r="740" spans="1:12" x14ac:dyDescent="0.35">
      <c r="A740" t="s">
        <v>1549</v>
      </c>
      <c r="B740" t="s">
        <v>1550</v>
      </c>
      <c r="C740" t="s">
        <v>34</v>
      </c>
      <c r="D740">
        <v>34</v>
      </c>
      <c r="E740" t="s">
        <v>124</v>
      </c>
      <c r="F740" t="s">
        <v>22</v>
      </c>
      <c r="G740" t="s">
        <v>111</v>
      </c>
      <c r="H740">
        <v>3</v>
      </c>
      <c r="J740">
        <v>0</v>
      </c>
      <c r="K740">
        <v>1</v>
      </c>
      <c r="L740" s="1">
        <v>0.71</v>
      </c>
    </row>
    <row r="741" spans="1:12" x14ac:dyDescent="0.35">
      <c r="A741" t="s">
        <v>1551</v>
      </c>
      <c r="B741" t="s">
        <v>1552</v>
      </c>
      <c r="C741" t="s">
        <v>74</v>
      </c>
      <c r="D741">
        <v>34</v>
      </c>
      <c r="E741" t="s">
        <v>28</v>
      </c>
      <c r="F741" t="s">
        <v>29</v>
      </c>
      <c r="G741" t="s">
        <v>17</v>
      </c>
      <c r="H741">
        <v>3</v>
      </c>
      <c r="K741" t="b">
        <v>0</v>
      </c>
      <c r="L741" s="1">
        <v>0.77</v>
      </c>
    </row>
    <row r="742" spans="1:12" x14ac:dyDescent="0.35">
      <c r="A742" t="s">
        <v>1553</v>
      </c>
      <c r="B742" t="s">
        <v>1554</v>
      </c>
      <c r="C742" t="s">
        <v>46</v>
      </c>
      <c r="D742">
        <v>57</v>
      </c>
      <c r="E742" t="s">
        <v>15</v>
      </c>
      <c r="F742" t="s">
        <v>16</v>
      </c>
      <c r="G742" t="s">
        <v>35</v>
      </c>
      <c r="H742">
        <v>31</v>
      </c>
      <c r="I742">
        <v>50</v>
      </c>
      <c r="J742">
        <v>3</v>
      </c>
      <c r="K742" t="b">
        <v>1</v>
      </c>
      <c r="L742" s="1">
        <v>0.87</v>
      </c>
    </row>
    <row r="743" spans="1:12" x14ac:dyDescent="0.35">
      <c r="A743" t="s">
        <v>1555</v>
      </c>
      <c r="B743" t="s">
        <v>1556</v>
      </c>
      <c r="C743" t="s">
        <v>59</v>
      </c>
      <c r="D743">
        <v>46</v>
      </c>
      <c r="E743" t="s">
        <v>124</v>
      </c>
      <c r="F743" t="s">
        <v>22</v>
      </c>
      <c r="G743" t="s">
        <v>35</v>
      </c>
      <c r="H743">
        <v>5</v>
      </c>
      <c r="I743" s="2">
        <v>30</v>
      </c>
      <c r="J743">
        <v>2.6</v>
      </c>
      <c r="K743" t="s">
        <v>155</v>
      </c>
      <c r="L743" s="1">
        <v>0.76</v>
      </c>
    </row>
    <row r="744" spans="1:12" x14ac:dyDescent="0.35">
      <c r="A744" t="s">
        <v>1557</v>
      </c>
      <c r="B744" t="s">
        <v>1558</v>
      </c>
      <c r="C744" t="s">
        <v>27</v>
      </c>
      <c r="D744">
        <v>55</v>
      </c>
      <c r="E744" t="s">
        <v>90</v>
      </c>
      <c r="F744" t="s">
        <v>91</v>
      </c>
      <c r="G744" t="s">
        <v>43</v>
      </c>
      <c r="H744">
        <v>37</v>
      </c>
      <c r="I744" t="s">
        <v>50</v>
      </c>
      <c r="J744">
        <v>4.0999999999999996</v>
      </c>
      <c r="K744" t="s">
        <v>155</v>
      </c>
    </row>
    <row r="745" spans="1:12" x14ac:dyDescent="0.35">
      <c r="A745" t="s">
        <v>1559</v>
      </c>
      <c r="B745" t="s">
        <v>1560</v>
      </c>
      <c r="C745" t="s">
        <v>20</v>
      </c>
      <c r="D745">
        <v>32</v>
      </c>
      <c r="E745" t="s">
        <v>21</v>
      </c>
      <c r="F745" t="s">
        <v>22</v>
      </c>
      <c r="G745" t="s">
        <v>86</v>
      </c>
      <c r="H745">
        <v>10</v>
      </c>
      <c r="I745" t="s">
        <v>95</v>
      </c>
      <c r="J745">
        <v>1.5</v>
      </c>
      <c r="K745" t="b">
        <v>0</v>
      </c>
      <c r="L745" s="1">
        <v>0.65</v>
      </c>
    </row>
    <row r="746" spans="1:12" x14ac:dyDescent="0.35">
      <c r="A746" t="s">
        <v>1561</v>
      </c>
      <c r="B746" t="s">
        <v>1562</v>
      </c>
      <c r="C746" t="s">
        <v>89</v>
      </c>
      <c r="D746">
        <v>53</v>
      </c>
      <c r="E746" t="s">
        <v>47</v>
      </c>
      <c r="F746" t="s">
        <v>48</v>
      </c>
      <c r="G746" t="s">
        <v>43</v>
      </c>
      <c r="H746">
        <v>28</v>
      </c>
      <c r="I746" t="s">
        <v>95</v>
      </c>
      <c r="J746">
        <v>2.9</v>
      </c>
      <c r="K746" t="s">
        <v>65</v>
      </c>
      <c r="L746" s="1">
        <v>0.82</v>
      </c>
    </row>
    <row r="747" spans="1:12" x14ac:dyDescent="0.35">
      <c r="A747" t="s">
        <v>1563</v>
      </c>
      <c r="B747" t="s">
        <v>1564</v>
      </c>
      <c r="C747" t="s">
        <v>27</v>
      </c>
      <c r="D747">
        <v>59</v>
      </c>
      <c r="E747" t="s">
        <v>174</v>
      </c>
      <c r="F747" t="s">
        <v>69</v>
      </c>
      <c r="G747" t="s">
        <v>43</v>
      </c>
      <c r="H747">
        <v>0</v>
      </c>
      <c r="I747">
        <v>100</v>
      </c>
      <c r="J747">
        <v>0</v>
      </c>
      <c r="K747" t="s">
        <v>71</v>
      </c>
      <c r="L747">
        <v>87</v>
      </c>
    </row>
    <row r="748" spans="1:12" x14ac:dyDescent="0.35">
      <c r="A748" t="s">
        <v>1565</v>
      </c>
      <c r="B748" t="s">
        <v>1566</v>
      </c>
      <c r="C748" t="s">
        <v>34</v>
      </c>
      <c r="D748">
        <v>44</v>
      </c>
      <c r="E748" t="s">
        <v>41</v>
      </c>
      <c r="F748" t="s">
        <v>42</v>
      </c>
      <c r="G748" t="s">
        <v>111</v>
      </c>
      <c r="H748">
        <v>19</v>
      </c>
      <c r="I748" s="2">
        <v>40</v>
      </c>
      <c r="J748">
        <v>4.9000000000000004</v>
      </c>
      <c r="K748" t="s">
        <v>31</v>
      </c>
      <c r="L748" s="1">
        <v>1</v>
      </c>
    </row>
    <row r="749" spans="1:12" x14ac:dyDescent="0.35">
      <c r="A749" t="s">
        <v>1567</v>
      </c>
      <c r="B749" t="s">
        <v>1568</v>
      </c>
      <c r="C749" t="s">
        <v>94</v>
      </c>
      <c r="D749">
        <v>35</v>
      </c>
      <c r="E749" t="s">
        <v>135</v>
      </c>
      <c r="F749" t="s">
        <v>136</v>
      </c>
      <c r="G749" t="s">
        <v>17</v>
      </c>
      <c r="H749">
        <v>9</v>
      </c>
      <c r="I749" t="s">
        <v>95</v>
      </c>
      <c r="J749">
        <v>3</v>
      </c>
      <c r="K749" t="s">
        <v>31</v>
      </c>
      <c r="L749">
        <v>71</v>
      </c>
    </row>
    <row r="750" spans="1:12" x14ac:dyDescent="0.35">
      <c r="A750" t="s">
        <v>1569</v>
      </c>
      <c r="B750" t="s">
        <v>1570</v>
      </c>
      <c r="C750" t="s">
        <v>14</v>
      </c>
      <c r="D750">
        <v>42</v>
      </c>
      <c r="E750" t="s">
        <v>170</v>
      </c>
      <c r="F750" t="s">
        <v>171</v>
      </c>
      <c r="G750" t="s">
        <v>111</v>
      </c>
      <c r="H750">
        <v>5</v>
      </c>
      <c r="I750">
        <v>30</v>
      </c>
      <c r="J750">
        <v>4.9000000000000004</v>
      </c>
      <c r="K750">
        <v>1</v>
      </c>
      <c r="L750">
        <v>87</v>
      </c>
    </row>
    <row r="751" spans="1:12" x14ac:dyDescent="0.35">
      <c r="A751" t="s">
        <v>1571</v>
      </c>
      <c r="B751" t="s">
        <v>1572</v>
      </c>
      <c r="C751" t="s">
        <v>14</v>
      </c>
      <c r="D751">
        <v>58</v>
      </c>
      <c r="E751" t="s">
        <v>109</v>
      </c>
      <c r="F751" t="s">
        <v>110</v>
      </c>
      <c r="G751" t="s">
        <v>17</v>
      </c>
      <c r="H751">
        <v>0</v>
      </c>
      <c r="I751" t="s">
        <v>106</v>
      </c>
      <c r="J751">
        <v>4.5999999999999996</v>
      </c>
      <c r="K751">
        <v>0</v>
      </c>
      <c r="L751">
        <v>70</v>
      </c>
    </row>
    <row r="752" spans="1:12" x14ac:dyDescent="0.35">
      <c r="A752" t="s">
        <v>1573</v>
      </c>
      <c r="B752" t="s">
        <v>1574</v>
      </c>
      <c r="C752" t="s">
        <v>59</v>
      </c>
      <c r="D752">
        <v>41</v>
      </c>
      <c r="E752" t="s">
        <v>41</v>
      </c>
      <c r="F752" t="s">
        <v>42</v>
      </c>
      <c r="G752" t="s">
        <v>43</v>
      </c>
      <c r="H752">
        <v>21</v>
      </c>
      <c r="I752" t="s">
        <v>24</v>
      </c>
      <c r="J752">
        <v>2.2000000000000002</v>
      </c>
      <c r="K752">
        <v>1</v>
      </c>
      <c r="L752" s="1">
        <v>0.83</v>
      </c>
    </row>
    <row r="753" spans="1:12" x14ac:dyDescent="0.35">
      <c r="A753" t="s">
        <v>1575</v>
      </c>
      <c r="B753" t="s">
        <v>1576</v>
      </c>
      <c r="C753" t="s">
        <v>38</v>
      </c>
      <c r="E753" t="s">
        <v>68</v>
      </c>
      <c r="F753" t="s">
        <v>69</v>
      </c>
      <c r="G753" t="s">
        <v>35</v>
      </c>
      <c r="H753">
        <v>0</v>
      </c>
      <c r="I753">
        <v>40</v>
      </c>
      <c r="K753" t="s">
        <v>71</v>
      </c>
      <c r="L753" s="1">
        <v>0.74</v>
      </c>
    </row>
    <row r="754" spans="1:12" x14ac:dyDescent="0.35">
      <c r="A754" t="s">
        <v>1577</v>
      </c>
      <c r="B754" t="s">
        <v>1578</v>
      </c>
      <c r="C754" t="s">
        <v>20</v>
      </c>
      <c r="D754">
        <v>23</v>
      </c>
      <c r="E754" t="s">
        <v>124</v>
      </c>
      <c r="F754" t="s">
        <v>22</v>
      </c>
      <c r="G754" t="s">
        <v>17</v>
      </c>
      <c r="H754">
        <v>0</v>
      </c>
      <c r="I754">
        <v>30</v>
      </c>
      <c r="J754">
        <v>1.1000000000000001</v>
      </c>
      <c r="K754" t="s">
        <v>65</v>
      </c>
      <c r="L754" s="1">
        <v>0.86</v>
      </c>
    </row>
    <row r="755" spans="1:12" x14ac:dyDescent="0.35">
      <c r="A755" t="s">
        <v>1579</v>
      </c>
      <c r="B755" t="s">
        <v>1580</v>
      </c>
      <c r="C755" t="s">
        <v>89</v>
      </c>
      <c r="D755">
        <v>51</v>
      </c>
      <c r="E755" t="s">
        <v>170</v>
      </c>
      <c r="F755" t="s">
        <v>171</v>
      </c>
      <c r="G755" t="s">
        <v>17</v>
      </c>
      <c r="H755">
        <v>17</v>
      </c>
      <c r="I755">
        <v>40</v>
      </c>
      <c r="J755">
        <v>4.5</v>
      </c>
      <c r="K755">
        <v>1</v>
      </c>
      <c r="L755" s="1">
        <v>0.72</v>
      </c>
    </row>
    <row r="756" spans="1:12" x14ac:dyDescent="0.35">
      <c r="A756" t="s">
        <v>1581</v>
      </c>
      <c r="B756" t="s">
        <v>1582</v>
      </c>
      <c r="C756" t="s">
        <v>20</v>
      </c>
      <c r="D756">
        <v>42</v>
      </c>
      <c r="E756" t="s">
        <v>131</v>
      </c>
      <c r="F756" t="s">
        <v>132</v>
      </c>
      <c r="G756" t="s">
        <v>43</v>
      </c>
      <c r="H756">
        <v>21</v>
      </c>
      <c r="J756">
        <v>2.5</v>
      </c>
      <c r="K756" t="b">
        <v>1</v>
      </c>
      <c r="L756" s="1">
        <v>0.73</v>
      </c>
    </row>
    <row r="757" spans="1:12" x14ac:dyDescent="0.35">
      <c r="A757" t="s">
        <v>1583</v>
      </c>
      <c r="B757" t="s">
        <v>1584</v>
      </c>
      <c r="C757" t="s">
        <v>59</v>
      </c>
      <c r="D757">
        <v>26</v>
      </c>
      <c r="E757" t="s">
        <v>82</v>
      </c>
      <c r="F757" t="s">
        <v>83</v>
      </c>
      <c r="G757" t="s">
        <v>49</v>
      </c>
      <c r="H757">
        <v>7</v>
      </c>
      <c r="I757" t="s">
        <v>50</v>
      </c>
      <c r="J757">
        <v>2.9</v>
      </c>
      <c r="K757">
        <v>0</v>
      </c>
      <c r="L757" s="1">
        <v>0.78</v>
      </c>
    </row>
    <row r="758" spans="1:12" x14ac:dyDescent="0.35">
      <c r="A758" t="s">
        <v>1585</v>
      </c>
      <c r="B758" t="s">
        <v>1586</v>
      </c>
      <c r="C758" t="s">
        <v>14</v>
      </c>
      <c r="D758">
        <v>49</v>
      </c>
      <c r="E758" t="s">
        <v>47</v>
      </c>
      <c r="F758" t="s">
        <v>48</v>
      </c>
      <c r="G758" t="s">
        <v>43</v>
      </c>
      <c r="H758">
        <v>22</v>
      </c>
      <c r="I758">
        <v>75</v>
      </c>
      <c r="J758">
        <v>0</v>
      </c>
      <c r="K758" t="b">
        <v>1</v>
      </c>
    </row>
    <row r="759" spans="1:12" x14ac:dyDescent="0.35">
      <c r="A759" t="s">
        <v>1587</v>
      </c>
      <c r="B759" t="s">
        <v>1588</v>
      </c>
      <c r="C759" t="s">
        <v>38</v>
      </c>
      <c r="D759">
        <v>37</v>
      </c>
      <c r="E759" t="s">
        <v>15</v>
      </c>
      <c r="F759" t="s">
        <v>16</v>
      </c>
      <c r="G759" t="s">
        <v>86</v>
      </c>
      <c r="I759" t="s">
        <v>50</v>
      </c>
      <c r="J759">
        <v>3.5</v>
      </c>
      <c r="K759" t="s">
        <v>31</v>
      </c>
      <c r="L759" s="1">
        <v>0.75</v>
      </c>
    </row>
    <row r="760" spans="1:12" x14ac:dyDescent="0.35">
      <c r="A760" t="s">
        <v>1589</v>
      </c>
      <c r="B760" t="s">
        <v>1590</v>
      </c>
      <c r="C760" t="s">
        <v>89</v>
      </c>
      <c r="D760">
        <v>31</v>
      </c>
      <c r="E760" t="s">
        <v>21</v>
      </c>
      <c r="F760" t="s">
        <v>22</v>
      </c>
      <c r="G760" t="s">
        <v>43</v>
      </c>
      <c r="H760">
        <v>1</v>
      </c>
      <c r="I760">
        <v>40</v>
      </c>
      <c r="J760">
        <v>4.5</v>
      </c>
      <c r="K760">
        <v>0</v>
      </c>
      <c r="L760" s="1">
        <v>0.96</v>
      </c>
    </row>
    <row r="761" spans="1:12" x14ac:dyDescent="0.35">
      <c r="A761" t="s">
        <v>1591</v>
      </c>
      <c r="B761" t="s">
        <v>1592</v>
      </c>
      <c r="C761" t="s">
        <v>59</v>
      </c>
      <c r="D761">
        <v>51</v>
      </c>
      <c r="E761" t="s">
        <v>109</v>
      </c>
      <c r="F761" t="s">
        <v>110</v>
      </c>
      <c r="G761" t="s">
        <v>23</v>
      </c>
      <c r="H761">
        <v>5</v>
      </c>
      <c r="I761" t="s">
        <v>53</v>
      </c>
      <c r="J761">
        <v>1.7</v>
      </c>
      <c r="K761" t="s">
        <v>65</v>
      </c>
      <c r="L761" s="1">
        <v>0.61</v>
      </c>
    </row>
    <row r="762" spans="1:12" x14ac:dyDescent="0.35">
      <c r="A762" t="s">
        <v>1593</v>
      </c>
      <c r="B762" t="s">
        <v>1594</v>
      </c>
      <c r="C762" t="s">
        <v>46</v>
      </c>
      <c r="D762">
        <v>60</v>
      </c>
      <c r="E762" t="s">
        <v>170</v>
      </c>
      <c r="F762" t="s">
        <v>171</v>
      </c>
      <c r="G762" t="s">
        <v>86</v>
      </c>
      <c r="H762">
        <v>40</v>
      </c>
      <c r="I762">
        <v>50</v>
      </c>
      <c r="J762">
        <v>4.5999999999999996</v>
      </c>
      <c r="K762" t="b">
        <v>1</v>
      </c>
      <c r="L762" s="1">
        <v>1</v>
      </c>
    </row>
    <row r="763" spans="1:12" x14ac:dyDescent="0.35">
      <c r="A763" t="s">
        <v>1595</v>
      </c>
      <c r="B763" t="s">
        <v>1596</v>
      </c>
      <c r="C763" t="s">
        <v>89</v>
      </c>
      <c r="D763">
        <v>51</v>
      </c>
      <c r="E763" t="s">
        <v>124</v>
      </c>
      <c r="F763" t="s">
        <v>22</v>
      </c>
      <c r="G763" t="s">
        <v>17</v>
      </c>
      <c r="H763">
        <v>19</v>
      </c>
      <c r="I763">
        <v>50</v>
      </c>
      <c r="K763" t="s">
        <v>71</v>
      </c>
      <c r="L763" s="1">
        <v>0.82</v>
      </c>
    </row>
    <row r="764" spans="1:12" x14ac:dyDescent="0.35">
      <c r="A764" t="s">
        <v>1597</v>
      </c>
      <c r="B764" t="s">
        <v>1598</v>
      </c>
      <c r="C764" t="s">
        <v>46</v>
      </c>
      <c r="D764">
        <v>37</v>
      </c>
      <c r="E764" t="s">
        <v>28</v>
      </c>
      <c r="F764" t="s">
        <v>29</v>
      </c>
      <c r="G764" t="s">
        <v>30</v>
      </c>
      <c r="H764">
        <v>12</v>
      </c>
      <c r="J764">
        <v>4.9000000000000004</v>
      </c>
      <c r="K764">
        <v>1</v>
      </c>
      <c r="L764" s="1">
        <v>0.8</v>
      </c>
    </row>
    <row r="765" spans="1:12" x14ac:dyDescent="0.35">
      <c r="A765" t="s">
        <v>1599</v>
      </c>
      <c r="B765" t="s">
        <v>1600</v>
      </c>
      <c r="C765" t="s">
        <v>27</v>
      </c>
      <c r="D765">
        <v>52</v>
      </c>
      <c r="E765" t="s">
        <v>90</v>
      </c>
      <c r="F765" t="s">
        <v>91</v>
      </c>
      <c r="G765" t="s">
        <v>17</v>
      </c>
      <c r="H765">
        <v>7</v>
      </c>
      <c r="I765">
        <v>40</v>
      </c>
      <c r="J765">
        <v>2.2000000000000002</v>
      </c>
      <c r="L765" s="1">
        <v>0.96</v>
      </c>
    </row>
    <row r="766" spans="1:12" x14ac:dyDescent="0.35">
      <c r="A766" t="s">
        <v>1601</v>
      </c>
      <c r="B766" t="s">
        <v>1602</v>
      </c>
      <c r="C766" t="s">
        <v>46</v>
      </c>
      <c r="D766">
        <v>27</v>
      </c>
      <c r="E766" t="s">
        <v>47</v>
      </c>
      <c r="F766" t="s">
        <v>48</v>
      </c>
      <c r="G766" t="s">
        <v>17</v>
      </c>
      <c r="H766">
        <v>4</v>
      </c>
      <c r="I766">
        <v>20</v>
      </c>
      <c r="K766">
        <v>0</v>
      </c>
      <c r="L766" s="1">
        <v>0.63</v>
      </c>
    </row>
    <row r="767" spans="1:12" x14ac:dyDescent="0.35">
      <c r="A767" t="s">
        <v>1603</v>
      </c>
      <c r="B767" t="s">
        <v>1604</v>
      </c>
      <c r="C767" t="s">
        <v>46</v>
      </c>
      <c r="D767">
        <v>48</v>
      </c>
      <c r="E767" t="s">
        <v>21</v>
      </c>
      <c r="F767" t="s">
        <v>22</v>
      </c>
      <c r="G767" t="s">
        <v>30</v>
      </c>
      <c r="H767">
        <v>24</v>
      </c>
      <c r="I767" s="2">
        <v>40</v>
      </c>
      <c r="J767">
        <v>2.2000000000000002</v>
      </c>
      <c r="K767">
        <v>0</v>
      </c>
      <c r="L767" s="1">
        <v>0.67</v>
      </c>
    </row>
    <row r="768" spans="1:12" x14ac:dyDescent="0.35">
      <c r="A768" t="s">
        <v>1605</v>
      </c>
      <c r="B768" t="s">
        <v>1606</v>
      </c>
      <c r="C768" t="s">
        <v>34</v>
      </c>
      <c r="D768">
        <v>22</v>
      </c>
      <c r="E768" t="s">
        <v>82</v>
      </c>
      <c r="F768" t="s">
        <v>83</v>
      </c>
      <c r="G768" t="s">
        <v>49</v>
      </c>
      <c r="H768">
        <v>1</v>
      </c>
      <c r="I768" t="s">
        <v>106</v>
      </c>
      <c r="J768">
        <v>3.3</v>
      </c>
      <c r="K768">
        <v>1</v>
      </c>
      <c r="L768" s="1">
        <v>0.61</v>
      </c>
    </row>
    <row r="769" spans="1:12" x14ac:dyDescent="0.35">
      <c r="A769" t="s">
        <v>1607</v>
      </c>
      <c r="B769" t="s">
        <v>1608</v>
      </c>
      <c r="C769" t="s">
        <v>20</v>
      </c>
      <c r="D769">
        <v>48</v>
      </c>
      <c r="E769" t="s">
        <v>28</v>
      </c>
      <c r="F769" t="s">
        <v>29</v>
      </c>
      <c r="G769" t="s">
        <v>23</v>
      </c>
      <c r="H769">
        <v>28</v>
      </c>
      <c r="I769" t="s">
        <v>106</v>
      </c>
      <c r="J769">
        <v>4.9000000000000004</v>
      </c>
      <c r="K769">
        <v>0</v>
      </c>
      <c r="L769" s="1">
        <v>0.77</v>
      </c>
    </row>
    <row r="770" spans="1:12" x14ac:dyDescent="0.35">
      <c r="A770" t="s">
        <v>1609</v>
      </c>
      <c r="B770" t="s">
        <v>1610</v>
      </c>
      <c r="C770" t="s">
        <v>34</v>
      </c>
      <c r="D770">
        <v>54</v>
      </c>
      <c r="E770" t="s">
        <v>56</v>
      </c>
      <c r="F770" t="s">
        <v>22</v>
      </c>
      <c r="G770" t="s">
        <v>23</v>
      </c>
      <c r="H770">
        <v>19</v>
      </c>
      <c r="I770">
        <v>75</v>
      </c>
      <c r="J770">
        <v>0</v>
      </c>
    </row>
    <row r="771" spans="1:12" x14ac:dyDescent="0.35">
      <c r="A771" t="s">
        <v>1611</v>
      </c>
      <c r="B771" t="s">
        <v>1612</v>
      </c>
      <c r="C771" t="s">
        <v>74</v>
      </c>
      <c r="D771">
        <v>52</v>
      </c>
      <c r="E771" t="s">
        <v>109</v>
      </c>
      <c r="F771" t="s">
        <v>110</v>
      </c>
      <c r="G771" t="s">
        <v>49</v>
      </c>
      <c r="H771">
        <v>4</v>
      </c>
      <c r="I771">
        <v>50</v>
      </c>
      <c r="K771" t="s">
        <v>31</v>
      </c>
      <c r="L771" s="1">
        <v>0.84</v>
      </c>
    </row>
    <row r="772" spans="1:12" x14ac:dyDescent="0.35">
      <c r="A772" t="s">
        <v>1613</v>
      </c>
      <c r="B772" t="s">
        <v>1614</v>
      </c>
      <c r="C772" t="s">
        <v>38</v>
      </c>
      <c r="D772">
        <v>39</v>
      </c>
      <c r="E772" t="s">
        <v>60</v>
      </c>
      <c r="F772" t="s">
        <v>61</v>
      </c>
      <c r="G772" t="s">
        <v>35</v>
      </c>
      <c r="H772">
        <v>20</v>
      </c>
      <c r="I772" t="s">
        <v>24</v>
      </c>
      <c r="K772" t="s">
        <v>71</v>
      </c>
      <c r="L772" s="1">
        <v>0.89</v>
      </c>
    </row>
    <row r="773" spans="1:12" x14ac:dyDescent="0.35">
      <c r="A773" t="s">
        <v>1615</v>
      </c>
      <c r="B773" t="s">
        <v>1616</v>
      </c>
      <c r="C773" t="s">
        <v>14</v>
      </c>
      <c r="D773">
        <v>54</v>
      </c>
      <c r="E773" t="s">
        <v>120</v>
      </c>
      <c r="F773" t="s">
        <v>121</v>
      </c>
      <c r="G773" t="s">
        <v>23</v>
      </c>
      <c r="H773">
        <v>19</v>
      </c>
      <c r="I773" t="s">
        <v>106</v>
      </c>
      <c r="J773">
        <v>4</v>
      </c>
      <c r="L773" s="1">
        <v>0.9</v>
      </c>
    </row>
    <row r="774" spans="1:12" x14ac:dyDescent="0.35">
      <c r="A774" t="s">
        <v>1617</v>
      </c>
      <c r="B774" t="s">
        <v>1618</v>
      </c>
      <c r="C774" t="s">
        <v>74</v>
      </c>
      <c r="D774">
        <v>22</v>
      </c>
      <c r="E774" t="s">
        <v>56</v>
      </c>
      <c r="F774" t="s">
        <v>22</v>
      </c>
      <c r="G774" t="s">
        <v>75</v>
      </c>
      <c r="H774">
        <v>1</v>
      </c>
      <c r="I774">
        <v>20</v>
      </c>
      <c r="J774">
        <v>4.8</v>
      </c>
      <c r="K774" t="b">
        <v>0</v>
      </c>
      <c r="L774" s="1">
        <v>0.87</v>
      </c>
    </row>
    <row r="775" spans="1:12" x14ac:dyDescent="0.35">
      <c r="A775" t="s">
        <v>1619</v>
      </c>
      <c r="B775" t="s">
        <v>1620</v>
      </c>
      <c r="C775" t="s">
        <v>20</v>
      </c>
      <c r="D775">
        <v>29</v>
      </c>
      <c r="E775" t="s">
        <v>149</v>
      </c>
      <c r="F775" t="s">
        <v>150</v>
      </c>
      <c r="G775" t="s">
        <v>23</v>
      </c>
      <c r="H775">
        <v>8</v>
      </c>
      <c r="I775">
        <v>50</v>
      </c>
      <c r="J775">
        <v>0</v>
      </c>
      <c r="K775">
        <v>0</v>
      </c>
      <c r="L775" s="1">
        <v>0.77</v>
      </c>
    </row>
    <row r="776" spans="1:12" x14ac:dyDescent="0.35">
      <c r="A776" t="s">
        <v>1621</v>
      </c>
      <c r="B776" t="s">
        <v>1622</v>
      </c>
      <c r="C776" t="s">
        <v>89</v>
      </c>
      <c r="D776">
        <v>23</v>
      </c>
      <c r="E776" t="s">
        <v>185</v>
      </c>
      <c r="F776" t="s">
        <v>69</v>
      </c>
      <c r="G776" t="s">
        <v>86</v>
      </c>
      <c r="H776">
        <v>3</v>
      </c>
      <c r="I776" t="s">
        <v>106</v>
      </c>
      <c r="J776">
        <v>1.6</v>
      </c>
      <c r="K776" t="s">
        <v>71</v>
      </c>
      <c r="L776" s="1">
        <v>0.72</v>
      </c>
    </row>
    <row r="777" spans="1:12" x14ac:dyDescent="0.35">
      <c r="A777" t="s">
        <v>1623</v>
      </c>
      <c r="B777" t="s">
        <v>1624</v>
      </c>
      <c r="C777" t="s">
        <v>34</v>
      </c>
      <c r="D777">
        <v>58</v>
      </c>
      <c r="E777" t="s">
        <v>174</v>
      </c>
      <c r="F777" t="s">
        <v>69</v>
      </c>
      <c r="G777" t="s">
        <v>86</v>
      </c>
      <c r="H777">
        <v>30</v>
      </c>
      <c r="I777">
        <v>50</v>
      </c>
      <c r="J777">
        <v>1.3</v>
      </c>
      <c r="K777" t="s">
        <v>65</v>
      </c>
      <c r="L777" s="1">
        <v>0.87</v>
      </c>
    </row>
    <row r="778" spans="1:12" x14ac:dyDescent="0.35">
      <c r="A778" t="s">
        <v>1625</v>
      </c>
      <c r="B778" t="s">
        <v>1626</v>
      </c>
      <c r="C778" t="s">
        <v>14</v>
      </c>
      <c r="D778">
        <v>56</v>
      </c>
      <c r="E778" t="s">
        <v>170</v>
      </c>
      <c r="F778" t="s">
        <v>171</v>
      </c>
      <c r="G778" t="s">
        <v>17</v>
      </c>
      <c r="H778">
        <v>3</v>
      </c>
      <c r="I778">
        <v>40</v>
      </c>
      <c r="J778">
        <v>4.0999999999999996</v>
      </c>
      <c r="K778" t="b">
        <v>1</v>
      </c>
      <c r="L778" s="1">
        <v>0.89</v>
      </c>
    </row>
    <row r="779" spans="1:12" x14ac:dyDescent="0.35">
      <c r="A779" t="s">
        <v>1627</v>
      </c>
      <c r="B779" t="s">
        <v>1628</v>
      </c>
      <c r="C779" t="s">
        <v>89</v>
      </c>
      <c r="D779">
        <v>48</v>
      </c>
      <c r="E779" t="s">
        <v>60</v>
      </c>
      <c r="F779" t="s">
        <v>61</v>
      </c>
      <c r="G779" t="s">
        <v>35</v>
      </c>
      <c r="H779">
        <v>19</v>
      </c>
      <c r="I779">
        <v>40</v>
      </c>
      <c r="J779">
        <v>1.5</v>
      </c>
      <c r="K779">
        <v>0</v>
      </c>
      <c r="L779" s="1">
        <v>0.87</v>
      </c>
    </row>
    <row r="780" spans="1:12" x14ac:dyDescent="0.35">
      <c r="A780" t="s">
        <v>1629</v>
      </c>
      <c r="B780" t="s">
        <v>1630</v>
      </c>
      <c r="C780" t="s">
        <v>74</v>
      </c>
      <c r="D780">
        <v>31</v>
      </c>
      <c r="E780" t="s">
        <v>120</v>
      </c>
      <c r="F780" t="s">
        <v>121</v>
      </c>
      <c r="G780" t="s">
        <v>23</v>
      </c>
      <c r="H780">
        <v>11</v>
      </c>
      <c r="I780" t="s">
        <v>53</v>
      </c>
      <c r="J780">
        <v>4.3</v>
      </c>
      <c r="K780" t="s">
        <v>71</v>
      </c>
      <c r="L780" s="1">
        <v>0.76</v>
      </c>
    </row>
    <row r="781" spans="1:12" x14ac:dyDescent="0.35">
      <c r="A781" t="s">
        <v>1631</v>
      </c>
      <c r="B781" t="s">
        <v>1632</v>
      </c>
      <c r="C781" t="s">
        <v>89</v>
      </c>
      <c r="D781">
        <v>44</v>
      </c>
      <c r="E781" t="s">
        <v>21</v>
      </c>
      <c r="F781" t="s">
        <v>22</v>
      </c>
      <c r="G781" t="s">
        <v>111</v>
      </c>
      <c r="H781">
        <v>26</v>
      </c>
      <c r="I781">
        <v>50</v>
      </c>
      <c r="J781">
        <v>1.6</v>
      </c>
      <c r="L781" s="1">
        <v>1</v>
      </c>
    </row>
    <row r="782" spans="1:12" x14ac:dyDescent="0.35">
      <c r="A782" t="s">
        <v>1633</v>
      </c>
      <c r="B782" t="s">
        <v>1634</v>
      </c>
      <c r="C782" t="s">
        <v>34</v>
      </c>
      <c r="D782">
        <v>42</v>
      </c>
      <c r="E782" t="s">
        <v>135</v>
      </c>
      <c r="F782" t="s">
        <v>136</v>
      </c>
      <c r="G782" t="s">
        <v>23</v>
      </c>
      <c r="H782">
        <v>10</v>
      </c>
      <c r="I782">
        <v>100</v>
      </c>
      <c r="J782">
        <v>3.7</v>
      </c>
      <c r="K782" t="s">
        <v>71</v>
      </c>
      <c r="L782" s="1">
        <v>0.94</v>
      </c>
    </row>
    <row r="783" spans="1:12" x14ac:dyDescent="0.35">
      <c r="A783" t="s">
        <v>1635</v>
      </c>
      <c r="B783" t="s">
        <v>1636</v>
      </c>
      <c r="C783" t="s">
        <v>94</v>
      </c>
      <c r="D783">
        <v>59</v>
      </c>
      <c r="E783" t="s">
        <v>56</v>
      </c>
      <c r="F783" t="s">
        <v>22</v>
      </c>
      <c r="G783" t="s">
        <v>75</v>
      </c>
      <c r="H783">
        <v>17</v>
      </c>
      <c r="I783">
        <v>50</v>
      </c>
      <c r="J783">
        <v>1.4</v>
      </c>
      <c r="K783" t="s">
        <v>65</v>
      </c>
    </row>
    <row r="784" spans="1:12" x14ac:dyDescent="0.35">
      <c r="A784" t="s">
        <v>1637</v>
      </c>
      <c r="B784" t="s">
        <v>1638</v>
      </c>
      <c r="C784" t="s">
        <v>34</v>
      </c>
      <c r="E784" t="s">
        <v>68</v>
      </c>
      <c r="F784" t="s">
        <v>69</v>
      </c>
      <c r="G784" t="s">
        <v>17</v>
      </c>
      <c r="H784">
        <v>9</v>
      </c>
      <c r="I784" s="2">
        <v>100</v>
      </c>
      <c r="J784">
        <v>4.5</v>
      </c>
      <c r="K784" t="s">
        <v>71</v>
      </c>
      <c r="L784">
        <v>83</v>
      </c>
    </row>
    <row r="785" spans="1:12" x14ac:dyDescent="0.35">
      <c r="A785" t="s">
        <v>1639</v>
      </c>
      <c r="B785" t="s">
        <v>1640</v>
      </c>
      <c r="C785" t="s">
        <v>89</v>
      </c>
      <c r="D785">
        <v>21</v>
      </c>
      <c r="E785" t="s">
        <v>170</v>
      </c>
      <c r="F785" t="s">
        <v>171</v>
      </c>
      <c r="G785" t="s">
        <v>49</v>
      </c>
      <c r="H785">
        <v>0</v>
      </c>
      <c r="I785" t="s">
        <v>53</v>
      </c>
      <c r="J785">
        <v>3.7</v>
      </c>
      <c r="K785">
        <v>0</v>
      </c>
      <c r="L785" s="1">
        <v>0.74</v>
      </c>
    </row>
    <row r="786" spans="1:12" x14ac:dyDescent="0.35">
      <c r="A786" t="s">
        <v>1641</v>
      </c>
      <c r="B786" t="s">
        <v>1642</v>
      </c>
      <c r="C786" t="s">
        <v>94</v>
      </c>
      <c r="D786">
        <v>53</v>
      </c>
      <c r="E786" t="s">
        <v>64</v>
      </c>
      <c r="F786" t="s">
        <v>22</v>
      </c>
      <c r="G786" t="s">
        <v>86</v>
      </c>
      <c r="H786">
        <v>5</v>
      </c>
      <c r="I786">
        <v>75</v>
      </c>
      <c r="J786">
        <v>1.1000000000000001</v>
      </c>
      <c r="K786">
        <v>0</v>
      </c>
      <c r="L786">
        <v>92</v>
      </c>
    </row>
    <row r="787" spans="1:12" x14ac:dyDescent="0.35">
      <c r="A787" t="s">
        <v>1643</v>
      </c>
      <c r="B787" t="s">
        <v>1644</v>
      </c>
      <c r="C787" t="s">
        <v>89</v>
      </c>
      <c r="D787">
        <v>35</v>
      </c>
      <c r="E787" t="s">
        <v>68</v>
      </c>
      <c r="F787" t="s">
        <v>69</v>
      </c>
      <c r="G787" t="s">
        <v>23</v>
      </c>
      <c r="H787">
        <v>15</v>
      </c>
      <c r="J787">
        <v>3.7</v>
      </c>
      <c r="K787" t="b">
        <v>0</v>
      </c>
      <c r="L787" s="1">
        <v>0.66</v>
      </c>
    </row>
    <row r="788" spans="1:12" x14ac:dyDescent="0.35">
      <c r="A788" t="s">
        <v>1645</v>
      </c>
      <c r="B788" t="s">
        <v>1646</v>
      </c>
      <c r="C788" t="s">
        <v>74</v>
      </c>
      <c r="D788">
        <v>25</v>
      </c>
      <c r="E788" t="s">
        <v>104</v>
      </c>
      <c r="F788" t="s">
        <v>105</v>
      </c>
      <c r="G788" t="s">
        <v>111</v>
      </c>
      <c r="H788">
        <v>3</v>
      </c>
      <c r="I788" s="2">
        <v>50</v>
      </c>
      <c r="J788">
        <v>3.2</v>
      </c>
      <c r="K788" t="b">
        <v>1</v>
      </c>
      <c r="L788" s="1">
        <v>0.74</v>
      </c>
    </row>
    <row r="789" spans="1:12" x14ac:dyDescent="0.35">
      <c r="A789" t="s">
        <v>1647</v>
      </c>
      <c r="B789" t="s">
        <v>1648</v>
      </c>
      <c r="C789" t="s">
        <v>38</v>
      </c>
      <c r="D789">
        <v>23</v>
      </c>
      <c r="E789" t="s">
        <v>15</v>
      </c>
      <c r="F789" t="s">
        <v>16</v>
      </c>
      <c r="G789" t="s">
        <v>70</v>
      </c>
      <c r="H789">
        <v>1</v>
      </c>
      <c r="I789">
        <v>30</v>
      </c>
      <c r="J789">
        <v>5</v>
      </c>
      <c r="K789" t="s">
        <v>31</v>
      </c>
      <c r="L789" s="1">
        <v>0.97</v>
      </c>
    </row>
    <row r="790" spans="1:12" x14ac:dyDescent="0.35">
      <c r="A790" t="s">
        <v>1649</v>
      </c>
      <c r="B790" t="s">
        <v>1650</v>
      </c>
      <c r="C790" t="s">
        <v>34</v>
      </c>
      <c r="D790">
        <v>56</v>
      </c>
      <c r="E790" t="s">
        <v>135</v>
      </c>
      <c r="F790" t="s">
        <v>136</v>
      </c>
      <c r="G790" t="s">
        <v>30</v>
      </c>
      <c r="H790">
        <v>13</v>
      </c>
      <c r="I790">
        <v>30</v>
      </c>
      <c r="J790">
        <v>0</v>
      </c>
      <c r="L790">
        <v>77</v>
      </c>
    </row>
    <row r="791" spans="1:12" x14ac:dyDescent="0.35">
      <c r="A791" t="s">
        <v>1651</v>
      </c>
      <c r="B791" t="s">
        <v>1652</v>
      </c>
      <c r="C791" t="s">
        <v>38</v>
      </c>
      <c r="D791">
        <v>31</v>
      </c>
      <c r="E791" t="s">
        <v>174</v>
      </c>
      <c r="F791" t="s">
        <v>69</v>
      </c>
      <c r="G791" t="s">
        <v>70</v>
      </c>
      <c r="H791">
        <v>6</v>
      </c>
      <c r="J791">
        <v>3.5</v>
      </c>
      <c r="K791" t="s">
        <v>155</v>
      </c>
      <c r="L791" s="1">
        <v>0.86</v>
      </c>
    </row>
    <row r="792" spans="1:12" x14ac:dyDescent="0.35">
      <c r="A792" t="s">
        <v>1653</v>
      </c>
      <c r="B792" t="s">
        <v>1654</v>
      </c>
      <c r="C792" t="s">
        <v>89</v>
      </c>
      <c r="D792">
        <v>24</v>
      </c>
      <c r="E792" t="s">
        <v>56</v>
      </c>
      <c r="F792" t="s">
        <v>22</v>
      </c>
      <c r="G792" t="s">
        <v>75</v>
      </c>
      <c r="H792">
        <v>4</v>
      </c>
      <c r="I792">
        <v>50</v>
      </c>
      <c r="J792">
        <v>3.1</v>
      </c>
      <c r="K792" t="b">
        <v>0</v>
      </c>
      <c r="L792" s="1">
        <v>0.95</v>
      </c>
    </row>
    <row r="793" spans="1:12" x14ac:dyDescent="0.35">
      <c r="A793" t="s">
        <v>1655</v>
      </c>
      <c r="B793" t="s">
        <v>1656</v>
      </c>
      <c r="C793" t="s">
        <v>20</v>
      </c>
      <c r="D793">
        <v>35</v>
      </c>
      <c r="E793" t="s">
        <v>104</v>
      </c>
      <c r="F793" t="s">
        <v>105</v>
      </c>
      <c r="G793" t="s">
        <v>75</v>
      </c>
      <c r="H793">
        <v>7</v>
      </c>
      <c r="J793">
        <v>3.9</v>
      </c>
      <c r="K793">
        <v>0</v>
      </c>
      <c r="L793" s="1">
        <v>0.72</v>
      </c>
    </row>
    <row r="794" spans="1:12" x14ac:dyDescent="0.35">
      <c r="A794" t="s">
        <v>1657</v>
      </c>
      <c r="B794" t="s">
        <v>1658</v>
      </c>
      <c r="C794" t="s">
        <v>20</v>
      </c>
      <c r="D794">
        <v>20</v>
      </c>
      <c r="E794" t="s">
        <v>185</v>
      </c>
      <c r="F794" t="s">
        <v>69</v>
      </c>
      <c r="G794" t="s">
        <v>43</v>
      </c>
      <c r="H794">
        <v>1</v>
      </c>
      <c r="J794">
        <v>3.5</v>
      </c>
      <c r="K794">
        <v>0</v>
      </c>
      <c r="L794" s="1">
        <v>0.71</v>
      </c>
    </row>
    <row r="795" spans="1:12" x14ac:dyDescent="0.35">
      <c r="A795" t="s">
        <v>1659</v>
      </c>
      <c r="B795" t="s">
        <v>1660</v>
      </c>
      <c r="C795" t="s">
        <v>94</v>
      </c>
      <c r="D795">
        <v>26</v>
      </c>
      <c r="E795" t="s">
        <v>21</v>
      </c>
      <c r="F795" t="s">
        <v>22</v>
      </c>
      <c r="G795" t="s">
        <v>49</v>
      </c>
      <c r="H795">
        <v>5</v>
      </c>
      <c r="I795" s="2">
        <v>100</v>
      </c>
      <c r="J795">
        <v>2.5</v>
      </c>
      <c r="K795" t="b">
        <v>1</v>
      </c>
      <c r="L795" s="1">
        <v>0.93</v>
      </c>
    </row>
    <row r="796" spans="1:12" x14ac:dyDescent="0.35">
      <c r="A796" t="s">
        <v>1661</v>
      </c>
      <c r="B796" t="s">
        <v>1662</v>
      </c>
      <c r="C796" t="s">
        <v>89</v>
      </c>
      <c r="D796">
        <v>54</v>
      </c>
      <c r="E796" t="s">
        <v>64</v>
      </c>
      <c r="F796" t="s">
        <v>22</v>
      </c>
      <c r="G796" t="s">
        <v>86</v>
      </c>
      <c r="H796">
        <v>29</v>
      </c>
      <c r="I796" t="s">
        <v>53</v>
      </c>
      <c r="J796">
        <v>3.1</v>
      </c>
      <c r="K796">
        <v>1</v>
      </c>
    </row>
    <row r="797" spans="1:12" x14ac:dyDescent="0.35">
      <c r="A797" t="s">
        <v>1663</v>
      </c>
      <c r="B797" t="s">
        <v>1664</v>
      </c>
      <c r="C797" t="s">
        <v>46</v>
      </c>
      <c r="D797">
        <v>53</v>
      </c>
      <c r="E797" t="s">
        <v>120</v>
      </c>
      <c r="F797" t="s">
        <v>121</v>
      </c>
      <c r="G797" t="s">
        <v>75</v>
      </c>
      <c r="H797">
        <v>12</v>
      </c>
      <c r="I797">
        <v>100</v>
      </c>
      <c r="J797">
        <v>4.7</v>
      </c>
      <c r="K797">
        <v>1</v>
      </c>
      <c r="L797" s="1">
        <v>0.87</v>
      </c>
    </row>
    <row r="798" spans="1:12" x14ac:dyDescent="0.35">
      <c r="A798" t="s">
        <v>1665</v>
      </c>
      <c r="B798" t="s">
        <v>1666</v>
      </c>
      <c r="C798" t="s">
        <v>74</v>
      </c>
      <c r="D798">
        <v>33</v>
      </c>
      <c r="E798" t="s">
        <v>124</v>
      </c>
      <c r="F798" t="s">
        <v>22</v>
      </c>
      <c r="G798" t="s">
        <v>86</v>
      </c>
      <c r="H798">
        <v>4</v>
      </c>
      <c r="J798">
        <v>1.9</v>
      </c>
      <c r="K798" t="b">
        <v>0</v>
      </c>
      <c r="L798">
        <v>73</v>
      </c>
    </row>
    <row r="799" spans="1:12" x14ac:dyDescent="0.35">
      <c r="A799" t="s">
        <v>1667</v>
      </c>
      <c r="B799" t="s">
        <v>1668</v>
      </c>
      <c r="C799" t="s">
        <v>46</v>
      </c>
      <c r="D799">
        <v>43</v>
      </c>
      <c r="E799" t="s">
        <v>41</v>
      </c>
      <c r="F799" t="s">
        <v>42</v>
      </c>
      <c r="G799" t="s">
        <v>35</v>
      </c>
      <c r="H799">
        <v>12</v>
      </c>
      <c r="J799">
        <v>1.6</v>
      </c>
      <c r="K799">
        <v>1</v>
      </c>
      <c r="L799" s="1">
        <v>0.74</v>
      </c>
    </row>
    <row r="800" spans="1:12" x14ac:dyDescent="0.35">
      <c r="A800" t="s">
        <v>1669</v>
      </c>
      <c r="B800" t="s">
        <v>1670</v>
      </c>
      <c r="C800" t="s">
        <v>89</v>
      </c>
      <c r="D800">
        <v>37</v>
      </c>
      <c r="E800" t="s">
        <v>124</v>
      </c>
      <c r="F800" t="s">
        <v>22</v>
      </c>
      <c r="G800" t="s">
        <v>86</v>
      </c>
      <c r="H800">
        <v>3</v>
      </c>
      <c r="I800">
        <v>20</v>
      </c>
      <c r="J800">
        <v>2.5</v>
      </c>
      <c r="K800" t="s">
        <v>31</v>
      </c>
      <c r="L800" s="1">
        <v>0.62</v>
      </c>
    </row>
    <row r="801" spans="1:12" x14ac:dyDescent="0.35">
      <c r="A801" t="s">
        <v>1671</v>
      </c>
      <c r="B801" t="s">
        <v>1672</v>
      </c>
      <c r="C801" t="s">
        <v>38</v>
      </c>
      <c r="D801">
        <v>58</v>
      </c>
      <c r="E801" t="s">
        <v>131</v>
      </c>
      <c r="F801" t="s">
        <v>132</v>
      </c>
      <c r="G801" t="s">
        <v>49</v>
      </c>
      <c r="H801">
        <v>15</v>
      </c>
      <c r="I801">
        <v>20</v>
      </c>
      <c r="J801">
        <v>3.5</v>
      </c>
      <c r="L801" s="1">
        <v>0.98</v>
      </c>
    </row>
    <row r="802" spans="1:12" x14ac:dyDescent="0.35">
      <c r="A802" t="s">
        <v>1673</v>
      </c>
      <c r="B802" t="s">
        <v>1674</v>
      </c>
      <c r="C802" t="s">
        <v>20</v>
      </c>
      <c r="D802">
        <v>39</v>
      </c>
      <c r="E802" t="s">
        <v>185</v>
      </c>
      <c r="F802" t="s">
        <v>69</v>
      </c>
      <c r="G802" t="s">
        <v>23</v>
      </c>
      <c r="H802">
        <v>15</v>
      </c>
      <c r="I802">
        <v>50</v>
      </c>
      <c r="K802">
        <v>0</v>
      </c>
      <c r="L802" s="1">
        <v>0.8</v>
      </c>
    </row>
    <row r="803" spans="1:12" x14ac:dyDescent="0.35">
      <c r="A803" t="s">
        <v>1675</v>
      </c>
      <c r="B803" t="s">
        <v>1676</v>
      </c>
      <c r="C803" t="s">
        <v>27</v>
      </c>
      <c r="D803">
        <v>43</v>
      </c>
      <c r="E803" t="s">
        <v>60</v>
      </c>
      <c r="F803" t="s">
        <v>61</v>
      </c>
      <c r="G803" t="s">
        <v>30</v>
      </c>
      <c r="H803">
        <v>13</v>
      </c>
      <c r="I803" t="s">
        <v>308</v>
      </c>
      <c r="J803">
        <v>1.2</v>
      </c>
      <c r="K803" t="s">
        <v>71</v>
      </c>
      <c r="L803">
        <v>69</v>
      </c>
    </row>
    <row r="804" spans="1:12" x14ac:dyDescent="0.35">
      <c r="A804" t="s">
        <v>1677</v>
      </c>
      <c r="B804" t="s">
        <v>1678</v>
      </c>
      <c r="C804" t="s">
        <v>74</v>
      </c>
      <c r="D804">
        <v>40</v>
      </c>
      <c r="E804" t="s">
        <v>185</v>
      </c>
      <c r="F804" t="s">
        <v>69</v>
      </c>
      <c r="G804" t="s">
        <v>17</v>
      </c>
      <c r="H804">
        <v>20</v>
      </c>
      <c r="I804" t="s">
        <v>106</v>
      </c>
      <c r="K804" t="b">
        <v>0</v>
      </c>
      <c r="L804">
        <v>90</v>
      </c>
    </row>
    <row r="805" spans="1:12" x14ac:dyDescent="0.35">
      <c r="A805" t="s">
        <v>1679</v>
      </c>
      <c r="B805" t="s">
        <v>1680</v>
      </c>
      <c r="C805" t="s">
        <v>14</v>
      </c>
      <c r="D805">
        <v>51</v>
      </c>
      <c r="E805" t="s">
        <v>64</v>
      </c>
      <c r="F805" t="s">
        <v>22</v>
      </c>
      <c r="G805" t="s">
        <v>111</v>
      </c>
      <c r="H805">
        <v>30</v>
      </c>
      <c r="I805">
        <v>75</v>
      </c>
      <c r="K805" t="b">
        <v>1</v>
      </c>
      <c r="L805" s="1">
        <v>0.74</v>
      </c>
    </row>
    <row r="806" spans="1:12" x14ac:dyDescent="0.35">
      <c r="A806" t="s">
        <v>1681</v>
      </c>
      <c r="B806" t="s">
        <v>1682</v>
      </c>
      <c r="C806" t="s">
        <v>27</v>
      </c>
      <c r="D806">
        <v>23</v>
      </c>
      <c r="E806" t="s">
        <v>28</v>
      </c>
      <c r="F806" t="s">
        <v>29</v>
      </c>
      <c r="G806" t="s">
        <v>43</v>
      </c>
      <c r="H806">
        <v>4</v>
      </c>
      <c r="I806">
        <v>50</v>
      </c>
      <c r="J806">
        <v>4.5</v>
      </c>
      <c r="K806" t="s">
        <v>31</v>
      </c>
      <c r="L806" s="1">
        <v>0.98</v>
      </c>
    </row>
    <row r="807" spans="1:12" x14ac:dyDescent="0.35">
      <c r="A807" t="s">
        <v>1683</v>
      </c>
      <c r="B807" t="s">
        <v>1684</v>
      </c>
      <c r="C807" t="s">
        <v>14</v>
      </c>
      <c r="D807">
        <v>31</v>
      </c>
      <c r="E807" t="s">
        <v>47</v>
      </c>
      <c r="F807" t="s">
        <v>48</v>
      </c>
      <c r="G807" t="s">
        <v>30</v>
      </c>
      <c r="I807" t="s">
        <v>308</v>
      </c>
      <c r="K807" t="s">
        <v>71</v>
      </c>
      <c r="L807" s="1">
        <v>0.84</v>
      </c>
    </row>
    <row r="808" spans="1:12" x14ac:dyDescent="0.35">
      <c r="A808" t="s">
        <v>1685</v>
      </c>
      <c r="B808" t="s">
        <v>1686</v>
      </c>
      <c r="C808" t="s">
        <v>20</v>
      </c>
      <c r="D808">
        <v>44</v>
      </c>
      <c r="E808" t="s">
        <v>120</v>
      </c>
      <c r="F808" t="s">
        <v>121</v>
      </c>
      <c r="G808" t="s">
        <v>35</v>
      </c>
      <c r="H808">
        <v>3</v>
      </c>
      <c r="I808" s="2">
        <v>20</v>
      </c>
      <c r="J808">
        <v>5</v>
      </c>
      <c r="K808" t="s">
        <v>65</v>
      </c>
      <c r="L808" s="1">
        <v>0.75</v>
      </c>
    </row>
    <row r="809" spans="1:12" x14ac:dyDescent="0.35">
      <c r="A809" t="s">
        <v>1687</v>
      </c>
      <c r="B809" t="s">
        <v>1688</v>
      </c>
      <c r="C809" t="s">
        <v>94</v>
      </c>
      <c r="D809">
        <v>56</v>
      </c>
      <c r="E809" t="s">
        <v>28</v>
      </c>
      <c r="F809" t="s">
        <v>29</v>
      </c>
      <c r="G809" t="s">
        <v>23</v>
      </c>
      <c r="H809">
        <v>23</v>
      </c>
      <c r="I809">
        <v>75</v>
      </c>
      <c r="J809">
        <v>3.9</v>
      </c>
      <c r="K809">
        <v>1</v>
      </c>
    </row>
    <row r="810" spans="1:12" x14ac:dyDescent="0.35">
      <c r="A810" t="s">
        <v>1689</v>
      </c>
      <c r="B810" t="s">
        <v>1690</v>
      </c>
      <c r="C810" t="s">
        <v>20</v>
      </c>
      <c r="D810">
        <v>48</v>
      </c>
      <c r="E810" t="s">
        <v>21</v>
      </c>
      <c r="F810" t="s">
        <v>22</v>
      </c>
      <c r="G810" t="s">
        <v>75</v>
      </c>
      <c r="H810">
        <v>5</v>
      </c>
      <c r="I810" s="2">
        <v>100</v>
      </c>
      <c r="J810">
        <v>1.8</v>
      </c>
      <c r="K810" t="b">
        <v>1</v>
      </c>
      <c r="L810" s="1">
        <v>0.97</v>
      </c>
    </row>
    <row r="811" spans="1:12" x14ac:dyDescent="0.35">
      <c r="A811" t="s">
        <v>1691</v>
      </c>
      <c r="B811" t="s">
        <v>1692</v>
      </c>
      <c r="C811" t="s">
        <v>14</v>
      </c>
      <c r="D811">
        <v>46</v>
      </c>
      <c r="E811" t="s">
        <v>120</v>
      </c>
      <c r="F811" t="s">
        <v>121</v>
      </c>
      <c r="G811" t="s">
        <v>35</v>
      </c>
      <c r="H811">
        <v>28</v>
      </c>
      <c r="I811">
        <v>30</v>
      </c>
      <c r="J811">
        <v>4.2</v>
      </c>
      <c r="K811" t="b">
        <v>1</v>
      </c>
    </row>
    <row r="812" spans="1:12" x14ac:dyDescent="0.35">
      <c r="A812" t="s">
        <v>1693</v>
      </c>
      <c r="B812" t="s">
        <v>1694</v>
      </c>
      <c r="C812" t="s">
        <v>89</v>
      </c>
      <c r="D812">
        <v>21</v>
      </c>
      <c r="E812" t="s">
        <v>135</v>
      </c>
      <c r="F812" t="s">
        <v>136</v>
      </c>
      <c r="G812" t="s">
        <v>43</v>
      </c>
      <c r="H812">
        <v>0</v>
      </c>
      <c r="I812">
        <v>20</v>
      </c>
      <c r="J812">
        <v>2.6</v>
      </c>
      <c r="K812" t="s">
        <v>155</v>
      </c>
      <c r="L812" s="1">
        <v>0.64</v>
      </c>
    </row>
    <row r="813" spans="1:12" x14ac:dyDescent="0.35">
      <c r="A813" t="s">
        <v>1695</v>
      </c>
      <c r="B813" t="s">
        <v>1696</v>
      </c>
      <c r="C813" t="s">
        <v>46</v>
      </c>
      <c r="D813">
        <v>52</v>
      </c>
      <c r="E813" t="s">
        <v>120</v>
      </c>
      <c r="F813" t="s">
        <v>121</v>
      </c>
      <c r="G813" t="s">
        <v>49</v>
      </c>
      <c r="H813">
        <v>30</v>
      </c>
      <c r="I813">
        <v>30</v>
      </c>
      <c r="J813">
        <v>2</v>
      </c>
      <c r="K813">
        <v>1</v>
      </c>
      <c r="L813" s="1">
        <v>0.68</v>
      </c>
    </row>
    <row r="814" spans="1:12" x14ac:dyDescent="0.35">
      <c r="A814" t="s">
        <v>1697</v>
      </c>
      <c r="B814" t="s">
        <v>1698</v>
      </c>
      <c r="C814" t="s">
        <v>14</v>
      </c>
      <c r="D814">
        <v>39</v>
      </c>
      <c r="E814" t="s">
        <v>120</v>
      </c>
      <c r="F814" t="s">
        <v>121</v>
      </c>
      <c r="G814" t="s">
        <v>30</v>
      </c>
      <c r="H814">
        <v>20</v>
      </c>
      <c r="I814" s="2">
        <v>75</v>
      </c>
      <c r="J814">
        <v>2.7</v>
      </c>
      <c r="K814">
        <v>1</v>
      </c>
      <c r="L814" s="1">
        <v>0.67</v>
      </c>
    </row>
    <row r="815" spans="1:12" x14ac:dyDescent="0.35">
      <c r="A815" t="s">
        <v>1699</v>
      </c>
      <c r="B815" t="s">
        <v>1700</v>
      </c>
      <c r="C815" t="s">
        <v>14</v>
      </c>
      <c r="D815">
        <v>31</v>
      </c>
      <c r="E815" t="s">
        <v>21</v>
      </c>
      <c r="F815" t="s">
        <v>22</v>
      </c>
      <c r="G815" t="s">
        <v>23</v>
      </c>
      <c r="H815">
        <v>0</v>
      </c>
      <c r="I815">
        <v>30</v>
      </c>
      <c r="J815">
        <v>2.2999999999999998</v>
      </c>
      <c r="K815" t="s">
        <v>155</v>
      </c>
      <c r="L815" s="1">
        <v>0.79</v>
      </c>
    </row>
    <row r="816" spans="1:12" x14ac:dyDescent="0.35">
      <c r="A816" t="s">
        <v>1701</v>
      </c>
      <c r="B816" t="s">
        <v>1702</v>
      </c>
      <c r="C816" t="s">
        <v>46</v>
      </c>
      <c r="D816">
        <v>22</v>
      </c>
      <c r="E816" t="s">
        <v>109</v>
      </c>
      <c r="F816" t="s">
        <v>110</v>
      </c>
      <c r="G816" t="s">
        <v>70</v>
      </c>
      <c r="H816">
        <v>4</v>
      </c>
      <c r="I816" s="2">
        <v>40</v>
      </c>
      <c r="J816">
        <v>3.8</v>
      </c>
      <c r="K816" t="b">
        <v>1</v>
      </c>
      <c r="L816" s="1">
        <v>1</v>
      </c>
    </row>
    <row r="817" spans="1:12" x14ac:dyDescent="0.35">
      <c r="A817" t="s">
        <v>1703</v>
      </c>
      <c r="B817" t="s">
        <v>1704</v>
      </c>
      <c r="C817" t="s">
        <v>14</v>
      </c>
      <c r="D817">
        <v>38</v>
      </c>
      <c r="E817" t="s">
        <v>64</v>
      </c>
      <c r="F817" t="s">
        <v>22</v>
      </c>
      <c r="G817" t="s">
        <v>70</v>
      </c>
      <c r="H817">
        <v>10</v>
      </c>
      <c r="I817">
        <v>40</v>
      </c>
      <c r="K817" t="s">
        <v>31</v>
      </c>
      <c r="L817" s="1">
        <v>0.66</v>
      </c>
    </row>
    <row r="818" spans="1:12" x14ac:dyDescent="0.35">
      <c r="A818" t="s">
        <v>1705</v>
      </c>
      <c r="B818" t="s">
        <v>1706</v>
      </c>
      <c r="C818" t="s">
        <v>94</v>
      </c>
      <c r="D818">
        <v>44</v>
      </c>
      <c r="E818" t="s">
        <v>68</v>
      </c>
      <c r="F818" t="s">
        <v>69</v>
      </c>
      <c r="G818" t="s">
        <v>30</v>
      </c>
      <c r="H818">
        <v>24</v>
      </c>
      <c r="I818" t="s">
        <v>50</v>
      </c>
      <c r="J818">
        <v>4.5999999999999996</v>
      </c>
      <c r="K818" t="s">
        <v>155</v>
      </c>
      <c r="L818" s="1">
        <v>0.97</v>
      </c>
    </row>
    <row r="819" spans="1:12" x14ac:dyDescent="0.35">
      <c r="A819" t="s">
        <v>1707</v>
      </c>
      <c r="B819" t="s">
        <v>1708</v>
      </c>
      <c r="C819" t="s">
        <v>89</v>
      </c>
      <c r="D819">
        <v>53</v>
      </c>
      <c r="E819" t="s">
        <v>47</v>
      </c>
      <c r="F819" t="s">
        <v>48</v>
      </c>
      <c r="G819" t="s">
        <v>111</v>
      </c>
      <c r="H819">
        <v>21</v>
      </c>
      <c r="I819">
        <v>100</v>
      </c>
      <c r="J819">
        <v>3.4</v>
      </c>
      <c r="K819">
        <v>0</v>
      </c>
      <c r="L819" s="1">
        <v>0.62</v>
      </c>
    </row>
    <row r="820" spans="1:12" x14ac:dyDescent="0.35">
      <c r="A820" t="s">
        <v>1709</v>
      </c>
      <c r="B820" t="s">
        <v>1710</v>
      </c>
      <c r="C820" t="s">
        <v>94</v>
      </c>
      <c r="D820">
        <v>22</v>
      </c>
      <c r="E820" t="s">
        <v>170</v>
      </c>
      <c r="F820" t="s">
        <v>171</v>
      </c>
      <c r="G820" t="s">
        <v>49</v>
      </c>
      <c r="H820">
        <v>2</v>
      </c>
      <c r="I820" t="s">
        <v>308</v>
      </c>
      <c r="K820" t="s">
        <v>155</v>
      </c>
    </row>
    <row r="821" spans="1:12" x14ac:dyDescent="0.35">
      <c r="A821" t="s">
        <v>1711</v>
      </c>
      <c r="B821" t="s">
        <v>1712</v>
      </c>
      <c r="C821" t="s">
        <v>74</v>
      </c>
      <c r="D821">
        <v>40</v>
      </c>
      <c r="E821" t="s">
        <v>90</v>
      </c>
      <c r="F821" t="s">
        <v>91</v>
      </c>
      <c r="G821" t="s">
        <v>17</v>
      </c>
      <c r="H821">
        <v>14</v>
      </c>
      <c r="I821">
        <v>75</v>
      </c>
      <c r="J821">
        <v>0</v>
      </c>
      <c r="K821">
        <v>1</v>
      </c>
      <c r="L821" s="1">
        <v>0.79</v>
      </c>
    </row>
    <row r="822" spans="1:12" x14ac:dyDescent="0.35">
      <c r="A822" t="s">
        <v>1713</v>
      </c>
      <c r="B822" t="s">
        <v>1714</v>
      </c>
      <c r="C822" t="s">
        <v>38</v>
      </c>
      <c r="D822">
        <v>49</v>
      </c>
      <c r="E822" t="s">
        <v>170</v>
      </c>
      <c r="F822" t="s">
        <v>171</v>
      </c>
      <c r="G822" t="s">
        <v>23</v>
      </c>
      <c r="H822">
        <v>15</v>
      </c>
      <c r="I822">
        <v>40</v>
      </c>
      <c r="J822">
        <v>3.9</v>
      </c>
      <c r="K822" t="b">
        <v>0</v>
      </c>
      <c r="L822" s="1">
        <v>0.86</v>
      </c>
    </row>
    <row r="823" spans="1:12" x14ac:dyDescent="0.35">
      <c r="A823" t="s">
        <v>1715</v>
      </c>
      <c r="B823" t="s">
        <v>1716</v>
      </c>
      <c r="C823" t="s">
        <v>59</v>
      </c>
      <c r="D823">
        <v>30</v>
      </c>
      <c r="E823" t="s">
        <v>21</v>
      </c>
      <c r="F823" t="s">
        <v>22</v>
      </c>
      <c r="G823" t="s">
        <v>70</v>
      </c>
      <c r="H823">
        <v>11</v>
      </c>
      <c r="I823" s="2">
        <v>30</v>
      </c>
      <c r="J823">
        <v>4.2</v>
      </c>
      <c r="K823">
        <v>0</v>
      </c>
      <c r="L823" s="1">
        <v>0.65</v>
      </c>
    </row>
    <row r="824" spans="1:12" x14ac:dyDescent="0.35">
      <c r="A824" t="s">
        <v>1717</v>
      </c>
      <c r="B824" t="s">
        <v>1718</v>
      </c>
      <c r="C824" t="s">
        <v>38</v>
      </c>
      <c r="D824">
        <v>37</v>
      </c>
      <c r="E824" t="s">
        <v>82</v>
      </c>
      <c r="F824" t="s">
        <v>83</v>
      </c>
      <c r="G824" t="s">
        <v>43</v>
      </c>
      <c r="H824">
        <v>6</v>
      </c>
      <c r="I824">
        <v>20</v>
      </c>
      <c r="L824" s="1">
        <v>0.99</v>
      </c>
    </row>
    <row r="825" spans="1:12" x14ac:dyDescent="0.35">
      <c r="A825" t="s">
        <v>1719</v>
      </c>
      <c r="B825" t="s">
        <v>1720</v>
      </c>
      <c r="C825" t="s">
        <v>27</v>
      </c>
      <c r="D825">
        <v>21</v>
      </c>
      <c r="E825" t="s">
        <v>135</v>
      </c>
      <c r="F825" t="s">
        <v>136</v>
      </c>
      <c r="G825" t="s">
        <v>30</v>
      </c>
      <c r="H825">
        <v>2</v>
      </c>
      <c r="I825">
        <v>100</v>
      </c>
      <c r="J825">
        <v>3.6</v>
      </c>
      <c r="K825" t="b">
        <v>0</v>
      </c>
      <c r="L825">
        <v>85</v>
      </c>
    </row>
    <row r="826" spans="1:12" x14ac:dyDescent="0.35">
      <c r="A826" t="s">
        <v>1721</v>
      </c>
      <c r="B826" t="s">
        <v>1722</v>
      </c>
      <c r="C826" t="s">
        <v>94</v>
      </c>
      <c r="D826">
        <v>20</v>
      </c>
      <c r="E826" t="s">
        <v>109</v>
      </c>
      <c r="F826" t="s">
        <v>110</v>
      </c>
      <c r="G826" t="s">
        <v>43</v>
      </c>
      <c r="H826">
        <v>1</v>
      </c>
      <c r="I826" t="s">
        <v>95</v>
      </c>
      <c r="K826" t="s">
        <v>65</v>
      </c>
      <c r="L826" s="1">
        <v>0.81</v>
      </c>
    </row>
    <row r="827" spans="1:12" x14ac:dyDescent="0.35">
      <c r="A827" t="s">
        <v>1723</v>
      </c>
      <c r="B827" t="s">
        <v>1724</v>
      </c>
      <c r="C827" t="s">
        <v>27</v>
      </c>
      <c r="D827">
        <v>20</v>
      </c>
      <c r="E827" t="s">
        <v>170</v>
      </c>
      <c r="F827" t="s">
        <v>171</v>
      </c>
      <c r="G827" t="s">
        <v>49</v>
      </c>
      <c r="H827">
        <v>2</v>
      </c>
      <c r="I827" s="2">
        <v>40</v>
      </c>
      <c r="J827">
        <v>2.1</v>
      </c>
      <c r="K827" t="s">
        <v>31</v>
      </c>
      <c r="L827" s="1">
        <v>0.64</v>
      </c>
    </row>
    <row r="828" spans="1:12" x14ac:dyDescent="0.35">
      <c r="A828" t="s">
        <v>1725</v>
      </c>
      <c r="B828" t="s">
        <v>1726</v>
      </c>
      <c r="C828" t="s">
        <v>59</v>
      </c>
      <c r="D828">
        <v>20</v>
      </c>
      <c r="E828" t="s">
        <v>68</v>
      </c>
      <c r="F828" t="s">
        <v>69</v>
      </c>
      <c r="G828" t="s">
        <v>111</v>
      </c>
      <c r="H828">
        <v>2</v>
      </c>
      <c r="I828">
        <v>20</v>
      </c>
      <c r="J828">
        <v>3.9</v>
      </c>
      <c r="K828" t="b">
        <v>0</v>
      </c>
      <c r="L828" s="1">
        <v>0.84</v>
      </c>
    </row>
    <row r="829" spans="1:12" x14ac:dyDescent="0.35">
      <c r="A829" t="s">
        <v>1727</v>
      </c>
      <c r="B829" t="s">
        <v>1728</v>
      </c>
      <c r="C829" t="s">
        <v>14</v>
      </c>
      <c r="D829">
        <v>26</v>
      </c>
      <c r="E829" t="s">
        <v>120</v>
      </c>
      <c r="F829" t="s">
        <v>121</v>
      </c>
      <c r="G829" t="s">
        <v>111</v>
      </c>
      <c r="H829">
        <v>2</v>
      </c>
      <c r="I829">
        <v>40</v>
      </c>
      <c r="J829">
        <v>0</v>
      </c>
      <c r="L829" s="1">
        <v>0.66</v>
      </c>
    </row>
    <row r="830" spans="1:12" x14ac:dyDescent="0.35">
      <c r="A830" t="s">
        <v>1729</v>
      </c>
      <c r="B830" t="s">
        <v>1730</v>
      </c>
      <c r="C830" t="s">
        <v>38</v>
      </c>
      <c r="D830">
        <v>50</v>
      </c>
      <c r="E830" t="s">
        <v>109</v>
      </c>
      <c r="F830" t="s">
        <v>110</v>
      </c>
      <c r="G830" t="s">
        <v>35</v>
      </c>
      <c r="H830">
        <v>12</v>
      </c>
      <c r="I830" s="2">
        <v>75</v>
      </c>
      <c r="J830">
        <v>0</v>
      </c>
      <c r="K830" t="b">
        <v>0</v>
      </c>
      <c r="L830">
        <v>75</v>
      </c>
    </row>
    <row r="831" spans="1:12" x14ac:dyDescent="0.35">
      <c r="A831" t="s">
        <v>1731</v>
      </c>
      <c r="B831" t="s">
        <v>1732</v>
      </c>
      <c r="C831" t="s">
        <v>94</v>
      </c>
      <c r="D831">
        <v>50</v>
      </c>
      <c r="E831" t="s">
        <v>185</v>
      </c>
      <c r="F831" t="s">
        <v>69</v>
      </c>
      <c r="G831" t="s">
        <v>43</v>
      </c>
      <c r="H831">
        <v>28</v>
      </c>
      <c r="I831">
        <v>30</v>
      </c>
      <c r="J831">
        <v>1.8</v>
      </c>
    </row>
    <row r="832" spans="1:12" x14ac:dyDescent="0.35">
      <c r="A832" t="s">
        <v>1733</v>
      </c>
      <c r="B832" t="s">
        <v>1734</v>
      </c>
      <c r="C832" t="s">
        <v>74</v>
      </c>
      <c r="D832">
        <v>54</v>
      </c>
      <c r="E832" t="s">
        <v>47</v>
      </c>
      <c r="F832" t="s">
        <v>48</v>
      </c>
      <c r="G832" t="s">
        <v>43</v>
      </c>
      <c r="H832">
        <v>4</v>
      </c>
      <c r="I832">
        <v>20</v>
      </c>
      <c r="J832">
        <v>1.1000000000000001</v>
      </c>
      <c r="K832">
        <v>1</v>
      </c>
      <c r="L832" s="1">
        <v>0.63</v>
      </c>
    </row>
    <row r="833" spans="1:12" x14ac:dyDescent="0.35">
      <c r="A833" t="s">
        <v>1735</v>
      </c>
      <c r="B833" t="s">
        <v>1736</v>
      </c>
      <c r="C833" t="s">
        <v>27</v>
      </c>
      <c r="D833">
        <v>54</v>
      </c>
      <c r="E833" t="s">
        <v>185</v>
      </c>
      <c r="F833" t="s">
        <v>69</v>
      </c>
      <c r="G833" t="s">
        <v>17</v>
      </c>
      <c r="H833">
        <v>3</v>
      </c>
      <c r="I833">
        <v>20</v>
      </c>
      <c r="J833">
        <v>1.6</v>
      </c>
      <c r="K833" t="s">
        <v>71</v>
      </c>
      <c r="L833" s="1">
        <v>0.7</v>
      </c>
    </row>
    <row r="834" spans="1:12" x14ac:dyDescent="0.35">
      <c r="A834" t="s">
        <v>1737</v>
      </c>
      <c r="B834" t="s">
        <v>1738</v>
      </c>
      <c r="C834" t="s">
        <v>74</v>
      </c>
      <c r="D834">
        <v>34</v>
      </c>
      <c r="E834" t="s">
        <v>135</v>
      </c>
      <c r="F834" t="s">
        <v>136</v>
      </c>
      <c r="G834" t="s">
        <v>111</v>
      </c>
      <c r="H834">
        <v>4</v>
      </c>
      <c r="I834" s="2">
        <v>30</v>
      </c>
      <c r="J834">
        <v>3.1</v>
      </c>
      <c r="L834" s="1">
        <v>0.9</v>
      </c>
    </row>
    <row r="835" spans="1:12" x14ac:dyDescent="0.35">
      <c r="A835" t="s">
        <v>1739</v>
      </c>
      <c r="B835" t="s">
        <v>1740</v>
      </c>
      <c r="C835" t="s">
        <v>74</v>
      </c>
      <c r="D835">
        <v>20</v>
      </c>
      <c r="E835" t="s">
        <v>15</v>
      </c>
      <c r="F835" t="s">
        <v>16</v>
      </c>
      <c r="G835" t="s">
        <v>86</v>
      </c>
      <c r="H835">
        <v>1</v>
      </c>
      <c r="I835">
        <v>50</v>
      </c>
      <c r="J835">
        <v>3.4</v>
      </c>
      <c r="K835">
        <v>1</v>
      </c>
      <c r="L835">
        <v>79</v>
      </c>
    </row>
    <row r="836" spans="1:12" x14ac:dyDescent="0.35">
      <c r="A836" t="s">
        <v>1741</v>
      </c>
      <c r="B836" t="s">
        <v>1742</v>
      </c>
      <c r="C836" t="s">
        <v>27</v>
      </c>
      <c r="D836">
        <v>29</v>
      </c>
      <c r="E836" t="s">
        <v>28</v>
      </c>
      <c r="F836" t="s">
        <v>29</v>
      </c>
      <c r="G836" t="s">
        <v>43</v>
      </c>
      <c r="H836">
        <v>8</v>
      </c>
      <c r="I836">
        <v>40</v>
      </c>
      <c r="J836">
        <v>3.1</v>
      </c>
      <c r="K836" t="s">
        <v>31</v>
      </c>
      <c r="L836" s="1">
        <v>0.6</v>
      </c>
    </row>
    <row r="837" spans="1:12" x14ac:dyDescent="0.35">
      <c r="A837" t="s">
        <v>1743</v>
      </c>
      <c r="B837" t="s">
        <v>1744</v>
      </c>
      <c r="C837" t="s">
        <v>38</v>
      </c>
      <c r="D837">
        <v>57</v>
      </c>
      <c r="E837" t="s">
        <v>64</v>
      </c>
      <c r="F837" t="s">
        <v>22</v>
      </c>
      <c r="G837" t="s">
        <v>86</v>
      </c>
      <c r="H837">
        <v>11</v>
      </c>
      <c r="I837" t="s">
        <v>50</v>
      </c>
      <c r="J837">
        <v>2.2999999999999998</v>
      </c>
      <c r="K837">
        <v>0</v>
      </c>
    </row>
    <row r="838" spans="1:12" x14ac:dyDescent="0.35">
      <c r="A838" t="s">
        <v>1745</v>
      </c>
      <c r="B838" t="s">
        <v>1746</v>
      </c>
      <c r="C838" t="s">
        <v>34</v>
      </c>
      <c r="D838">
        <v>36</v>
      </c>
      <c r="E838" t="s">
        <v>41</v>
      </c>
      <c r="F838" t="s">
        <v>42</v>
      </c>
      <c r="G838" t="s">
        <v>43</v>
      </c>
      <c r="H838">
        <v>8</v>
      </c>
      <c r="I838" t="s">
        <v>53</v>
      </c>
      <c r="K838" t="s">
        <v>31</v>
      </c>
      <c r="L838" s="1">
        <v>0.8</v>
      </c>
    </row>
    <row r="839" spans="1:12" x14ac:dyDescent="0.35">
      <c r="A839" t="s">
        <v>1747</v>
      </c>
      <c r="B839" t="s">
        <v>1748</v>
      </c>
      <c r="C839" t="s">
        <v>94</v>
      </c>
      <c r="D839">
        <v>51</v>
      </c>
      <c r="E839" t="s">
        <v>109</v>
      </c>
      <c r="F839" t="s">
        <v>110</v>
      </c>
      <c r="G839" t="s">
        <v>35</v>
      </c>
      <c r="H839">
        <v>32</v>
      </c>
      <c r="I839" s="2">
        <v>50</v>
      </c>
      <c r="J839">
        <v>3.2</v>
      </c>
      <c r="K839">
        <v>0</v>
      </c>
      <c r="L839">
        <v>88</v>
      </c>
    </row>
    <row r="840" spans="1:12" x14ac:dyDescent="0.35">
      <c r="A840" t="s">
        <v>1749</v>
      </c>
      <c r="B840" t="s">
        <v>1750</v>
      </c>
      <c r="C840" t="s">
        <v>46</v>
      </c>
      <c r="D840">
        <v>44</v>
      </c>
      <c r="E840" t="s">
        <v>90</v>
      </c>
      <c r="F840" t="s">
        <v>91</v>
      </c>
      <c r="G840" t="s">
        <v>70</v>
      </c>
      <c r="H840">
        <v>4</v>
      </c>
      <c r="I840" t="s">
        <v>106</v>
      </c>
      <c r="J840">
        <v>0</v>
      </c>
      <c r="K840" t="s">
        <v>31</v>
      </c>
      <c r="L840" s="1">
        <v>0.8</v>
      </c>
    </row>
    <row r="841" spans="1:12" x14ac:dyDescent="0.35">
      <c r="A841" t="s">
        <v>1751</v>
      </c>
      <c r="B841" t="s">
        <v>1752</v>
      </c>
      <c r="C841" t="s">
        <v>94</v>
      </c>
      <c r="D841">
        <v>58</v>
      </c>
      <c r="E841" t="s">
        <v>185</v>
      </c>
      <c r="F841" t="s">
        <v>69</v>
      </c>
      <c r="G841" t="s">
        <v>75</v>
      </c>
      <c r="H841">
        <v>33</v>
      </c>
      <c r="I841">
        <v>30</v>
      </c>
      <c r="J841">
        <v>3.3</v>
      </c>
      <c r="K841" t="s">
        <v>71</v>
      </c>
      <c r="L841" s="1">
        <v>0.71</v>
      </c>
    </row>
    <row r="842" spans="1:12" x14ac:dyDescent="0.35">
      <c r="A842" t="s">
        <v>1753</v>
      </c>
      <c r="B842" t="s">
        <v>1754</v>
      </c>
      <c r="C842" t="s">
        <v>14</v>
      </c>
      <c r="D842">
        <v>38</v>
      </c>
      <c r="E842" t="s">
        <v>149</v>
      </c>
      <c r="F842" t="s">
        <v>150</v>
      </c>
      <c r="G842" t="s">
        <v>23</v>
      </c>
      <c r="H842">
        <v>14</v>
      </c>
      <c r="J842">
        <v>1.1000000000000001</v>
      </c>
      <c r="K842">
        <v>1</v>
      </c>
      <c r="L842" s="1">
        <v>0.76</v>
      </c>
    </row>
    <row r="843" spans="1:12" x14ac:dyDescent="0.35">
      <c r="A843" t="s">
        <v>1755</v>
      </c>
      <c r="B843" t="s">
        <v>1756</v>
      </c>
      <c r="C843" t="s">
        <v>89</v>
      </c>
      <c r="D843">
        <v>24</v>
      </c>
      <c r="E843" t="s">
        <v>56</v>
      </c>
      <c r="F843" t="s">
        <v>22</v>
      </c>
      <c r="G843" t="s">
        <v>70</v>
      </c>
      <c r="H843">
        <v>6</v>
      </c>
      <c r="I843" t="s">
        <v>106</v>
      </c>
      <c r="J843">
        <v>4.5999999999999996</v>
      </c>
      <c r="K843">
        <v>1</v>
      </c>
      <c r="L843" s="1">
        <v>0.93</v>
      </c>
    </row>
    <row r="844" spans="1:12" x14ac:dyDescent="0.35">
      <c r="A844" t="s">
        <v>1757</v>
      </c>
      <c r="B844" t="s">
        <v>1758</v>
      </c>
      <c r="C844" t="s">
        <v>34</v>
      </c>
      <c r="D844">
        <v>30</v>
      </c>
      <c r="E844" t="s">
        <v>60</v>
      </c>
      <c r="F844" t="s">
        <v>61</v>
      </c>
      <c r="G844" t="s">
        <v>17</v>
      </c>
      <c r="H844">
        <v>5</v>
      </c>
      <c r="I844" t="s">
        <v>106</v>
      </c>
      <c r="K844">
        <v>0</v>
      </c>
    </row>
    <row r="845" spans="1:12" x14ac:dyDescent="0.35">
      <c r="A845" t="s">
        <v>1759</v>
      </c>
      <c r="B845" t="s">
        <v>1760</v>
      </c>
      <c r="C845" t="s">
        <v>59</v>
      </c>
      <c r="D845">
        <v>25</v>
      </c>
      <c r="E845" t="s">
        <v>47</v>
      </c>
      <c r="F845" t="s">
        <v>48</v>
      </c>
      <c r="G845" t="s">
        <v>75</v>
      </c>
      <c r="H845">
        <v>3</v>
      </c>
      <c r="I845">
        <v>75</v>
      </c>
      <c r="K845">
        <v>0</v>
      </c>
      <c r="L845" s="1">
        <v>0.83</v>
      </c>
    </row>
    <row r="846" spans="1:12" x14ac:dyDescent="0.35">
      <c r="A846" t="s">
        <v>1761</v>
      </c>
      <c r="B846" t="s">
        <v>1762</v>
      </c>
      <c r="C846" t="s">
        <v>89</v>
      </c>
      <c r="D846">
        <v>54</v>
      </c>
      <c r="E846" t="s">
        <v>47</v>
      </c>
      <c r="F846" t="s">
        <v>48</v>
      </c>
      <c r="G846" t="s">
        <v>23</v>
      </c>
      <c r="H846">
        <v>17</v>
      </c>
      <c r="I846" s="2">
        <v>100</v>
      </c>
      <c r="J846">
        <v>0</v>
      </c>
      <c r="K846">
        <v>0</v>
      </c>
      <c r="L846" s="1">
        <v>0.71</v>
      </c>
    </row>
    <row r="847" spans="1:12" x14ac:dyDescent="0.35">
      <c r="A847" t="s">
        <v>1763</v>
      </c>
      <c r="B847" t="s">
        <v>1764</v>
      </c>
      <c r="C847" t="s">
        <v>27</v>
      </c>
      <c r="D847">
        <v>54</v>
      </c>
      <c r="E847" t="s">
        <v>15</v>
      </c>
      <c r="F847" t="s">
        <v>16</v>
      </c>
      <c r="G847" t="s">
        <v>75</v>
      </c>
      <c r="H847">
        <v>9</v>
      </c>
      <c r="I847" t="s">
        <v>308</v>
      </c>
      <c r="J847">
        <v>0</v>
      </c>
      <c r="K847" t="s">
        <v>65</v>
      </c>
      <c r="L847" s="1">
        <v>0.96</v>
      </c>
    </row>
    <row r="848" spans="1:12" x14ac:dyDescent="0.35">
      <c r="A848" t="s">
        <v>1765</v>
      </c>
      <c r="B848" t="s">
        <v>1766</v>
      </c>
      <c r="C848" t="s">
        <v>34</v>
      </c>
      <c r="D848">
        <v>53</v>
      </c>
      <c r="E848" t="s">
        <v>131</v>
      </c>
      <c r="F848" t="s">
        <v>132</v>
      </c>
      <c r="G848" t="s">
        <v>30</v>
      </c>
      <c r="H848">
        <v>16</v>
      </c>
      <c r="I848">
        <v>40</v>
      </c>
      <c r="J848">
        <v>0</v>
      </c>
      <c r="K848" t="s">
        <v>155</v>
      </c>
    </row>
    <row r="849" spans="1:12" x14ac:dyDescent="0.35">
      <c r="A849" t="s">
        <v>1767</v>
      </c>
      <c r="B849" t="s">
        <v>1768</v>
      </c>
      <c r="C849" t="s">
        <v>27</v>
      </c>
      <c r="D849">
        <v>22</v>
      </c>
      <c r="E849" t="s">
        <v>120</v>
      </c>
      <c r="F849" t="s">
        <v>121</v>
      </c>
      <c r="G849" t="s">
        <v>43</v>
      </c>
      <c r="H849">
        <v>3</v>
      </c>
      <c r="I849">
        <v>75</v>
      </c>
      <c r="J849">
        <v>3.4</v>
      </c>
      <c r="K849" t="s">
        <v>71</v>
      </c>
      <c r="L849" s="1">
        <v>0.65</v>
      </c>
    </row>
    <row r="850" spans="1:12" x14ac:dyDescent="0.35">
      <c r="A850" t="s">
        <v>1769</v>
      </c>
      <c r="B850" t="s">
        <v>1770</v>
      </c>
      <c r="C850" t="s">
        <v>38</v>
      </c>
      <c r="D850">
        <v>23</v>
      </c>
      <c r="E850" t="s">
        <v>174</v>
      </c>
      <c r="F850" t="s">
        <v>69</v>
      </c>
      <c r="G850" t="s">
        <v>49</v>
      </c>
      <c r="H850">
        <v>2</v>
      </c>
      <c r="I850" t="s">
        <v>308</v>
      </c>
      <c r="J850">
        <v>1.3</v>
      </c>
      <c r="K850" t="s">
        <v>31</v>
      </c>
    </row>
    <row r="851" spans="1:12" x14ac:dyDescent="0.35">
      <c r="A851" t="s">
        <v>1771</v>
      </c>
      <c r="B851" t="s">
        <v>1772</v>
      </c>
      <c r="C851" t="s">
        <v>20</v>
      </c>
      <c r="D851">
        <v>47</v>
      </c>
      <c r="E851" t="s">
        <v>131</v>
      </c>
      <c r="F851" t="s">
        <v>132</v>
      </c>
      <c r="G851" t="s">
        <v>75</v>
      </c>
      <c r="H851">
        <v>16</v>
      </c>
      <c r="I851">
        <v>50</v>
      </c>
      <c r="J851">
        <v>1.9</v>
      </c>
      <c r="K851">
        <v>0</v>
      </c>
      <c r="L851" s="1">
        <v>0.71</v>
      </c>
    </row>
    <row r="852" spans="1:12" x14ac:dyDescent="0.35">
      <c r="A852" t="s">
        <v>1773</v>
      </c>
      <c r="B852" t="s">
        <v>1774</v>
      </c>
      <c r="C852" t="s">
        <v>94</v>
      </c>
      <c r="D852">
        <v>24</v>
      </c>
      <c r="E852" t="s">
        <v>131</v>
      </c>
      <c r="F852" t="s">
        <v>132</v>
      </c>
      <c r="G852" t="s">
        <v>35</v>
      </c>
      <c r="H852">
        <v>6</v>
      </c>
      <c r="I852">
        <v>50</v>
      </c>
      <c r="J852">
        <v>1.4</v>
      </c>
      <c r="K852" t="s">
        <v>71</v>
      </c>
      <c r="L852">
        <v>63</v>
      </c>
    </row>
    <row r="853" spans="1:12" x14ac:dyDescent="0.35">
      <c r="A853" t="s">
        <v>1775</v>
      </c>
      <c r="B853" t="s">
        <v>1776</v>
      </c>
      <c r="C853" t="s">
        <v>14</v>
      </c>
      <c r="D853">
        <v>57</v>
      </c>
      <c r="E853" t="s">
        <v>90</v>
      </c>
      <c r="F853" t="s">
        <v>91</v>
      </c>
      <c r="G853" t="s">
        <v>70</v>
      </c>
      <c r="H853">
        <v>10</v>
      </c>
      <c r="I853" s="2">
        <v>100</v>
      </c>
      <c r="J853">
        <v>4.3</v>
      </c>
      <c r="K853" t="b">
        <v>0</v>
      </c>
    </row>
    <row r="854" spans="1:12" x14ac:dyDescent="0.35">
      <c r="A854" t="s">
        <v>1777</v>
      </c>
      <c r="B854" t="s">
        <v>1778</v>
      </c>
      <c r="C854" t="s">
        <v>94</v>
      </c>
      <c r="D854">
        <v>48</v>
      </c>
      <c r="E854" t="s">
        <v>185</v>
      </c>
      <c r="F854" t="s">
        <v>69</v>
      </c>
      <c r="G854" t="s">
        <v>30</v>
      </c>
      <c r="H854">
        <v>16</v>
      </c>
      <c r="I854" s="2">
        <v>30</v>
      </c>
      <c r="K854" t="s">
        <v>155</v>
      </c>
      <c r="L854" s="1">
        <v>0.97</v>
      </c>
    </row>
    <row r="855" spans="1:12" x14ac:dyDescent="0.35">
      <c r="A855" t="s">
        <v>1779</v>
      </c>
      <c r="B855" t="s">
        <v>1780</v>
      </c>
      <c r="C855" t="s">
        <v>74</v>
      </c>
      <c r="D855">
        <v>21</v>
      </c>
      <c r="E855" t="s">
        <v>60</v>
      </c>
      <c r="F855" t="s">
        <v>61</v>
      </c>
      <c r="G855" t="s">
        <v>70</v>
      </c>
      <c r="H855">
        <v>0</v>
      </c>
      <c r="I855" s="2">
        <v>100</v>
      </c>
      <c r="J855">
        <v>4.3</v>
      </c>
      <c r="K855">
        <v>0</v>
      </c>
    </row>
    <row r="856" spans="1:12" x14ac:dyDescent="0.35">
      <c r="A856" t="s">
        <v>1781</v>
      </c>
      <c r="B856" t="s">
        <v>1782</v>
      </c>
      <c r="C856" t="s">
        <v>46</v>
      </c>
      <c r="D856">
        <v>33</v>
      </c>
      <c r="E856" t="s">
        <v>82</v>
      </c>
      <c r="F856" t="s">
        <v>83</v>
      </c>
      <c r="G856" t="s">
        <v>43</v>
      </c>
      <c r="H856">
        <v>13</v>
      </c>
      <c r="I856" t="s">
        <v>50</v>
      </c>
      <c r="J856">
        <v>0</v>
      </c>
      <c r="K856" t="b">
        <v>1</v>
      </c>
    </row>
    <row r="857" spans="1:12" x14ac:dyDescent="0.35">
      <c r="A857" t="s">
        <v>1783</v>
      </c>
      <c r="B857" t="s">
        <v>1784</v>
      </c>
      <c r="C857" t="s">
        <v>94</v>
      </c>
      <c r="D857">
        <v>41</v>
      </c>
      <c r="E857" t="s">
        <v>60</v>
      </c>
      <c r="F857" t="s">
        <v>61</v>
      </c>
      <c r="G857" t="s">
        <v>86</v>
      </c>
      <c r="H857">
        <v>12</v>
      </c>
      <c r="J857">
        <v>1.3</v>
      </c>
      <c r="K857">
        <v>0</v>
      </c>
      <c r="L857" s="1">
        <v>0.85</v>
      </c>
    </row>
    <row r="858" spans="1:12" x14ac:dyDescent="0.35">
      <c r="A858" t="s">
        <v>1785</v>
      </c>
      <c r="B858" t="s">
        <v>1786</v>
      </c>
      <c r="C858" t="s">
        <v>59</v>
      </c>
      <c r="D858">
        <v>40</v>
      </c>
      <c r="E858" t="s">
        <v>21</v>
      </c>
      <c r="F858" t="s">
        <v>22</v>
      </c>
      <c r="G858" t="s">
        <v>75</v>
      </c>
      <c r="H858">
        <v>13</v>
      </c>
      <c r="I858" t="s">
        <v>95</v>
      </c>
      <c r="J858">
        <v>2.9</v>
      </c>
      <c r="K858" t="s">
        <v>155</v>
      </c>
      <c r="L858" s="1">
        <v>0.82</v>
      </c>
    </row>
    <row r="859" spans="1:12" x14ac:dyDescent="0.35">
      <c r="A859" t="s">
        <v>1787</v>
      </c>
      <c r="B859" t="s">
        <v>1788</v>
      </c>
      <c r="C859" t="s">
        <v>14</v>
      </c>
      <c r="D859">
        <v>40</v>
      </c>
      <c r="E859" t="s">
        <v>174</v>
      </c>
      <c r="F859" t="s">
        <v>69</v>
      </c>
      <c r="G859" t="s">
        <v>30</v>
      </c>
      <c r="H859">
        <v>22</v>
      </c>
      <c r="I859" t="s">
        <v>53</v>
      </c>
      <c r="J859">
        <v>4.3</v>
      </c>
      <c r="K859">
        <v>0</v>
      </c>
      <c r="L859" s="1">
        <v>0.95</v>
      </c>
    </row>
    <row r="860" spans="1:12" x14ac:dyDescent="0.35">
      <c r="A860" t="s">
        <v>1789</v>
      </c>
      <c r="B860" t="s">
        <v>1790</v>
      </c>
      <c r="C860" t="s">
        <v>74</v>
      </c>
      <c r="D860">
        <v>20</v>
      </c>
      <c r="E860" t="s">
        <v>56</v>
      </c>
      <c r="F860" t="s">
        <v>22</v>
      </c>
      <c r="G860" t="s">
        <v>30</v>
      </c>
      <c r="H860">
        <v>1</v>
      </c>
      <c r="J860">
        <v>2.7</v>
      </c>
      <c r="K860">
        <v>0</v>
      </c>
      <c r="L860">
        <v>94</v>
      </c>
    </row>
    <row r="861" spans="1:12" x14ac:dyDescent="0.35">
      <c r="A861" t="s">
        <v>1791</v>
      </c>
      <c r="B861" t="s">
        <v>1792</v>
      </c>
      <c r="C861" t="s">
        <v>34</v>
      </c>
      <c r="D861">
        <v>42</v>
      </c>
      <c r="E861" t="s">
        <v>174</v>
      </c>
      <c r="F861" t="s">
        <v>69</v>
      </c>
      <c r="G861" t="s">
        <v>35</v>
      </c>
      <c r="I861" s="2">
        <v>50</v>
      </c>
      <c r="J861">
        <v>4.2</v>
      </c>
      <c r="L861" s="1">
        <v>0.96</v>
      </c>
    </row>
    <row r="862" spans="1:12" x14ac:dyDescent="0.35">
      <c r="A862" t="s">
        <v>1793</v>
      </c>
      <c r="B862" t="s">
        <v>1794</v>
      </c>
      <c r="C862" t="s">
        <v>46</v>
      </c>
      <c r="D862">
        <v>32</v>
      </c>
      <c r="E862" t="s">
        <v>124</v>
      </c>
      <c r="F862" t="s">
        <v>22</v>
      </c>
      <c r="G862" t="s">
        <v>17</v>
      </c>
      <c r="H862">
        <v>12</v>
      </c>
      <c r="I862">
        <v>40</v>
      </c>
      <c r="J862">
        <v>0</v>
      </c>
      <c r="K862" t="s">
        <v>65</v>
      </c>
      <c r="L862" s="1">
        <v>0.63</v>
      </c>
    </row>
    <row r="863" spans="1:12" x14ac:dyDescent="0.35">
      <c r="A863" t="s">
        <v>1795</v>
      </c>
      <c r="B863" t="s">
        <v>1796</v>
      </c>
      <c r="C863" t="s">
        <v>94</v>
      </c>
      <c r="D863">
        <v>60</v>
      </c>
      <c r="E863" t="s">
        <v>82</v>
      </c>
      <c r="F863" t="s">
        <v>83</v>
      </c>
      <c r="G863" t="s">
        <v>43</v>
      </c>
      <c r="I863">
        <v>20</v>
      </c>
      <c r="J863">
        <v>2.2000000000000002</v>
      </c>
      <c r="K863" t="b">
        <v>0</v>
      </c>
      <c r="L863" s="1">
        <v>0.6</v>
      </c>
    </row>
    <row r="864" spans="1:12" x14ac:dyDescent="0.35">
      <c r="A864" t="s">
        <v>1797</v>
      </c>
      <c r="B864" t="s">
        <v>1798</v>
      </c>
      <c r="C864" t="s">
        <v>89</v>
      </c>
      <c r="D864">
        <v>46</v>
      </c>
      <c r="E864" t="s">
        <v>135</v>
      </c>
      <c r="F864" t="s">
        <v>136</v>
      </c>
      <c r="G864" t="s">
        <v>111</v>
      </c>
      <c r="H864">
        <v>12</v>
      </c>
      <c r="I864">
        <v>50</v>
      </c>
      <c r="J864">
        <v>4.7</v>
      </c>
      <c r="K864" t="s">
        <v>65</v>
      </c>
      <c r="L864" s="1">
        <v>0.77</v>
      </c>
    </row>
    <row r="865" spans="1:12" x14ac:dyDescent="0.35">
      <c r="A865" t="s">
        <v>1799</v>
      </c>
      <c r="B865" t="s">
        <v>1800</v>
      </c>
      <c r="C865" t="s">
        <v>27</v>
      </c>
      <c r="D865">
        <v>29</v>
      </c>
      <c r="E865" t="s">
        <v>170</v>
      </c>
      <c r="F865" t="s">
        <v>171</v>
      </c>
      <c r="G865" t="s">
        <v>86</v>
      </c>
      <c r="H865">
        <v>0</v>
      </c>
      <c r="I865">
        <v>30</v>
      </c>
      <c r="J865">
        <v>0</v>
      </c>
      <c r="K865">
        <v>0</v>
      </c>
      <c r="L865" s="1">
        <v>0.63</v>
      </c>
    </row>
    <row r="866" spans="1:12" x14ac:dyDescent="0.35">
      <c r="A866" t="s">
        <v>1801</v>
      </c>
      <c r="B866" t="s">
        <v>1802</v>
      </c>
      <c r="C866" t="s">
        <v>20</v>
      </c>
      <c r="D866">
        <v>39</v>
      </c>
      <c r="E866" t="s">
        <v>104</v>
      </c>
      <c r="F866" t="s">
        <v>105</v>
      </c>
      <c r="G866" t="s">
        <v>23</v>
      </c>
      <c r="H866">
        <v>18</v>
      </c>
      <c r="I866">
        <v>20</v>
      </c>
      <c r="J866">
        <v>2.5</v>
      </c>
      <c r="K866" t="s">
        <v>65</v>
      </c>
      <c r="L866" s="1">
        <v>0.61</v>
      </c>
    </row>
    <row r="867" spans="1:12" x14ac:dyDescent="0.35">
      <c r="A867" t="s">
        <v>1803</v>
      </c>
      <c r="B867" t="s">
        <v>1804</v>
      </c>
      <c r="C867" t="s">
        <v>59</v>
      </c>
      <c r="D867">
        <v>55</v>
      </c>
      <c r="E867" t="s">
        <v>120</v>
      </c>
      <c r="F867" t="s">
        <v>121</v>
      </c>
      <c r="G867" t="s">
        <v>23</v>
      </c>
      <c r="H867">
        <v>2</v>
      </c>
      <c r="I867" s="2">
        <v>50</v>
      </c>
      <c r="J867">
        <v>3.9</v>
      </c>
      <c r="K867" t="s">
        <v>65</v>
      </c>
      <c r="L867" s="1">
        <v>0.88</v>
      </c>
    </row>
    <row r="868" spans="1:12" x14ac:dyDescent="0.35">
      <c r="A868" t="s">
        <v>1805</v>
      </c>
      <c r="B868" t="s">
        <v>1806</v>
      </c>
      <c r="C868" t="s">
        <v>46</v>
      </c>
      <c r="D868">
        <v>55</v>
      </c>
      <c r="E868" t="s">
        <v>60</v>
      </c>
      <c r="F868" t="s">
        <v>61</v>
      </c>
      <c r="G868" t="s">
        <v>75</v>
      </c>
      <c r="I868" t="s">
        <v>24</v>
      </c>
      <c r="J868">
        <v>1.2</v>
      </c>
      <c r="K868">
        <v>1</v>
      </c>
      <c r="L868" s="1">
        <v>0.69</v>
      </c>
    </row>
    <row r="869" spans="1:12" x14ac:dyDescent="0.35">
      <c r="A869" t="s">
        <v>1807</v>
      </c>
      <c r="B869" t="s">
        <v>1808</v>
      </c>
      <c r="C869" t="s">
        <v>94</v>
      </c>
      <c r="D869">
        <v>40</v>
      </c>
      <c r="E869" t="s">
        <v>47</v>
      </c>
      <c r="F869" t="s">
        <v>48</v>
      </c>
      <c r="G869" t="s">
        <v>49</v>
      </c>
      <c r="H869">
        <v>2</v>
      </c>
      <c r="I869">
        <v>75</v>
      </c>
      <c r="J869">
        <v>4.5</v>
      </c>
      <c r="K869" t="s">
        <v>65</v>
      </c>
    </row>
    <row r="870" spans="1:12" x14ac:dyDescent="0.35">
      <c r="A870" t="s">
        <v>1809</v>
      </c>
      <c r="B870" t="s">
        <v>1810</v>
      </c>
      <c r="C870" t="s">
        <v>14</v>
      </c>
      <c r="D870">
        <v>56</v>
      </c>
      <c r="E870" t="s">
        <v>170</v>
      </c>
      <c r="F870" t="s">
        <v>171</v>
      </c>
      <c r="G870" t="s">
        <v>70</v>
      </c>
      <c r="H870">
        <v>35</v>
      </c>
      <c r="I870" s="2">
        <v>40</v>
      </c>
      <c r="J870">
        <v>2.7</v>
      </c>
      <c r="K870" t="b">
        <v>1</v>
      </c>
      <c r="L870" s="1">
        <v>0.82</v>
      </c>
    </row>
    <row r="871" spans="1:12" x14ac:dyDescent="0.35">
      <c r="A871" t="s">
        <v>1811</v>
      </c>
      <c r="B871" t="s">
        <v>1812</v>
      </c>
      <c r="C871" t="s">
        <v>59</v>
      </c>
      <c r="D871">
        <v>57</v>
      </c>
      <c r="E871" t="s">
        <v>174</v>
      </c>
      <c r="F871" t="s">
        <v>69</v>
      </c>
      <c r="G871" t="s">
        <v>23</v>
      </c>
      <c r="H871">
        <v>21</v>
      </c>
      <c r="I871">
        <v>75</v>
      </c>
      <c r="J871">
        <v>2</v>
      </c>
      <c r="K871" t="s">
        <v>31</v>
      </c>
      <c r="L871" s="1">
        <v>0.96</v>
      </c>
    </row>
    <row r="872" spans="1:12" x14ac:dyDescent="0.35">
      <c r="A872" t="s">
        <v>1813</v>
      </c>
      <c r="B872" t="s">
        <v>1814</v>
      </c>
      <c r="C872" t="s">
        <v>34</v>
      </c>
      <c r="D872">
        <v>56</v>
      </c>
      <c r="E872" t="s">
        <v>120</v>
      </c>
      <c r="F872" t="s">
        <v>121</v>
      </c>
      <c r="G872" t="s">
        <v>86</v>
      </c>
      <c r="H872">
        <v>3</v>
      </c>
      <c r="I872" s="2">
        <v>40</v>
      </c>
      <c r="J872">
        <v>1.7</v>
      </c>
      <c r="K872" t="s">
        <v>31</v>
      </c>
      <c r="L872" s="1">
        <v>0.71</v>
      </c>
    </row>
    <row r="873" spans="1:12" x14ac:dyDescent="0.35">
      <c r="A873" t="s">
        <v>1815</v>
      </c>
      <c r="B873" t="s">
        <v>1816</v>
      </c>
      <c r="C873" t="s">
        <v>14</v>
      </c>
      <c r="D873">
        <v>49</v>
      </c>
      <c r="E873" t="s">
        <v>28</v>
      </c>
      <c r="F873" t="s">
        <v>29</v>
      </c>
      <c r="G873" t="s">
        <v>23</v>
      </c>
      <c r="H873">
        <v>24</v>
      </c>
      <c r="I873" s="2">
        <v>75</v>
      </c>
      <c r="J873">
        <v>3</v>
      </c>
      <c r="K873">
        <v>1</v>
      </c>
      <c r="L873" s="1">
        <v>0.77</v>
      </c>
    </row>
    <row r="874" spans="1:12" x14ac:dyDescent="0.35">
      <c r="A874" t="s">
        <v>1817</v>
      </c>
      <c r="B874" t="s">
        <v>1818</v>
      </c>
      <c r="C874" t="s">
        <v>59</v>
      </c>
      <c r="D874">
        <v>26</v>
      </c>
      <c r="E874" t="s">
        <v>185</v>
      </c>
      <c r="F874" t="s">
        <v>69</v>
      </c>
      <c r="G874" t="s">
        <v>17</v>
      </c>
      <c r="I874" s="2">
        <v>75</v>
      </c>
      <c r="J874">
        <v>2.1</v>
      </c>
      <c r="K874" t="s">
        <v>65</v>
      </c>
    </row>
    <row r="875" spans="1:12" x14ac:dyDescent="0.35">
      <c r="A875" t="s">
        <v>1819</v>
      </c>
      <c r="B875" t="s">
        <v>1820</v>
      </c>
      <c r="C875" t="s">
        <v>74</v>
      </c>
      <c r="D875">
        <v>36</v>
      </c>
      <c r="E875" t="s">
        <v>109</v>
      </c>
      <c r="F875" t="s">
        <v>110</v>
      </c>
      <c r="G875" t="s">
        <v>70</v>
      </c>
      <c r="H875">
        <v>0</v>
      </c>
      <c r="I875">
        <v>75</v>
      </c>
      <c r="J875">
        <v>1.5</v>
      </c>
      <c r="L875" s="1">
        <v>0.73</v>
      </c>
    </row>
    <row r="876" spans="1:12" x14ac:dyDescent="0.35">
      <c r="A876" t="s">
        <v>1821</v>
      </c>
      <c r="B876" t="s">
        <v>1822</v>
      </c>
      <c r="C876" t="s">
        <v>89</v>
      </c>
      <c r="D876">
        <v>20</v>
      </c>
      <c r="E876" t="s">
        <v>120</v>
      </c>
      <c r="F876" t="s">
        <v>121</v>
      </c>
      <c r="G876" t="s">
        <v>35</v>
      </c>
      <c r="H876">
        <v>2</v>
      </c>
      <c r="I876" t="s">
        <v>106</v>
      </c>
      <c r="J876">
        <v>1.7</v>
      </c>
      <c r="K876" t="b">
        <v>1</v>
      </c>
      <c r="L876" s="1">
        <v>0.6</v>
      </c>
    </row>
    <row r="877" spans="1:12" x14ac:dyDescent="0.35">
      <c r="A877" t="s">
        <v>1823</v>
      </c>
      <c r="B877" t="s">
        <v>1824</v>
      </c>
      <c r="C877" t="s">
        <v>14</v>
      </c>
      <c r="D877">
        <v>40</v>
      </c>
      <c r="E877" t="s">
        <v>185</v>
      </c>
      <c r="F877" t="s">
        <v>69</v>
      </c>
      <c r="G877" t="s">
        <v>43</v>
      </c>
      <c r="J877">
        <v>1.2</v>
      </c>
      <c r="K877">
        <v>1</v>
      </c>
      <c r="L877" s="1">
        <v>0.67</v>
      </c>
    </row>
    <row r="878" spans="1:12" x14ac:dyDescent="0.35">
      <c r="A878" t="s">
        <v>1825</v>
      </c>
      <c r="B878" t="s">
        <v>1826</v>
      </c>
      <c r="C878" t="s">
        <v>38</v>
      </c>
      <c r="D878">
        <v>30</v>
      </c>
      <c r="E878" t="s">
        <v>90</v>
      </c>
      <c r="F878" t="s">
        <v>91</v>
      </c>
      <c r="G878" t="s">
        <v>23</v>
      </c>
      <c r="H878">
        <v>6</v>
      </c>
      <c r="I878">
        <v>75</v>
      </c>
      <c r="J878">
        <v>0</v>
      </c>
      <c r="K878" t="b">
        <v>0</v>
      </c>
      <c r="L878" s="1">
        <v>0.8</v>
      </c>
    </row>
    <row r="879" spans="1:12" x14ac:dyDescent="0.35">
      <c r="A879" t="s">
        <v>1827</v>
      </c>
      <c r="B879" t="s">
        <v>1828</v>
      </c>
      <c r="C879" t="s">
        <v>94</v>
      </c>
      <c r="D879">
        <v>51</v>
      </c>
      <c r="E879" t="s">
        <v>21</v>
      </c>
      <c r="F879" t="s">
        <v>22</v>
      </c>
      <c r="G879" t="s">
        <v>30</v>
      </c>
      <c r="H879">
        <v>21</v>
      </c>
      <c r="I879">
        <v>20</v>
      </c>
      <c r="K879" t="s">
        <v>71</v>
      </c>
    </row>
    <row r="880" spans="1:12" x14ac:dyDescent="0.35">
      <c r="A880" t="s">
        <v>1829</v>
      </c>
      <c r="B880" t="s">
        <v>1830</v>
      </c>
      <c r="C880" t="s">
        <v>94</v>
      </c>
      <c r="D880">
        <v>46</v>
      </c>
      <c r="E880" t="s">
        <v>56</v>
      </c>
      <c r="F880" t="s">
        <v>22</v>
      </c>
      <c r="G880" t="s">
        <v>70</v>
      </c>
      <c r="H880">
        <v>24</v>
      </c>
      <c r="I880">
        <v>40</v>
      </c>
      <c r="J880">
        <v>3.3</v>
      </c>
      <c r="K880">
        <v>1</v>
      </c>
      <c r="L880" s="1">
        <v>0.87</v>
      </c>
    </row>
    <row r="881" spans="1:12" x14ac:dyDescent="0.35">
      <c r="A881" t="s">
        <v>1831</v>
      </c>
      <c r="B881" t="s">
        <v>1832</v>
      </c>
      <c r="C881" t="s">
        <v>20</v>
      </c>
      <c r="D881">
        <v>25</v>
      </c>
      <c r="E881" t="s">
        <v>109</v>
      </c>
      <c r="F881" t="s">
        <v>110</v>
      </c>
      <c r="G881" t="s">
        <v>43</v>
      </c>
      <c r="H881">
        <v>6</v>
      </c>
      <c r="I881">
        <v>20</v>
      </c>
      <c r="J881">
        <v>2.1</v>
      </c>
      <c r="K881" t="s">
        <v>155</v>
      </c>
    </row>
    <row r="882" spans="1:12" x14ac:dyDescent="0.35">
      <c r="A882" t="s">
        <v>1833</v>
      </c>
      <c r="B882" t="s">
        <v>1834</v>
      </c>
      <c r="C882" t="s">
        <v>27</v>
      </c>
      <c r="D882">
        <v>53</v>
      </c>
      <c r="E882" t="s">
        <v>41</v>
      </c>
      <c r="F882" t="s">
        <v>42</v>
      </c>
      <c r="G882" t="s">
        <v>35</v>
      </c>
      <c r="H882">
        <v>32</v>
      </c>
      <c r="I882">
        <v>50</v>
      </c>
      <c r="K882">
        <v>1</v>
      </c>
    </row>
    <row r="883" spans="1:12" x14ac:dyDescent="0.35">
      <c r="A883" t="s">
        <v>1835</v>
      </c>
      <c r="B883" t="s">
        <v>1836</v>
      </c>
      <c r="C883" t="s">
        <v>20</v>
      </c>
      <c r="D883">
        <v>50</v>
      </c>
      <c r="E883" t="s">
        <v>135</v>
      </c>
      <c r="F883" t="s">
        <v>136</v>
      </c>
      <c r="G883" t="s">
        <v>23</v>
      </c>
      <c r="H883">
        <v>31</v>
      </c>
      <c r="I883" t="s">
        <v>24</v>
      </c>
      <c r="J883">
        <v>2.9</v>
      </c>
      <c r="K883" t="s">
        <v>71</v>
      </c>
      <c r="L883" s="1">
        <v>0.89</v>
      </c>
    </row>
    <row r="884" spans="1:12" x14ac:dyDescent="0.35">
      <c r="A884" t="s">
        <v>1837</v>
      </c>
      <c r="B884" t="s">
        <v>1838</v>
      </c>
      <c r="C884" t="s">
        <v>27</v>
      </c>
      <c r="D884">
        <v>45</v>
      </c>
      <c r="E884" t="s">
        <v>109</v>
      </c>
      <c r="F884" t="s">
        <v>110</v>
      </c>
      <c r="G884" t="s">
        <v>43</v>
      </c>
      <c r="I884" t="s">
        <v>308</v>
      </c>
      <c r="J884">
        <v>3.3</v>
      </c>
      <c r="K884" t="b">
        <v>1</v>
      </c>
      <c r="L884" s="1">
        <v>0.93</v>
      </c>
    </row>
    <row r="885" spans="1:12" x14ac:dyDescent="0.35">
      <c r="A885" t="s">
        <v>1839</v>
      </c>
      <c r="B885" t="s">
        <v>1840</v>
      </c>
      <c r="C885" t="s">
        <v>34</v>
      </c>
      <c r="D885">
        <v>48</v>
      </c>
      <c r="E885" t="s">
        <v>124</v>
      </c>
      <c r="F885" t="s">
        <v>22</v>
      </c>
      <c r="G885" t="s">
        <v>75</v>
      </c>
      <c r="H885">
        <v>24</v>
      </c>
      <c r="I885">
        <v>100</v>
      </c>
      <c r="J885">
        <v>4.8</v>
      </c>
      <c r="K885">
        <v>1</v>
      </c>
      <c r="L885" s="1">
        <v>0.84</v>
      </c>
    </row>
    <row r="886" spans="1:12" x14ac:dyDescent="0.35">
      <c r="A886" t="s">
        <v>1841</v>
      </c>
      <c r="B886" t="s">
        <v>1842</v>
      </c>
      <c r="C886" t="s">
        <v>59</v>
      </c>
      <c r="D886">
        <v>30</v>
      </c>
      <c r="E886" t="s">
        <v>47</v>
      </c>
      <c r="F886" t="s">
        <v>48</v>
      </c>
      <c r="G886" t="s">
        <v>86</v>
      </c>
      <c r="I886" s="2">
        <v>100</v>
      </c>
      <c r="J886">
        <v>4.5</v>
      </c>
      <c r="L886" s="1">
        <v>0.78</v>
      </c>
    </row>
    <row r="887" spans="1:12" x14ac:dyDescent="0.35">
      <c r="A887" t="s">
        <v>1843</v>
      </c>
      <c r="B887" t="s">
        <v>561</v>
      </c>
      <c r="C887" t="s">
        <v>34</v>
      </c>
      <c r="D887">
        <v>33</v>
      </c>
      <c r="E887" t="s">
        <v>41</v>
      </c>
      <c r="F887" t="s">
        <v>42</v>
      </c>
      <c r="G887" t="s">
        <v>70</v>
      </c>
      <c r="H887">
        <v>6</v>
      </c>
      <c r="I887" s="2">
        <v>50</v>
      </c>
      <c r="J887">
        <v>3.1</v>
      </c>
      <c r="K887" t="s">
        <v>155</v>
      </c>
      <c r="L887" s="1">
        <v>0.9</v>
      </c>
    </row>
    <row r="888" spans="1:12" x14ac:dyDescent="0.35">
      <c r="A888" t="s">
        <v>1844</v>
      </c>
      <c r="B888" t="s">
        <v>1845</v>
      </c>
      <c r="C888" t="s">
        <v>34</v>
      </c>
      <c r="D888">
        <v>50</v>
      </c>
      <c r="E888" t="s">
        <v>64</v>
      </c>
      <c r="F888" t="s">
        <v>22</v>
      </c>
      <c r="G888" t="s">
        <v>86</v>
      </c>
      <c r="H888">
        <v>11</v>
      </c>
      <c r="J888">
        <v>4.9000000000000004</v>
      </c>
      <c r="K888">
        <v>1</v>
      </c>
      <c r="L888" s="1">
        <v>0.88</v>
      </c>
    </row>
    <row r="889" spans="1:12" x14ac:dyDescent="0.35">
      <c r="A889" t="s">
        <v>1846</v>
      </c>
      <c r="B889" t="s">
        <v>1847</v>
      </c>
      <c r="C889" t="s">
        <v>74</v>
      </c>
      <c r="D889">
        <v>24</v>
      </c>
      <c r="E889" t="s">
        <v>47</v>
      </c>
      <c r="F889" t="s">
        <v>48</v>
      </c>
      <c r="G889" t="s">
        <v>49</v>
      </c>
      <c r="I889" s="2">
        <v>20</v>
      </c>
      <c r="J889">
        <v>0</v>
      </c>
      <c r="K889">
        <v>0</v>
      </c>
      <c r="L889" s="1">
        <v>0.76</v>
      </c>
    </row>
    <row r="890" spans="1:12" x14ac:dyDescent="0.35">
      <c r="A890" t="s">
        <v>1848</v>
      </c>
      <c r="B890" t="s">
        <v>1849</v>
      </c>
      <c r="C890" t="s">
        <v>27</v>
      </c>
      <c r="D890">
        <v>38</v>
      </c>
      <c r="E890" t="s">
        <v>15</v>
      </c>
      <c r="F890" t="s">
        <v>16</v>
      </c>
      <c r="G890" t="s">
        <v>35</v>
      </c>
      <c r="H890">
        <v>14</v>
      </c>
      <c r="I890">
        <v>75</v>
      </c>
      <c r="J890">
        <v>1.5</v>
      </c>
      <c r="K890" t="s">
        <v>31</v>
      </c>
      <c r="L890" s="1">
        <v>0.62</v>
      </c>
    </row>
    <row r="891" spans="1:12" x14ac:dyDescent="0.35">
      <c r="A891" t="s">
        <v>1850</v>
      </c>
      <c r="B891" t="s">
        <v>1851</v>
      </c>
      <c r="C891" t="s">
        <v>59</v>
      </c>
      <c r="D891">
        <v>56</v>
      </c>
      <c r="E891" t="s">
        <v>82</v>
      </c>
      <c r="F891" t="s">
        <v>83</v>
      </c>
      <c r="G891" t="s">
        <v>86</v>
      </c>
      <c r="H891">
        <v>2</v>
      </c>
      <c r="I891" s="2">
        <v>75</v>
      </c>
      <c r="J891">
        <v>2.4</v>
      </c>
      <c r="K891" t="s">
        <v>31</v>
      </c>
    </row>
    <row r="892" spans="1:12" x14ac:dyDescent="0.35">
      <c r="A892" t="s">
        <v>1852</v>
      </c>
      <c r="B892" t="s">
        <v>1853</v>
      </c>
      <c r="C892" t="s">
        <v>14</v>
      </c>
      <c r="D892">
        <v>41</v>
      </c>
      <c r="E892" t="s">
        <v>120</v>
      </c>
      <c r="F892" t="s">
        <v>121</v>
      </c>
      <c r="G892" t="s">
        <v>86</v>
      </c>
      <c r="H892">
        <v>2</v>
      </c>
      <c r="I892" t="s">
        <v>24</v>
      </c>
      <c r="J892">
        <v>4.5</v>
      </c>
      <c r="K892" t="s">
        <v>31</v>
      </c>
      <c r="L892">
        <v>75</v>
      </c>
    </row>
    <row r="893" spans="1:12" x14ac:dyDescent="0.35">
      <c r="A893" t="s">
        <v>1854</v>
      </c>
      <c r="B893" t="s">
        <v>1855</v>
      </c>
      <c r="C893" t="s">
        <v>94</v>
      </c>
      <c r="E893" t="s">
        <v>15</v>
      </c>
      <c r="F893" t="s">
        <v>16</v>
      </c>
      <c r="G893" t="s">
        <v>70</v>
      </c>
      <c r="H893">
        <v>11</v>
      </c>
      <c r="I893" t="s">
        <v>24</v>
      </c>
      <c r="J893">
        <v>2.5</v>
      </c>
      <c r="K893" t="s">
        <v>65</v>
      </c>
      <c r="L893">
        <v>80</v>
      </c>
    </row>
    <row r="894" spans="1:12" x14ac:dyDescent="0.35">
      <c r="A894" t="s">
        <v>1856</v>
      </c>
      <c r="B894" t="s">
        <v>1857</v>
      </c>
      <c r="C894" t="s">
        <v>14</v>
      </c>
      <c r="D894">
        <v>42</v>
      </c>
      <c r="E894" t="s">
        <v>28</v>
      </c>
      <c r="F894" t="s">
        <v>29</v>
      </c>
      <c r="G894" t="s">
        <v>30</v>
      </c>
      <c r="H894">
        <v>13</v>
      </c>
      <c r="I894">
        <v>30</v>
      </c>
      <c r="J894">
        <v>3.3</v>
      </c>
      <c r="L894" s="1">
        <v>0.63</v>
      </c>
    </row>
    <row r="895" spans="1:12" x14ac:dyDescent="0.35">
      <c r="A895" t="s">
        <v>1858</v>
      </c>
      <c r="B895" t="s">
        <v>1859</v>
      </c>
      <c r="C895" t="s">
        <v>94</v>
      </c>
      <c r="D895">
        <v>26</v>
      </c>
      <c r="E895" t="s">
        <v>90</v>
      </c>
      <c r="F895" t="s">
        <v>91</v>
      </c>
      <c r="G895" t="s">
        <v>17</v>
      </c>
      <c r="H895">
        <v>7</v>
      </c>
      <c r="I895">
        <v>75</v>
      </c>
      <c r="J895">
        <v>3</v>
      </c>
      <c r="L895" s="1">
        <v>0.84</v>
      </c>
    </row>
    <row r="896" spans="1:12" x14ac:dyDescent="0.35">
      <c r="A896" t="s">
        <v>1860</v>
      </c>
      <c r="B896" t="s">
        <v>1861</v>
      </c>
      <c r="C896" t="s">
        <v>14</v>
      </c>
      <c r="D896">
        <v>44</v>
      </c>
      <c r="E896" t="s">
        <v>124</v>
      </c>
      <c r="F896" t="s">
        <v>22</v>
      </c>
      <c r="G896" t="s">
        <v>75</v>
      </c>
      <c r="H896">
        <v>25</v>
      </c>
      <c r="I896">
        <v>75</v>
      </c>
      <c r="J896">
        <v>2.7</v>
      </c>
      <c r="K896">
        <v>1</v>
      </c>
      <c r="L896">
        <v>78</v>
      </c>
    </row>
    <row r="897" spans="1:12" x14ac:dyDescent="0.35">
      <c r="A897" t="s">
        <v>1862</v>
      </c>
      <c r="B897" t="s">
        <v>1863</v>
      </c>
      <c r="C897" t="s">
        <v>59</v>
      </c>
      <c r="D897">
        <v>46</v>
      </c>
      <c r="E897" t="s">
        <v>124</v>
      </c>
      <c r="F897" t="s">
        <v>22</v>
      </c>
      <c r="G897" t="s">
        <v>30</v>
      </c>
      <c r="H897">
        <v>20</v>
      </c>
      <c r="I897" s="2">
        <v>20</v>
      </c>
      <c r="J897">
        <v>1.2</v>
      </c>
      <c r="K897" t="b">
        <v>0</v>
      </c>
      <c r="L897" s="1">
        <v>0.74</v>
      </c>
    </row>
    <row r="898" spans="1:12" x14ac:dyDescent="0.35">
      <c r="A898" t="s">
        <v>1864</v>
      </c>
      <c r="B898" t="s">
        <v>1865</v>
      </c>
      <c r="C898" t="s">
        <v>38</v>
      </c>
      <c r="D898">
        <v>36</v>
      </c>
      <c r="E898" t="s">
        <v>56</v>
      </c>
      <c r="F898" t="s">
        <v>22</v>
      </c>
      <c r="G898" t="s">
        <v>70</v>
      </c>
      <c r="H898">
        <v>8</v>
      </c>
      <c r="I898">
        <v>50</v>
      </c>
      <c r="J898">
        <v>4.3</v>
      </c>
      <c r="K898">
        <v>0</v>
      </c>
      <c r="L898" s="1">
        <v>0.9</v>
      </c>
    </row>
    <row r="899" spans="1:12" x14ac:dyDescent="0.35">
      <c r="A899" t="s">
        <v>1866</v>
      </c>
      <c r="B899" t="s">
        <v>1867</v>
      </c>
      <c r="C899" t="s">
        <v>94</v>
      </c>
      <c r="D899">
        <v>26</v>
      </c>
      <c r="E899" t="s">
        <v>41</v>
      </c>
      <c r="F899" t="s">
        <v>42</v>
      </c>
      <c r="G899" t="s">
        <v>43</v>
      </c>
      <c r="H899">
        <v>6</v>
      </c>
      <c r="I899" s="2">
        <v>40</v>
      </c>
      <c r="J899">
        <v>1.3</v>
      </c>
      <c r="K899">
        <v>0</v>
      </c>
    </row>
    <row r="900" spans="1:12" x14ac:dyDescent="0.35">
      <c r="A900" t="s">
        <v>1868</v>
      </c>
      <c r="B900" t="s">
        <v>1869</v>
      </c>
      <c r="C900" t="s">
        <v>27</v>
      </c>
      <c r="D900">
        <v>21</v>
      </c>
      <c r="E900" t="s">
        <v>28</v>
      </c>
      <c r="F900" t="s">
        <v>29</v>
      </c>
      <c r="G900" t="s">
        <v>70</v>
      </c>
      <c r="H900">
        <v>3</v>
      </c>
      <c r="I900">
        <v>50</v>
      </c>
      <c r="J900">
        <v>4.5999999999999996</v>
      </c>
      <c r="K900" t="s">
        <v>71</v>
      </c>
    </row>
    <row r="901" spans="1:12" x14ac:dyDescent="0.35">
      <c r="A901" t="s">
        <v>1870</v>
      </c>
      <c r="B901" t="s">
        <v>1871</v>
      </c>
      <c r="C901" t="s">
        <v>14</v>
      </c>
      <c r="D901">
        <v>39</v>
      </c>
      <c r="E901" t="s">
        <v>47</v>
      </c>
      <c r="F901" t="s">
        <v>48</v>
      </c>
      <c r="G901" t="s">
        <v>70</v>
      </c>
      <c r="H901">
        <v>18</v>
      </c>
      <c r="I901">
        <v>50</v>
      </c>
      <c r="J901">
        <v>2.1</v>
      </c>
      <c r="K901">
        <v>0</v>
      </c>
      <c r="L901">
        <v>75</v>
      </c>
    </row>
    <row r="902" spans="1:12" x14ac:dyDescent="0.35">
      <c r="A902" t="s">
        <v>1872</v>
      </c>
      <c r="B902" t="s">
        <v>1873</v>
      </c>
      <c r="C902" t="s">
        <v>74</v>
      </c>
      <c r="D902">
        <v>37</v>
      </c>
      <c r="E902" t="s">
        <v>56</v>
      </c>
      <c r="F902" t="s">
        <v>22</v>
      </c>
      <c r="G902" t="s">
        <v>17</v>
      </c>
      <c r="H902">
        <v>18</v>
      </c>
      <c r="I902">
        <v>40</v>
      </c>
      <c r="J902">
        <v>4.5</v>
      </c>
      <c r="K902" t="s">
        <v>155</v>
      </c>
      <c r="L902" s="1">
        <v>0.72</v>
      </c>
    </row>
    <row r="903" spans="1:12" x14ac:dyDescent="0.35">
      <c r="A903" t="s">
        <v>1874</v>
      </c>
      <c r="B903" t="s">
        <v>1875</v>
      </c>
      <c r="C903" t="s">
        <v>74</v>
      </c>
      <c r="D903">
        <v>47</v>
      </c>
      <c r="E903" t="s">
        <v>120</v>
      </c>
      <c r="F903" t="s">
        <v>121</v>
      </c>
      <c r="G903" t="s">
        <v>70</v>
      </c>
      <c r="H903">
        <v>3</v>
      </c>
      <c r="I903">
        <v>40</v>
      </c>
      <c r="J903">
        <v>4.4000000000000004</v>
      </c>
      <c r="K903" t="s">
        <v>65</v>
      </c>
      <c r="L903" s="1">
        <v>0.92</v>
      </c>
    </row>
    <row r="904" spans="1:12" x14ac:dyDescent="0.35">
      <c r="A904" t="s">
        <v>1876</v>
      </c>
      <c r="B904" t="s">
        <v>1877</v>
      </c>
      <c r="C904" t="s">
        <v>20</v>
      </c>
      <c r="D904">
        <v>53</v>
      </c>
      <c r="E904" t="s">
        <v>120</v>
      </c>
      <c r="F904" t="s">
        <v>121</v>
      </c>
      <c r="G904" t="s">
        <v>30</v>
      </c>
      <c r="H904">
        <v>32</v>
      </c>
      <c r="I904" t="s">
        <v>308</v>
      </c>
      <c r="J904">
        <v>0</v>
      </c>
      <c r="K904" t="s">
        <v>31</v>
      </c>
    </row>
    <row r="905" spans="1:12" x14ac:dyDescent="0.35">
      <c r="A905" t="s">
        <v>1878</v>
      </c>
      <c r="B905" t="s">
        <v>1879</v>
      </c>
      <c r="C905" t="s">
        <v>38</v>
      </c>
      <c r="D905">
        <v>53</v>
      </c>
      <c r="E905" t="s">
        <v>68</v>
      </c>
      <c r="F905" t="s">
        <v>69</v>
      </c>
      <c r="G905" t="s">
        <v>23</v>
      </c>
      <c r="H905">
        <v>19</v>
      </c>
      <c r="I905" t="s">
        <v>308</v>
      </c>
      <c r="J905">
        <v>1.3</v>
      </c>
      <c r="K905">
        <v>0</v>
      </c>
    </row>
    <row r="906" spans="1:12" x14ac:dyDescent="0.35">
      <c r="A906" t="s">
        <v>1880</v>
      </c>
      <c r="B906" t="s">
        <v>1881</v>
      </c>
      <c r="C906" t="s">
        <v>27</v>
      </c>
      <c r="D906">
        <v>21</v>
      </c>
      <c r="E906" t="s">
        <v>90</v>
      </c>
      <c r="F906" t="s">
        <v>91</v>
      </c>
      <c r="G906" t="s">
        <v>49</v>
      </c>
      <c r="H906">
        <v>2</v>
      </c>
      <c r="I906">
        <v>50</v>
      </c>
      <c r="J906">
        <v>2.6</v>
      </c>
      <c r="K906" t="b">
        <v>0</v>
      </c>
      <c r="L906" s="1">
        <v>0.86</v>
      </c>
    </row>
    <row r="907" spans="1:12" x14ac:dyDescent="0.35">
      <c r="A907" t="s">
        <v>1882</v>
      </c>
      <c r="B907" t="s">
        <v>1883</v>
      </c>
      <c r="C907" t="s">
        <v>38</v>
      </c>
      <c r="D907">
        <v>35</v>
      </c>
      <c r="E907" t="s">
        <v>64</v>
      </c>
      <c r="F907" t="s">
        <v>22</v>
      </c>
      <c r="G907" t="s">
        <v>17</v>
      </c>
      <c r="H907">
        <v>0</v>
      </c>
      <c r="K907" t="s">
        <v>71</v>
      </c>
      <c r="L907">
        <v>85</v>
      </c>
    </row>
    <row r="908" spans="1:12" x14ac:dyDescent="0.35">
      <c r="A908" t="s">
        <v>1884</v>
      </c>
      <c r="B908" t="s">
        <v>1885</v>
      </c>
      <c r="C908" t="s">
        <v>94</v>
      </c>
      <c r="D908">
        <v>31</v>
      </c>
      <c r="E908" t="s">
        <v>68</v>
      </c>
      <c r="F908" t="s">
        <v>69</v>
      </c>
      <c r="G908" t="s">
        <v>111</v>
      </c>
      <c r="H908">
        <v>13</v>
      </c>
      <c r="I908" s="2">
        <v>40</v>
      </c>
      <c r="J908">
        <v>1.2</v>
      </c>
      <c r="K908" t="b">
        <v>0</v>
      </c>
      <c r="L908">
        <v>62</v>
      </c>
    </row>
    <row r="909" spans="1:12" x14ac:dyDescent="0.35">
      <c r="A909" t="s">
        <v>1886</v>
      </c>
      <c r="B909" t="s">
        <v>1887</v>
      </c>
      <c r="C909" t="s">
        <v>74</v>
      </c>
      <c r="D909">
        <v>55</v>
      </c>
      <c r="E909" t="s">
        <v>109</v>
      </c>
      <c r="F909" t="s">
        <v>110</v>
      </c>
      <c r="G909" t="s">
        <v>43</v>
      </c>
      <c r="H909">
        <v>2</v>
      </c>
      <c r="I909" t="s">
        <v>106</v>
      </c>
      <c r="J909">
        <v>3.1</v>
      </c>
      <c r="K909" t="s">
        <v>71</v>
      </c>
      <c r="L909" s="1">
        <v>0.91</v>
      </c>
    </row>
    <row r="910" spans="1:12" x14ac:dyDescent="0.35">
      <c r="A910" t="s">
        <v>1888</v>
      </c>
      <c r="B910" t="s">
        <v>1889</v>
      </c>
      <c r="C910" t="s">
        <v>14</v>
      </c>
      <c r="D910">
        <v>59</v>
      </c>
      <c r="E910" t="s">
        <v>60</v>
      </c>
      <c r="F910" t="s">
        <v>61</v>
      </c>
      <c r="G910" t="s">
        <v>35</v>
      </c>
      <c r="H910">
        <v>11</v>
      </c>
      <c r="I910" s="2">
        <v>75</v>
      </c>
      <c r="J910">
        <v>2.2999999999999998</v>
      </c>
      <c r="K910" t="s">
        <v>71</v>
      </c>
      <c r="L910" s="1">
        <v>0.8</v>
      </c>
    </row>
    <row r="911" spans="1:12" x14ac:dyDescent="0.35">
      <c r="A911" t="s">
        <v>1890</v>
      </c>
      <c r="B911" t="s">
        <v>1891</v>
      </c>
      <c r="C911" t="s">
        <v>59</v>
      </c>
      <c r="D911">
        <v>59</v>
      </c>
      <c r="E911" t="s">
        <v>131</v>
      </c>
      <c r="F911" t="s">
        <v>132</v>
      </c>
      <c r="G911" t="s">
        <v>75</v>
      </c>
      <c r="H911">
        <v>17</v>
      </c>
      <c r="I911">
        <v>100</v>
      </c>
      <c r="J911">
        <v>4</v>
      </c>
      <c r="K911" t="s">
        <v>155</v>
      </c>
      <c r="L911" s="1">
        <v>0.72</v>
      </c>
    </row>
    <row r="912" spans="1:12" x14ac:dyDescent="0.35">
      <c r="A912" t="s">
        <v>1892</v>
      </c>
      <c r="B912" t="s">
        <v>1893</v>
      </c>
      <c r="C912" t="s">
        <v>89</v>
      </c>
      <c r="D912">
        <v>47</v>
      </c>
      <c r="E912" t="s">
        <v>90</v>
      </c>
      <c r="F912" t="s">
        <v>91</v>
      </c>
      <c r="G912" t="s">
        <v>17</v>
      </c>
      <c r="H912">
        <v>10</v>
      </c>
      <c r="I912" s="2">
        <v>75</v>
      </c>
      <c r="J912">
        <v>1.9</v>
      </c>
    </row>
    <row r="913" spans="1:12" x14ac:dyDescent="0.35">
      <c r="A913" t="s">
        <v>1894</v>
      </c>
      <c r="B913" t="s">
        <v>1895</v>
      </c>
      <c r="C913" t="s">
        <v>38</v>
      </c>
      <c r="D913">
        <v>53</v>
      </c>
      <c r="E913" t="s">
        <v>149</v>
      </c>
      <c r="F913" t="s">
        <v>150</v>
      </c>
      <c r="G913" t="s">
        <v>111</v>
      </c>
      <c r="H913">
        <v>26</v>
      </c>
      <c r="I913">
        <v>75</v>
      </c>
      <c r="J913">
        <v>2.4</v>
      </c>
      <c r="K913" t="s">
        <v>65</v>
      </c>
    </row>
    <row r="914" spans="1:12" x14ac:dyDescent="0.35">
      <c r="A914" t="s">
        <v>1896</v>
      </c>
      <c r="B914" t="s">
        <v>513</v>
      </c>
      <c r="C914" t="s">
        <v>59</v>
      </c>
      <c r="D914">
        <v>49</v>
      </c>
      <c r="E914" t="s">
        <v>149</v>
      </c>
      <c r="F914" t="s">
        <v>150</v>
      </c>
      <c r="G914" t="s">
        <v>49</v>
      </c>
      <c r="I914" s="2">
        <v>30</v>
      </c>
      <c r="K914" t="s">
        <v>65</v>
      </c>
      <c r="L914" s="1">
        <v>0.74</v>
      </c>
    </row>
    <row r="915" spans="1:12" x14ac:dyDescent="0.35">
      <c r="A915" t="s">
        <v>1897</v>
      </c>
      <c r="B915" t="s">
        <v>1898</v>
      </c>
      <c r="C915" t="s">
        <v>14</v>
      </c>
      <c r="D915">
        <v>50</v>
      </c>
      <c r="E915" t="s">
        <v>149</v>
      </c>
      <c r="F915" t="s">
        <v>150</v>
      </c>
      <c r="G915" t="s">
        <v>23</v>
      </c>
      <c r="H915">
        <v>8</v>
      </c>
      <c r="I915" t="s">
        <v>95</v>
      </c>
      <c r="J915">
        <v>3.7</v>
      </c>
      <c r="K915" t="s">
        <v>71</v>
      </c>
      <c r="L915" s="1">
        <v>0.82</v>
      </c>
    </row>
    <row r="916" spans="1:12" x14ac:dyDescent="0.35">
      <c r="A916" t="s">
        <v>1899</v>
      </c>
      <c r="B916" t="s">
        <v>1900</v>
      </c>
      <c r="C916" t="s">
        <v>38</v>
      </c>
      <c r="D916">
        <v>59</v>
      </c>
      <c r="E916" t="s">
        <v>109</v>
      </c>
      <c r="F916" t="s">
        <v>110</v>
      </c>
      <c r="G916" t="s">
        <v>111</v>
      </c>
      <c r="H916">
        <v>22</v>
      </c>
      <c r="I916" t="s">
        <v>24</v>
      </c>
      <c r="J916">
        <v>1.1000000000000001</v>
      </c>
      <c r="K916" t="s">
        <v>155</v>
      </c>
      <c r="L916" s="1">
        <v>0.85</v>
      </c>
    </row>
    <row r="917" spans="1:12" x14ac:dyDescent="0.35">
      <c r="A917" t="s">
        <v>1901</v>
      </c>
      <c r="B917" t="s">
        <v>1902</v>
      </c>
      <c r="C917" t="s">
        <v>89</v>
      </c>
      <c r="D917">
        <v>33</v>
      </c>
      <c r="E917" t="s">
        <v>60</v>
      </c>
      <c r="F917" t="s">
        <v>61</v>
      </c>
      <c r="G917" t="s">
        <v>49</v>
      </c>
      <c r="H917">
        <v>8</v>
      </c>
      <c r="I917" t="s">
        <v>50</v>
      </c>
      <c r="J917">
        <v>2.2999999999999998</v>
      </c>
      <c r="K917" t="b">
        <v>1</v>
      </c>
      <c r="L917" s="1">
        <v>0.68</v>
      </c>
    </row>
    <row r="918" spans="1:12" x14ac:dyDescent="0.35">
      <c r="A918" t="s">
        <v>1903</v>
      </c>
      <c r="B918" t="s">
        <v>1904</v>
      </c>
      <c r="C918" t="s">
        <v>14</v>
      </c>
      <c r="D918">
        <v>45</v>
      </c>
      <c r="E918" t="s">
        <v>124</v>
      </c>
      <c r="F918" t="s">
        <v>22</v>
      </c>
      <c r="G918" t="s">
        <v>35</v>
      </c>
      <c r="H918">
        <v>22</v>
      </c>
      <c r="I918">
        <v>40</v>
      </c>
      <c r="J918">
        <v>3.7</v>
      </c>
      <c r="K918" t="s">
        <v>71</v>
      </c>
      <c r="L918" s="1">
        <v>0.99</v>
      </c>
    </row>
    <row r="919" spans="1:12" x14ac:dyDescent="0.35">
      <c r="A919" t="s">
        <v>1905</v>
      </c>
      <c r="B919" t="s">
        <v>1906</v>
      </c>
      <c r="C919" t="s">
        <v>38</v>
      </c>
      <c r="D919">
        <v>36</v>
      </c>
      <c r="E919" t="s">
        <v>15</v>
      </c>
      <c r="F919" t="s">
        <v>16</v>
      </c>
      <c r="G919" t="s">
        <v>30</v>
      </c>
      <c r="H919">
        <v>14</v>
      </c>
      <c r="I919">
        <v>30</v>
      </c>
      <c r="J919">
        <v>1.9</v>
      </c>
      <c r="K919">
        <v>0</v>
      </c>
      <c r="L919" s="1">
        <v>0.62</v>
      </c>
    </row>
    <row r="920" spans="1:12" x14ac:dyDescent="0.35">
      <c r="A920" t="s">
        <v>1907</v>
      </c>
      <c r="B920" t="s">
        <v>1908</v>
      </c>
      <c r="C920" t="s">
        <v>27</v>
      </c>
      <c r="D920">
        <v>46</v>
      </c>
      <c r="E920" t="s">
        <v>149</v>
      </c>
      <c r="F920" t="s">
        <v>150</v>
      </c>
      <c r="G920" t="s">
        <v>70</v>
      </c>
      <c r="H920">
        <v>6</v>
      </c>
      <c r="I920">
        <v>30</v>
      </c>
      <c r="J920">
        <v>1.5</v>
      </c>
      <c r="K920" t="s">
        <v>31</v>
      </c>
    </row>
    <row r="921" spans="1:12" x14ac:dyDescent="0.35">
      <c r="A921" t="s">
        <v>1909</v>
      </c>
      <c r="B921" t="s">
        <v>1910</v>
      </c>
      <c r="C921" t="s">
        <v>38</v>
      </c>
      <c r="D921">
        <v>53</v>
      </c>
      <c r="E921" t="s">
        <v>60</v>
      </c>
      <c r="F921" t="s">
        <v>61</v>
      </c>
      <c r="G921" t="s">
        <v>30</v>
      </c>
      <c r="H921">
        <v>14</v>
      </c>
      <c r="I921">
        <v>30</v>
      </c>
      <c r="J921">
        <v>0</v>
      </c>
      <c r="K921" t="b">
        <v>0</v>
      </c>
      <c r="L921" s="1">
        <v>0.83</v>
      </c>
    </row>
    <row r="922" spans="1:12" x14ac:dyDescent="0.35">
      <c r="A922" t="s">
        <v>1911</v>
      </c>
      <c r="B922" t="s">
        <v>1912</v>
      </c>
      <c r="C922" t="s">
        <v>14</v>
      </c>
      <c r="D922">
        <v>24</v>
      </c>
      <c r="E922" t="s">
        <v>56</v>
      </c>
      <c r="F922" t="s">
        <v>22</v>
      </c>
      <c r="G922" t="s">
        <v>35</v>
      </c>
      <c r="H922">
        <v>2</v>
      </c>
      <c r="I922">
        <v>30</v>
      </c>
      <c r="J922">
        <v>3.6</v>
      </c>
      <c r="L922" s="1">
        <v>0.92</v>
      </c>
    </row>
    <row r="923" spans="1:12" x14ac:dyDescent="0.35">
      <c r="A923" t="s">
        <v>1913</v>
      </c>
      <c r="B923" t="s">
        <v>1914</v>
      </c>
      <c r="C923" t="s">
        <v>38</v>
      </c>
      <c r="D923">
        <v>49</v>
      </c>
      <c r="E923" t="s">
        <v>185</v>
      </c>
      <c r="F923" t="s">
        <v>69</v>
      </c>
      <c r="G923" t="s">
        <v>86</v>
      </c>
      <c r="H923">
        <v>4</v>
      </c>
      <c r="I923" s="2">
        <v>75</v>
      </c>
      <c r="J923">
        <v>2.1</v>
      </c>
      <c r="L923" s="1">
        <v>0.85</v>
      </c>
    </row>
    <row r="924" spans="1:12" x14ac:dyDescent="0.35">
      <c r="A924" t="s">
        <v>1915</v>
      </c>
      <c r="B924" t="s">
        <v>1916</v>
      </c>
      <c r="C924" t="s">
        <v>34</v>
      </c>
      <c r="D924">
        <v>49</v>
      </c>
      <c r="E924" t="s">
        <v>109</v>
      </c>
      <c r="F924" t="s">
        <v>110</v>
      </c>
      <c r="G924" t="s">
        <v>43</v>
      </c>
      <c r="H924">
        <v>4</v>
      </c>
      <c r="I924">
        <v>75</v>
      </c>
      <c r="J924">
        <v>2.9</v>
      </c>
      <c r="K924" t="s">
        <v>31</v>
      </c>
    </row>
    <row r="925" spans="1:12" x14ac:dyDescent="0.35">
      <c r="A925" t="s">
        <v>1917</v>
      </c>
      <c r="B925" t="s">
        <v>1918</v>
      </c>
      <c r="C925" t="s">
        <v>20</v>
      </c>
      <c r="D925">
        <v>49</v>
      </c>
      <c r="E925" t="s">
        <v>109</v>
      </c>
      <c r="F925" t="s">
        <v>110</v>
      </c>
      <c r="G925" t="s">
        <v>23</v>
      </c>
      <c r="H925">
        <v>24</v>
      </c>
      <c r="I925">
        <v>100</v>
      </c>
      <c r="J925">
        <v>3.6</v>
      </c>
      <c r="K925" t="b">
        <v>1</v>
      </c>
    </row>
    <row r="926" spans="1:12" x14ac:dyDescent="0.35">
      <c r="A926" t="s">
        <v>1919</v>
      </c>
      <c r="B926" t="s">
        <v>1920</v>
      </c>
      <c r="C926" t="s">
        <v>74</v>
      </c>
      <c r="D926">
        <v>58</v>
      </c>
      <c r="E926" t="s">
        <v>104</v>
      </c>
      <c r="F926" t="s">
        <v>105</v>
      </c>
      <c r="G926" t="s">
        <v>17</v>
      </c>
      <c r="H926">
        <v>29</v>
      </c>
      <c r="I926">
        <v>30</v>
      </c>
      <c r="J926">
        <v>3.3</v>
      </c>
      <c r="K926" t="s">
        <v>65</v>
      </c>
      <c r="L926" s="1">
        <v>0.89</v>
      </c>
    </row>
    <row r="927" spans="1:12" x14ac:dyDescent="0.35">
      <c r="A927" t="s">
        <v>1921</v>
      </c>
      <c r="B927" t="s">
        <v>1922</v>
      </c>
      <c r="C927" t="s">
        <v>59</v>
      </c>
      <c r="D927">
        <v>50</v>
      </c>
      <c r="E927" t="s">
        <v>149</v>
      </c>
      <c r="F927" t="s">
        <v>150</v>
      </c>
      <c r="G927" t="s">
        <v>70</v>
      </c>
      <c r="H927">
        <v>13</v>
      </c>
      <c r="J927">
        <v>2.5</v>
      </c>
      <c r="K927" t="s">
        <v>71</v>
      </c>
      <c r="L927" s="1">
        <v>0.81</v>
      </c>
    </row>
    <row r="928" spans="1:12" x14ac:dyDescent="0.35">
      <c r="A928" t="s">
        <v>1923</v>
      </c>
      <c r="B928" t="s">
        <v>1924</v>
      </c>
      <c r="C928" t="s">
        <v>89</v>
      </c>
      <c r="D928">
        <v>27</v>
      </c>
      <c r="E928" t="s">
        <v>149</v>
      </c>
      <c r="F928" t="s">
        <v>150</v>
      </c>
      <c r="G928" t="s">
        <v>86</v>
      </c>
      <c r="H928">
        <v>1</v>
      </c>
      <c r="I928" t="s">
        <v>24</v>
      </c>
      <c r="J928">
        <v>3.7</v>
      </c>
      <c r="K928" t="s">
        <v>71</v>
      </c>
      <c r="L928">
        <v>61</v>
      </c>
    </row>
    <row r="929" spans="1:12" x14ac:dyDescent="0.35">
      <c r="A929" t="s">
        <v>1925</v>
      </c>
      <c r="B929" t="s">
        <v>1926</v>
      </c>
      <c r="C929" t="s">
        <v>34</v>
      </c>
      <c r="D929">
        <v>20</v>
      </c>
      <c r="E929" t="s">
        <v>109</v>
      </c>
      <c r="F929" t="s">
        <v>110</v>
      </c>
      <c r="G929" t="s">
        <v>111</v>
      </c>
      <c r="I929" s="2">
        <v>30</v>
      </c>
      <c r="J929">
        <v>4.5999999999999996</v>
      </c>
      <c r="K929">
        <v>1</v>
      </c>
    </row>
    <row r="930" spans="1:12" x14ac:dyDescent="0.35">
      <c r="A930" t="s">
        <v>1927</v>
      </c>
      <c r="B930" t="s">
        <v>1928</v>
      </c>
      <c r="C930" t="s">
        <v>59</v>
      </c>
      <c r="D930">
        <v>52</v>
      </c>
      <c r="E930" t="s">
        <v>120</v>
      </c>
      <c r="F930" t="s">
        <v>121</v>
      </c>
      <c r="G930" t="s">
        <v>17</v>
      </c>
      <c r="H930">
        <v>15</v>
      </c>
      <c r="I930" s="2">
        <v>40</v>
      </c>
      <c r="J930">
        <v>0</v>
      </c>
      <c r="K930">
        <v>1</v>
      </c>
      <c r="L930" s="1">
        <v>0.92</v>
      </c>
    </row>
    <row r="931" spans="1:12" x14ac:dyDescent="0.35">
      <c r="A931" t="s">
        <v>1929</v>
      </c>
      <c r="B931" t="s">
        <v>1930</v>
      </c>
      <c r="C931" t="s">
        <v>74</v>
      </c>
      <c r="D931">
        <v>22</v>
      </c>
      <c r="E931" t="s">
        <v>131</v>
      </c>
      <c r="F931" t="s">
        <v>132</v>
      </c>
      <c r="G931" t="s">
        <v>111</v>
      </c>
      <c r="H931">
        <v>2</v>
      </c>
      <c r="I931">
        <v>30</v>
      </c>
      <c r="J931">
        <v>2</v>
      </c>
      <c r="K931" t="s">
        <v>155</v>
      </c>
      <c r="L931" s="1">
        <v>0.96</v>
      </c>
    </row>
    <row r="932" spans="1:12" x14ac:dyDescent="0.35">
      <c r="A932" t="s">
        <v>1931</v>
      </c>
      <c r="B932" t="s">
        <v>1932</v>
      </c>
      <c r="C932" t="s">
        <v>74</v>
      </c>
      <c r="D932">
        <v>38</v>
      </c>
      <c r="E932" t="s">
        <v>60</v>
      </c>
      <c r="F932" t="s">
        <v>61</v>
      </c>
      <c r="G932" t="s">
        <v>35</v>
      </c>
      <c r="H932">
        <v>14</v>
      </c>
      <c r="I932">
        <v>100</v>
      </c>
      <c r="J932">
        <v>1.7</v>
      </c>
      <c r="K932" t="b">
        <v>0</v>
      </c>
      <c r="L932" s="1">
        <v>0.66</v>
      </c>
    </row>
    <row r="933" spans="1:12" x14ac:dyDescent="0.35">
      <c r="A933" t="s">
        <v>1933</v>
      </c>
      <c r="B933" t="s">
        <v>1934</v>
      </c>
      <c r="C933" t="s">
        <v>27</v>
      </c>
      <c r="D933">
        <v>21</v>
      </c>
      <c r="E933" t="s">
        <v>124</v>
      </c>
      <c r="F933" t="s">
        <v>22</v>
      </c>
      <c r="G933" t="s">
        <v>30</v>
      </c>
      <c r="H933">
        <v>0</v>
      </c>
      <c r="I933" t="s">
        <v>24</v>
      </c>
      <c r="J933">
        <v>3</v>
      </c>
      <c r="K933" t="s">
        <v>31</v>
      </c>
      <c r="L933" s="1">
        <v>0.64</v>
      </c>
    </row>
    <row r="934" spans="1:12" x14ac:dyDescent="0.35">
      <c r="A934" t="s">
        <v>1935</v>
      </c>
      <c r="B934" t="s">
        <v>1936</v>
      </c>
      <c r="C934" t="s">
        <v>59</v>
      </c>
      <c r="D934">
        <v>41</v>
      </c>
      <c r="E934" t="s">
        <v>21</v>
      </c>
      <c r="F934" t="s">
        <v>22</v>
      </c>
      <c r="G934" t="s">
        <v>43</v>
      </c>
      <c r="H934">
        <v>15</v>
      </c>
      <c r="I934">
        <v>40</v>
      </c>
      <c r="J934">
        <v>3.4</v>
      </c>
      <c r="K934" t="b">
        <v>0</v>
      </c>
      <c r="L934" s="1">
        <v>1</v>
      </c>
    </row>
    <row r="935" spans="1:12" x14ac:dyDescent="0.35">
      <c r="A935" t="s">
        <v>1937</v>
      </c>
      <c r="B935" t="s">
        <v>1938</v>
      </c>
      <c r="C935" t="s">
        <v>38</v>
      </c>
      <c r="D935">
        <v>33</v>
      </c>
      <c r="E935" t="s">
        <v>47</v>
      </c>
      <c r="F935" t="s">
        <v>48</v>
      </c>
      <c r="G935" t="s">
        <v>17</v>
      </c>
      <c r="H935">
        <v>6</v>
      </c>
      <c r="I935">
        <v>40</v>
      </c>
      <c r="J935">
        <v>3.2</v>
      </c>
      <c r="K935">
        <v>1</v>
      </c>
      <c r="L935" s="1">
        <v>0.95</v>
      </c>
    </row>
    <row r="936" spans="1:12" x14ac:dyDescent="0.35">
      <c r="A936" t="s">
        <v>1939</v>
      </c>
      <c r="B936" t="s">
        <v>1940</v>
      </c>
      <c r="C936" t="s">
        <v>14</v>
      </c>
      <c r="D936">
        <v>38</v>
      </c>
      <c r="E936" t="s">
        <v>174</v>
      </c>
      <c r="F936" t="s">
        <v>69</v>
      </c>
      <c r="G936" t="s">
        <v>23</v>
      </c>
      <c r="H936">
        <v>11</v>
      </c>
      <c r="J936">
        <v>2.8</v>
      </c>
      <c r="L936">
        <v>91</v>
      </c>
    </row>
    <row r="937" spans="1:12" x14ac:dyDescent="0.35">
      <c r="A937" t="s">
        <v>1941</v>
      </c>
      <c r="B937" t="s">
        <v>1942</v>
      </c>
      <c r="C937" t="s">
        <v>34</v>
      </c>
      <c r="D937">
        <v>26</v>
      </c>
      <c r="E937" t="s">
        <v>120</v>
      </c>
      <c r="F937" t="s">
        <v>121</v>
      </c>
      <c r="G937" t="s">
        <v>86</v>
      </c>
      <c r="H937">
        <v>8</v>
      </c>
      <c r="I937" t="s">
        <v>308</v>
      </c>
      <c r="J937">
        <v>4.0999999999999996</v>
      </c>
      <c r="K937" t="s">
        <v>65</v>
      </c>
      <c r="L937" s="1">
        <v>0.82</v>
      </c>
    </row>
    <row r="938" spans="1:12" x14ac:dyDescent="0.35">
      <c r="A938" t="s">
        <v>1943</v>
      </c>
      <c r="B938" t="s">
        <v>1944</v>
      </c>
      <c r="C938" t="s">
        <v>14</v>
      </c>
      <c r="D938">
        <v>43</v>
      </c>
      <c r="E938" t="s">
        <v>41</v>
      </c>
      <c r="F938" t="s">
        <v>42</v>
      </c>
      <c r="G938" t="s">
        <v>43</v>
      </c>
      <c r="H938">
        <v>3</v>
      </c>
      <c r="I938">
        <v>20</v>
      </c>
      <c r="J938">
        <v>0</v>
      </c>
      <c r="K938" t="s">
        <v>71</v>
      </c>
      <c r="L938" s="1">
        <v>0.95</v>
      </c>
    </row>
    <row r="939" spans="1:12" x14ac:dyDescent="0.35">
      <c r="A939" t="s">
        <v>1945</v>
      </c>
      <c r="B939" t="s">
        <v>1946</v>
      </c>
      <c r="C939" t="s">
        <v>74</v>
      </c>
      <c r="D939">
        <v>21</v>
      </c>
      <c r="E939" t="s">
        <v>15</v>
      </c>
      <c r="F939" t="s">
        <v>16</v>
      </c>
      <c r="G939" t="s">
        <v>75</v>
      </c>
      <c r="H939">
        <v>0</v>
      </c>
      <c r="J939">
        <v>0</v>
      </c>
      <c r="K939">
        <v>1</v>
      </c>
      <c r="L939" s="1">
        <v>0.95</v>
      </c>
    </row>
    <row r="940" spans="1:12" x14ac:dyDescent="0.35">
      <c r="A940" t="s">
        <v>1947</v>
      </c>
      <c r="B940" t="s">
        <v>1948</v>
      </c>
      <c r="C940" t="s">
        <v>59</v>
      </c>
      <c r="D940">
        <v>47</v>
      </c>
      <c r="E940" t="s">
        <v>109</v>
      </c>
      <c r="F940" t="s">
        <v>110</v>
      </c>
      <c r="G940" t="s">
        <v>23</v>
      </c>
      <c r="H940">
        <v>7</v>
      </c>
      <c r="I940" t="s">
        <v>106</v>
      </c>
      <c r="L940">
        <v>69</v>
      </c>
    </row>
    <row r="941" spans="1:12" x14ac:dyDescent="0.35">
      <c r="A941" t="s">
        <v>1949</v>
      </c>
      <c r="B941" t="s">
        <v>1950</v>
      </c>
      <c r="C941" t="s">
        <v>59</v>
      </c>
      <c r="D941">
        <v>35</v>
      </c>
      <c r="E941" t="s">
        <v>185</v>
      </c>
      <c r="F941" t="s">
        <v>69</v>
      </c>
      <c r="G941" t="s">
        <v>30</v>
      </c>
      <c r="H941">
        <v>6</v>
      </c>
      <c r="I941">
        <v>40</v>
      </c>
      <c r="K941" t="s">
        <v>65</v>
      </c>
      <c r="L941" s="1">
        <v>0.91</v>
      </c>
    </row>
    <row r="942" spans="1:12" x14ac:dyDescent="0.35">
      <c r="A942" t="s">
        <v>1951</v>
      </c>
      <c r="B942" t="s">
        <v>1952</v>
      </c>
      <c r="C942" t="s">
        <v>74</v>
      </c>
      <c r="D942">
        <v>37</v>
      </c>
      <c r="E942" t="s">
        <v>47</v>
      </c>
      <c r="F942" t="s">
        <v>48</v>
      </c>
      <c r="G942" t="s">
        <v>23</v>
      </c>
      <c r="H942">
        <v>9</v>
      </c>
      <c r="I942" s="2">
        <v>30</v>
      </c>
      <c r="J942">
        <v>2.7</v>
      </c>
      <c r="K942">
        <v>1</v>
      </c>
    </row>
    <row r="943" spans="1:12" x14ac:dyDescent="0.35">
      <c r="A943" t="s">
        <v>1953</v>
      </c>
      <c r="B943" t="s">
        <v>1954</v>
      </c>
      <c r="C943" t="s">
        <v>20</v>
      </c>
      <c r="D943">
        <v>38</v>
      </c>
      <c r="E943" t="s">
        <v>104</v>
      </c>
      <c r="F943" t="s">
        <v>105</v>
      </c>
      <c r="G943" t="s">
        <v>43</v>
      </c>
      <c r="H943">
        <v>15</v>
      </c>
      <c r="I943">
        <v>40</v>
      </c>
      <c r="J943">
        <v>4</v>
      </c>
      <c r="L943" s="1">
        <v>0.62</v>
      </c>
    </row>
    <row r="944" spans="1:12" x14ac:dyDescent="0.35">
      <c r="A944" t="s">
        <v>1955</v>
      </c>
      <c r="B944" t="s">
        <v>1956</v>
      </c>
      <c r="C944" t="s">
        <v>59</v>
      </c>
      <c r="D944">
        <v>40</v>
      </c>
      <c r="E944" t="s">
        <v>124</v>
      </c>
      <c r="F944" t="s">
        <v>22</v>
      </c>
      <c r="G944" t="s">
        <v>49</v>
      </c>
      <c r="H944">
        <v>20</v>
      </c>
      <c r="I944">
        <v>20</v>
      </c>
      <c r="J944">
        <v>2.5</v>
      </c>
      <c r="K944">
        <v>0</v>
      </c>
      <c r="L944" s="1">
        <v>0.81</v>
      </c>
    </row>
    <row r="945" spans="1:12" x14ac:dyDescent="0.35">
      <c r="A945" t="s">
        <v>1957</v>
      </c>
      <c r="B945" t="s">
        <v>1958</v>
      </c>
      <c r="C945" t="s">
        <v>14</v>
      </c>
      <c r="D945">
        <v>46</v>
      </c>
      <c r="E945" t="s">
        <v>104</v>
      </c>
      <c r="F945" t="s">
        <v>105</v>
      </c>
      <c r="G945" t="s">
        <v>49</v>
      </c>
      <c r="H945">
        <v>16</v>
      </c>
      <c r="I945">
        <v>75</v>
      </c>
      <c r="J945">
        <v>0</v>
      </c>
      <c r="K945" t="s">
        <v>155</v>
      </c>
      <c r="L945" s="1">
        <v>0.94</v>
      </c>
    </row>
    <row r="946" spans="1:12" x14ac:dyDescent="0.35">
      <c r="A946" t="s">
        <v>1959</v>
      </c>
      <c r="B946" t="s">
        <v>1960</v>
      </c>
      <c r="C946" t="s">
        <v>46</v>
      </c>
      <c r="D946">
        <v>56</v>
      </c>
      <c r="E946" t="s">
        <v>135</v>
      </c>
      <c r="F946" t="s">
        <v>136</v>
      </c>
      <c r="G946" t="s">
        <v>86</v>
      </c>
      <c r="H946">
        <v>22</v>
      </c>
      <c r="I946" t="s">
        <v>106</v>
      </c>
      <c r="K946" t="s">
        <v>155</v>
      </c>
      <c r="L946" s="1">
        <v>0.95</v>
      </c>
    </row>
    <row r="947" spans="1:12" x14ac:dyDescent="0.35">
      <c r="A947" t="s">
        <v>1961</v>
      </c>
      <c r="B947" t="s">
        <v>1962</v>
      </c>
      <c r="C947" t="s">
        <v>46</v>
      </c>
      <c r="D947">
        <v>24</v>
      </c>
      <c r="E947" t="s">
        <v>60</v>
      </c>
      <c r="F947" t="s">
        <v>61</v>
      </c>
      <c r="G947" t="s">
        <v>30</v>
      </c>
      <c r="H947">
        <v>2</v>
      </c>
      <c r="J947">
        <v>1.6</v>
      </c>
      <c r="K947" t="s">
        <v>155</v>
      </c>
      <c r="L947" s="1">
        <v>1</v>
      </c>
    </row>
    <row r="948" spans="1:12" x14ac:dyDescent="0.35">
      <c r="A948" t="s">
        <v>1963</v>
      </c>
      <c r="B948" t="s">
        <v>1964</v>
      </c>
      <c r="C948" t="s">
        <v>89</v>
      </c>
      <c r="E948" t="s">
        <v>174</v>
      </c>
      <c r="F948" t="s">
        <v>69</v>
      </c>
      <c r="G948" t="s">
        <v>43</v>
      </c>
      <c r="H948">
        <v>1</v>
      </c>
      <c r="I948">
        <v>75</v>
      </c>
      <c r="J948">
        <v>0</v>
      </c>
      <c r="K948" t="b">
        <v>1</v>
      </c>
      <c r="L948" s="1">
        <v>0.94</v>
      </c>
    </row>
    <row r="949" spans="1:12" x14ac:dyDescent="0.35">
      <c r="A949" t="s">
        <v>1965</v>
      </c>
      <c r="B949" t="s">
        <v>1966</v>
      </c>
      <c r="C949" t="s">
        <v>34</v>
      </c>
      <c r="D949">
        <v>38</v>
      </c>
      <c r="E949" t="s">
        <v>60</v>
      </c>
      <c r="F949" t="s">
        <v>61</v>
      </c>
      <c r="G949" t="s">
        <v>23</v>
      </c>
      <c r="H949">
        <v>8</v>
      </c>
      <c r="I949">
        <v>30</v>
      </c>
      <c r="J949">
        <v>4</v>
      </c>
      <c r="K949">
        <v>1</v>
      </c>
      <c r="L949" s="1">
        <v>0.92</v>
      </c>
    </row>
    <row r="950" spans="1:12" x14ac:dyDescent="0.35">
      <c r="A950" t="s">
        <v>1967</v>
      </c>
      <c r="B950" t="s">
        <v>1968</v>
      </c>
      <c r="C950" t="s">
        <v>74</v>
      </c>
      <c r="D950">
        <v>28</v>
      </c>
      <c r="E950" t="s">
        <v>131</v>
      </c>
      <c r="F950" t="s">
        <v>132</v>
      </c>
      <c r="G950" t="s">
        <v>86</v>
      </c>
      <c r="H950">
        <v>8</v>
      </c>
      <c r="I950" t="s">
        <v>95</v>
      </c>
      <c r="J950">
        <v>2.5</v>
      </c>
      <c r="K950" t="b">
        <v>1</v>
      </c>
      <c r="L950" s="1">
        <v>0.95</v>
      </c>
    </row>
    <row r="951" spans="1:12" x14ac:dyDescent="0.35">
      <c r="A951" t="s">
        <v>1969</v>
      </c>
      <c r="B951" t="s">
        <v>1970</v>
      </c>
      <c r="C951" t="s">
        <v>46</v>
      </c>
      <c r="D951">
        <v>25</v>
      </c>
      <c r="E951" t="s">
        <v>104</v>
      </c>
      <c r="F951" t="s">
        <v>105</v>
      </c>
      <c r="G951" t="s">
        <v>86</v>
      </c>
      <c r="H951">
        <v>7</v>
      </c>
      <c r="I951" s="2">
        <v>20</v>
      </c>
      <c r="J951">
        <v>3.8</v>
      </c>
      <c r="L951" s="1">
        <v>0.97</v>
      </c>
    </row>
    <row r="952" spans="1:12" x14ac:dyDescent="0.35">
      <c r="A952" t="s">
        <v>1971</v>
      </c>
      <c r="B952" t="s">
        <v>1972</v>
      </c>
      <c r="C952" t="s">
        <v>94</v>
      </c>
      <c r="D952">
        <v>41</v>
      </c>
      <c r="E952" t="s">
        <v>64</v>
      </c>
      <c r="F952" t="s">
        <v>22</v>
      </c>
      <c r="G952" t="s">
        <v>86</v>
      </c>
      <c r="H952">
        <v>8</v>
      </c>
      <c r="I952">
        <v>50</v>
      </c>
      <c r="J952">
        <v>4.8</v>
      </c>
      <c r="K952" t="s">
        <v>31</v>
      </c>
      <c r="L952" s="1">
        <v>0.75</v>
      </c>
    </row>
    <row r="953" spans="1:12" x14ac:dyDescent="0.35">
      <c r="A953" t="s">
        <v>1973</v>
      </c>
      <c r="B953" t="s">
        <v>1974</v>
      </c>
      <c r="C953" t="s">
        <v>14</v>
      </c>
      <c r="D953">
        <v>45</v>
      </c>
      <c r="E953" t="s">
        <v>174</v>
      </c>
      <c r="F953" t="s">
        <v>69</v>
      </c>
      <c r="G953" t="s">
        <v>49</v>
      </c>
      <c r="H953">
        <v>6</v>
      </c>
      <c r="I953">
        <v>40</v>
      </c>
      <c r="J953">
        <v>2</v>
      </c>
      <c r="K953">
        <v>1</v>
      </c>
      <c r="L953" s="1">
        <v>0.78</v>
      </c>
    </row>
    <row r="954" spans="1:12" x14ac:dyDescent="0.35">
      <c r="A954" t="s">
        <v>1975</v>
      </c>
      <c r="B954" t="s">
        <v>1976</v>
      </c>
      <c r="C954" t="s">
        <v>46</v>
      </c>
      <c r="D954">
        <v>47</v>
      </c>
      <c r="E954" t="s">
        <v>60</v>
      </c>
      <c r="F954" t="s">
        <v>61</v>
      </c>
      <c r="G954" t="s">
        <v>86</v>
      </c>
      <c r="H954">
        <v>16</v>
      </c>
      <c r="I954" s="2">
        <v>100</v>
      </c>
      <c r="J954">
        <v>3.3</v>
      </c>
      <c r="K954">
        <v>0</v>
      </c>
      <c r="L954" s="1">
        <v>0.65</v>
      </c>
    </row>
    <row r="955" spans="1:12" x14ac:dyDescent="0.35">
      <c r="A955" t="s">
        <v>1977</v>
      </c>
      <c r="B955" t="s">
        <v>1978</v>
      </c>
      <c r="C955" t="s">
        <v>34</v>
      </c>
      <c r="D955">
        <v>59</v>
      </c>
      <c r="E955" t="s">
        <v>64</v>
      </c>
      <c r="F955" t="s">
        <v>22</v>
      </c>
      <c r="G955" t="s">
        <v>49</v>
      </c>
      <c r="H955">
        <v>40</v>
      </c>
      <c r="I955">
        <v>40</v>
      </c>
      <c r="J955">
        <v>2.5</v>
      </c>
      <c r="K955" t="b">
        <v>1</v>
      </c>
      <c r="L955">
        <v>70</v>
      </c>
    </row>
    <row r="956" spans="1:12" x14ac:dyDescent="0.35">
      <c r="A956" t="s">
        <v>1979</v>
      </c>
      <c r="B956" t="s">
        <v>1980</v>
      </c>
      <c r="C956" t="s">
        <v>74</v>
      </c>
      <c r="D956">
        <v>25</v>
      </c>
      <c r="E956" t="s">
        <v>124</v>
      </c>
      <c r="F956" t="s">
        <v>22</v>
      </c>
      <c r="G956" t="s">
        <v>17</v>
      </c>
      <c r="H956">
        <v>6</v>
      </c>
      <c r="I956" s="2">
        <v>100</v>
      </c>
      <c r="K956" t="s">
        <v>71</v>
      </c>
      <c r="L956">
        <v>78</v>
      </c>
    </row>
    <row r="957" spans="1:12" x14ac:dyDescent="0.35">
      <c r="A957" t="s">
        <v>1981</v>
      </c>
      <c r="B957" t="s">
        <v>1982</v>
      </c>
      <c r="C957" t="s">
        <v>94</v>
      </c>
      <c r="D957">
        <v>27</v>
      </c>
      <c r="E957" t="s">
        <v>21</v>
      </c>
      <c r="F957" t="s">
        <v>22</v>
      </c>
      <c r="G957" t="s">
        <v>35</v>
      </c>
      <c r="H957">
        <v>3</v>
      </c>
      <c r="I957" t="s">
        <v>95</v>
      </c>
      <c r="K957">
        <v>1</v>
      </c>
      <c r="L957" s="1">
        <v>0.96</v>
      </c>
    </row>
    <row r="958" spans="1:12" x14ac:dyDescent="0.35">
      <c r="A958" t="s">
        <v>1983</v>
      </c>
      <c r="B958" t="s">
        <v>1984</v>
      </c>
      <c r="C958" t="s">
        <v>34</v>
      </c>
      <c r="D958">
        <v>57</v>
      </c>
      <c r="E958" t="s">
        <v>21</v>
      </c>
      <c r="F958" t="s">
        <v>22</v>
      </c>
      <c r="G958" t="s">
        <v>43</v>
      </c>
      <c r="H958">
        <v>5</v>
      </c>
      <c r="I958" t="s">
        <v>24</v>
      </c>
      <c r="J958">
        <v>0</v>
      </c>
      <c r="K958">
        <v>1</v>
      </c>
      <c r="L958" s="1">
        <v>0.8</v>
      </c>
    </row>
    <row r="959" spans="1:12" x14ac:dyDescent="0.35">
      <c r="A959" t="s">
        <v>1985</v>
      </c>
      <c r="B959" t="s">
        <v>1986</v>
      </c>
      <c r="C959" t="s">
        <v>34</v>
      </c>
      <c r="D959">
        <v>34</v>
      </c>
      <c r="E959" t="s">
        <v>60</v>
      </c>
      <c r="F959" t="s">
        <v>61</v>
      </c>
      <c r="G959" t="s">
        <v>70</v>
      </c>
      <c r="H959">
        <v>12</v>
      </c>
      <c r="I959" s="2">
        <v>20</v>
      </c>
      <c r="J959">
        <v>1.6</v>
      </c>
      <c r="K959" t="s">
        <v>65</v>
      </c>
      <c r="L959" s="1">
        <v>0.64</v>
      </c>
    </row>
    <row r="960" spans="1:12" x14ac:dyDescent="0.35">
      <c r="A960" t="s">
        <v>1987</v>
      </c>
      <c r="B960" t="s">
        <v>1988</v>
      </c>
      <c r="C960" t="s">
        <v>89</v>
      </c>
      <c r="D960">
        <v>55</v>
      </c>
      <c r="E960" t="s">
        <v>131</v>
      </c>
      <c r="F960" t="s">
        <v>132</v>
      </c>
      <c r="G960" t="s">
        <v>70</v>
      </c>
      <c r="H960">
        <v>33</v>
      </c>
      <c r="I960">
        <v>50</v>
      </c>
      <c r="J960">
        <v>0</v>
      </c>
      <c r="K960" t="b">
        <v>0</v>
      </c>
      <c r="L960" s="1">
        <v>0.92</v>
      </c>
    </row>
    <row r="961" spans="1:12" x14ac:dyDescent="0.35">
      <c r="A961" t="s">
        <v>1989</v>
      </c>
      <c r="B961" t="s">
        <v>1990</v>
      </c>
      <c r="C961" t="s">
        <v>27</v>
      </c>
      <c r="D961">
        <v>21</v>
      </c>
      <c r="E961" t="s">
        <v>135</v>
      </c>
      <c r="F961" t="s">
        <v>136</v>
      </c>
      <c r="G961" t="s">
        <v>17</v>
      </c>
      <c r="H961">
        <v>1</v>
      </c>
      <c r="I961">
        <v>100</v>
      </c>
      <c r="J961">
        <v>0</v>
      </c>
      <c r="K961">
        <v>1</v>
      </c>
    </row>
    <row r="962" spans="1:12" x14ac:dyDescent="0.35">
      <c r="A962" t="s">
        <v>1991</v>
      </c>
      <c r="B962" t="s">
        <v>1992</v>
      </c>
      <c r="C962" t="s">
        <v>59</v>
      </c>
      <c r="D962">
        <v>53</v>
      </c>
      <c r="E962" t="s">
        <v>41</v>
      </c>
      <c r="F962" t="s">
        <v>42</v>
      </c>
      <c r="G962" t="s">
        <v>86</v>
      </c>
      <c r="H962">
        <v>27</v>
      </c>
      <c r="I962" t="s">
        <v>308</v>
      </c>
      <c r="J962">
        <v>4.7</v>
      </c>
      <c r="K962" t="s">
        <v>65</v>
      </c>
      <c r="L962">
        <v>71</v>
      </c>
    </row>
    <row r="963" spans="1:12" x14ac:dyDescent="0.35">
      <c r="A963" t="s">
        <v>1993</v>
      </c>
      <c r="B963" t="s">
        <v>1994</v>
      </c>
      <c r="C963" t="s">
        <v>14</v>
      </c>
      <c r="D963">
        <v>21</v>
      </c>
      <c r="E963" t="s">
        <v>28</v>
      </c>
      <c r="F963" t="s">
        <v>29</v>
      </c>
      <c r="G963" t="s">
        <v>70</v>
      </c>
      <c r="H963">
        <v>1</v>
      </c>
      <c r="I963" s="2">
        <v>100</v>
      </c>
      <c r="J963">
        <v>0</v>
      </c>
      <c r="K963" t="s">
        <v>65</v>
      </c>
      <c r="L963" s="1">
        <v>0.95</v>
      </c>
    </row>
    <row r="964" spans="1:12" x14ac:dyDescent="0.35">
      <c r="A964" t="s">
        <v>1995</v>
      </c>
      <c r="B964" t="s">
        <v>1996</v>
      </c>
      <c r="C964" t="s">
        <v>20</v>
      </c>
      <c r="D964">
        <v>36</v>
      </c>
      <c r="E964" t="s">
        <v>104</v>
      </c>
      <c r="F964" t="s">
        <v>105</v>
      </c>
      <c r="G964" t="s">
        <v>35</v>
      </c>
      <c r="I964">
        <v>20</v>
      </c>
      <c r="J964">
        <v>4.0999999999999996</v>
      </c>
      <c r="K964" t="s">
        <v>31</v>
      </c>
      <c r="L964" s="1">
        <v>0.86</v>
      </c>
    </row>
    <row r="965" spans="1:12" x14ac:dyDescent="0.35">
      <c r="A965" t="s">
        <v>1997</v>
      </c>
      <c r="B965" t="s">
        <v>1998</v>
      </c>
      <c r="C965" t="s">
        <v>27</v>
      </c>
      <c r="D965">
        <v>40</v>
      </c>
      <c r="E965" t="s">
        <v>28</v>
      </c>
      <c r="F965" t="s">
        <v>29</v>
      </c>
      <c r="G965" t="s">
        <v>43</v>
      </c>
      <c r="H965">
        <v>2</v>
      </c>
      <c r="I965" s="2">
        <v>30</v>
      </c>
      <c r="J965">
        <v>1.3</v>
      </c>
      <c r="K965">
        <v>1</v>
      </c>
      <c r="L965" s="1">
        <v>0.77</v>
      </c>
    </row>
    <row r="966" spans="1:12" x14ac:dyDescent="0.35">
      <c r="A966" t="s">
        <v>1999</v>
      </c>
      <c r="B966" t="s">
        <v>2000</v>
      </c>
      <c r="C966" t="s">
        <v>74</v>
      </c>
      <c r="D966">
        <v>59</v>
      </c>
      <c r="E966" t="s">
        <v>64</v>
      </c>
      <c r="F966" t="s">
        <v>22</v>
      </c>
      <c r="G966" t="s">
        <v>70</v>
      </c>
      <c r="H966">
        <v>40</v>
      </c>
      <c r="I966">
        <v>100</v>
      </c>
      <c r="J966">
        <v>2.6</v>
      </c>
    </row>
    <row r="967" spans="1:12" x14ac:dyDescent="0.35">
      <c r="A967" t="s">
        <v>2001</v>
      </c>
      <c r="B967" t="s">
        <v>2002</v>
      </c>
      <c r="C967" t="s">
        <v>46</v>
      </c>
      <c r="D967">
        <v>45</v>
      </c>
      <c r="E967" t="s">
        <v>41</v>
      </c>
      <c r="F967" t="s">
        <v>42</v>
      </c>
      <c r="G967" t="s">
        <v>75</v>
      </c>
      <c r="H967">
        <v>4</v>
      </c>
      <c r="I967" s="2">
        <v>20</v>
      </c>
      <c r="J967">
        <v>2.7</v>
      </c>
      <c r="L967" s="1">
        <v>0.72</v>
      </c>
    </row>
    <row r="968" spans="1:12" x14ac:dyDescent="0.35">
      <c r="A968" t="s">
        <v>2003</v>
      </c>
      <c r="B968" t="s">
        <v>2004</v>
      </c>
      <c r="C968" t="s">
        <v>59</v>
      </c>
      <c r="D968">
        <v>44</v>
      </c>
      <c r="E968" t="s">
        <v>109</v>
      </c>
      <c r="F968" t="s">
        <v>110</v>
      </c>
      <c r="G968" t="s">
        <v>111</v>
      </c>
      <c r="H968">
        <v>9</v>
      </c>
      <c r="I968">
        <v>40</v>
      </c>
      <c r="K968">
        <v>0</v>
      </c>
      <c r="L968" s="1">
        <v>0.7</v>
      </c>
    </row>
    <row r="969" spans="1:12" x14ac:dyDescent="0.35">
      <c r="A969" t="s">
        <v>2005</v>
      </c>
      <c r="B969" t="s">
        <v>2006</v>
      </c>
      <c r="C969" t="s">
        <v>20</v>
      </c>
      <c r="D969">
        <v>36</v>
      </c>
      <c r="E969" t="s">
        <v>64</v>
      </c>
      <c r="F969" t="s">
        <v>22</v>
      </c>
      <c r="G969" t="s">
        <v>75</v>
      </c>
      <c r="H969">
        <v>13</v>
      </c>
      <c r="I969">
        <v>30</v>
      </c>
      <c r="J969">
        <v>3.6</v>
      </c>
      <c r="K969">
        <v>0</v>
      </c>
      <c r="L969" s="1">
        <v>0.86</v>
      </c>
    </row>
    <row r="970" spans="1:12" x14ac:dyDescent="0.35">
      <c r="A970" t="s">
        <v>2007</v>
      </c>
      <c r="B970" t="s">
        <v>2008</v>
      </c>
      <c r="C970" t="s">
        <v>74</v>
      </c>
      <c r="D970">
        <v>26</v>
      </c>
      <c r="E970" t="s">
        <v>90</v>
      </c>
      <c r="F970" t="s">
        <v>91</v>
      </c>
      <c r="G970" t="s">
        <v>30</v>
      </c>
      <c r="H970">
        <v>1</v>
      </c>
      <c r="I970">
        <v>75</v>
      </c>
      <c r="J970">
        <v>3</v>
      </c>
      <c r="K970">
        <v>1</v>
      </c>
    </row>
    <row r="971" spans="1:12" x14ac:dyDescent="0.35">
      <c r="A971" t="s">
        <v>2009</v>
      </c>
      <c r="B971" t="s">
        <v>2010</v>
      </c>
      <c r="C971" t="s">
        <v>46</v>
      </c>
      <c r="D971">
        <v>49</v>
      </c>
      <c r="E971" t="s">
        <v>90</v>
      </c>
      <c r="F971" t="s">
        <v>91</v>
      </c>
      <c r="G971" t="s">
        <v>35</v>
      </c>
      <c r="H971">
        <v>1</v>
      </c>
      <c r="J971">
        <v>0</v>
      </c>
      <c r="K971">
        <v>0</v>
      </c>
      <c r="L971" s="1">
        <v>0.82</v>
      </c>
    </row>
    <row r="972" spans="1:12" x14ac:dyDescent="0.35">
      <c r="A972" t="s">
        <v>2011</v>
      </c>
      <c r="B972" t="s">
        <v>2012</v>
      </c>
      <c r="C972" t="s">
        <v>46</v>
      </c>
      <c r="D972">
        <v>29</v>
      </c>
      <c r="E972" t="s">
        <v>131</v>
      </c>
      <c r="F972" t="s">
        <v>132</v>
      </c>
      <c r="G972" t="s">
        <v>23</v>
      </c>
      <c r="H972">
        <v>3</v>
      </c>
      <c r="I972" t="s">
        <v>53</v>
      </c>
      <c r="J972">
        <v>0</v>
      </c>
      <c r="K972" t="b">
        <v>1</v>
      </c>
      <c r="L972" s="1">
        <v>0.81</v>
      </c>
    </row>
    <row r="973" spans="1:12" x14ac:dyDescent="0.35">
      <c r="A973" t="s">
        <v>2013</v>
      </c>
      <c r="B973" t="s">
        <v>2014</v>
      </c>
      <c r="C973" t="s">
        <v>46</v>
      </c>
      <c r="D973">
        <v>32</v>
      </c>
      <c r="E973" t="s">
        <v>131</v>
      </c>
      <c r="F973" t="s">
        <v>132</v>
      </c>
      <c r="G973" t="s">
        <v>30</v>
      </c>
      <c r="H973">
        <v>1</v>
      </c>
      <c r="I973" s="2">
        <v>40</v>
      </c>
      <c r="J973">
        <v>3.1</v>
      </c>
      <c r="K973">
        <v>1</v>
      </c>
      <c r="L973" s="1">
        <v>0.76</v>
      </c>
    </row>
    <row r="974" spans="1:12" x14ac:dyDescent="0.35">
      <c r="A974" t="s">
        <v>2015</v>
      </c>
      <c r="B974" t="s">
        <v>2016</v>
      </c>
      <c r="C974" t="s">
        <v>59</v>
      </c>
      <c r="D974">
        <v>24</v>
      </c>
      <c r="E974" t="s">
        <v>47</v>
      </c>
      <c r="F974" t="s">
        <v>48</v>
      </c>
      <c r="G974" t="s">
        <v>17</v>
      </c>
      <c r="H974">
        <v>3</v>
      </c>
      <c r="I974" t="s">
        <v>106</v>
      </c>
      <c r="J974">
        <v>3.9</v>
      </c>
      <c r="K974" t="s">
        <v>31</v>
      </c>
      <c r="L974" s="1">
        <v>0.9</v>
      </c>
    </row>
    <row r="975" spans="1:12" x14ac:dyDescent="0.35">
      <c r="A975" t="s">
        <v>2017</v>
      </c>
      <c r="B975" t="s">
        <v>2018</v>
      </c>
      <c r="C975" t="s">
        <v>59</v>
      </c>
      <c r="D975">
        <v>35</v>
      </c>
      <c r="E975" t="s">
        <v>109</v>
      </c>
      <c r="F975" t="s">
        <v>110</v>
      </c>
      <c r="G975" t="s">
        <v>86</v>
      </c>
      <c r="H975">
        <v>14</v>
      </c>
      <c r="I975">
        <v>30</v>
      </c>
      <c r="J975">
        <v>1.6</v>
      </c>
      <c r="K975" t="s">
        <v>71</v>
      </c>
      <c r="L975" s="1">
        <v>0.67</v>
      </c>
    </row>
    <row r="976" spans="1:12" x14ac:dyDescent="0.35">
      <c r="A976" t="s">
        <v>2019</v>
      </c>
      <c r="B976" t="s">
        <v>2020</v>
      </c>
      <c r="C976" t="s">
        <v>38</v>
      </c>
      <c r="D976">
        <v>43</v>
      </c>
      <c r="E976" t="s">
        <v>185</v>
      </c>
      <c r="F976" t="s">
        <v>69</v>
      </c>
      <c r="G976" t="s">
        <v>17</v>
      </c>
      <c r="H976">
        <v>2</v>
      </c>
      <c r="J976">
        <v>1.8</v>
      </c>
      <c r="K976" t="s">
        <v>155</v>
      </c>
      <c r="L976" s="1">
        <v>0.61</v>
      </c>
    </row>
    <row r="977" spans="1:12" x14ac:dyDescent="0.35">
      <c r="A977" t="s">
        <v>2021</v>
      </c>
      <c r="B977" t="s">
        <v>2022</v>
      </c>
      <c r="C977" t="s">
        <v>27</v>
      </c>
      <c r="D977">
        <v>53</v>
      </c>
      <c r="E977" t="s">
        <v>109</v>
      </c>
      <c r="F977" t="s">
        <v>110</v>
      </c>
      <c r="G977" t="s">
        <v>111</v>
      </c>
      <c r="H977">
        <v>27</v>
      </c>
      <c r="I977">
        <v>100</v>
      </c>
      <c r="J977">
        <v>3.7</v>
      </c>
      <c r="K977" t="s">
        <v>155</v>
      </c>
      <c r="L977" s="1">
        <v>0.73</v>
      </c>
    </row>
    <row r="978" spans="1:12" x14ac:dyDescent="0.35">
      <c r="A978" t="s">
        <v>2023</v>
      </c>
      <c r="B978" t="s">
        <v>2024</v>
      </c>
      <c r="C978" t="s">
        <v>34</v>
      </c>
      <c r="D978">
        <v>38</v>
      </c>
      <c r="E978" t="s">
        <v>120</v>
      </c>
      <c r="F978" t="s">
        <v>121</v>
      </c>
      <c r="G978" t="s">
        <v>86</v>
      </c>
      <c r="H978">
        <v>7</v>
      </c>
      <c r="I978">
        <v>75</v>
      </c>
      <c r="K978">
        <v>0</v>
      </c>
    </row>
    <row r="979" spans="1:12" x14ac:dyDescent="0.35">
      <c r="A979" t="s">
        <v>2025</v>
      </c>
      <c r="B979" t="s">
        <v>2026</v>
      </c>
      <c r="C979" t="s">
        <v>94</v>
      </c>
      <c r="D979">
        <v>57</v>
      </c>
      <c r="E979" t="s">
        <v>64</v>
      </c>
      <c r="F979" t="s">
        <v>22</v>
      </c>
      <c r="G979" t="s">
        <v>75</v>
      </c>
      <c r="H979">
        <v>29</v>
      </c>
      <c r="I979">
        <v>75</v>
      </c>
      <c r="J979">
        <v>4.0999999999999996</v>
      </c>
      <c r="K979" t="s">
        <v>31</v>
      </c>
      <c r="L979" s="1">
        <v>0.9</v>
      </c>
    </row>
    <row r="980" spans="1:12" x14ac:dyDescent="0.35">
      <c r="A980" t="s">
        <v>2027</v>
      </c>
      <c r="B980" t="s">
        <v>2028</v>
      </c>
      <c r="C980" t="s">
        <v>59</v>
      </c>
      <c r="D980">
        <v>27</v>
      </c>
      <c r="E980" t="s">
        <v>170</v>
      </c>
      <c r="F980" t="s">
        <v>171</v>
      </c>
      <c r="G980" t="s">
        <v>17</v>
      </c>
      <c r="H980">
        <v>5</v>
      </c>
      <c r="I980" s="2">
        <v>75</v>
      </c>
      <c r="J980">
        <v>1.4</v>
      </c>
      <c r="K980" t="b">
        <v>1</v>
      </c>
      <c r="L980" s="1">
        <v>0.64</v>
      </c>
    </row>
    <row r="981" spans="1:12" x14ac:dyDescent="0.35">
      <c r="A981" t="s">
        <v>2029</v>
      </c>
      <c r="B981" t="s">
        <v>2030</v>
      </c>
      <c r="C981" t="s">
        <v>46</v>
      </c>
      <c r="D981">
        <v>43</v>
      </c>
      <c r="E981" t="s">
        <v>68</v>
      </c>
      <c r="F981" t="s">
        <v>69</v>
      </c>
      <c r="G981" t="s">
        <v>35</v>
      </c>
      <c r="H981">
        <v>2</v>
      </c>
      <c r="I981">
        <v>100</v>
      </c>
      <c r="J981">
        <v>1.1000000000000001</v>
      </c>
      <c r="K981">
        <v>1</v>
      </c>
      <c r="L981" s="1">
        <v>0.63</v>
      </c>
    </row>
    <row r="982" spans="1:12" x14ac:dyDescent="0.35">
      <c r="A982" t="s">
        <v>2031</v>
      </c>
      <c r="B982" t="s">
        <v>2032</v>
      </c>
      <c r="C982" t="s">
        <v>27</v>
      </c>
      <c r="D982">
        <v>48</v>
      </c>
      <c r="E982" t="s">
        <v>124</v>
      </c>
      <c r="F982" t="s">
        <v>22</v>
      </c>
      <c r="G982" t="s">
        <v>49</v>
      </c>
      <c r="H982">
        <v>18</v>
      </c>
      <c r="I982" s="2">
        <v>40</v>
      </c>
      <c r="J982">
        <v>3.9</v>
      </c>
    </row>
    <row r="983" spans="1:12" x14ac:dyDescent="0.35">
      <c r="A983" t="s">
        <v>2033</v>
      </c>
      <c r="B983" t="s">
        <v>2034</v>
      </c>
      <c r="C983" t="s">
        <v>89</v>
      </c>
      <c r="D983">
        <v>26</v>
      </c>
      <c r="E983" t="s">
        <v>104</v>
      </c>
      <c r="F983" t="s">
        <v>105</v>
      </c>
      <c r="G983" t="s">
        <v>75</v>
      </c>
      <c r="H983">
        <v>8</v>
      </c>
      <c r="I983">
        <v>20</v>
      </c>
      <c r="J983">
        <v>3.6</v>
      </c>
      <c r="K983">
        <v>0</v>
      </c>
      <c r="L983" s="1">
        <v>0.67</v>
      </c>
    </row>
    <row r="984" spans="1:12" x14ac:dyDescent="0.35">
      <c r="A984" t="s">
        <v>2035</v>
      </c>
      <c r="B984" t="s">
        <v>2036</v>
      </c>
      <c r="C984" t="s">
        <v>74</v>
      </c>
      <c r="E984" t="s">
        <v>149</v>
      </c>
      <c r="F984" t="s">
        <v>150</v>
      </c>
      <c r="G984" t="s">
        <v>30</v>
      </c>
      <c r="H984">
        <v>0</v>
      </c>
      <c r="I984" s="2">
        <v>40</v>
      </c>
      <c r="J984">
        <v>0</v>
      </c>
      <c r="K984" t="s">
        <v>155</v>
      </c>
      <c r="L984" s="1">
        <v>0.97</v>
      </c>
    </row>
    <row r="985" spans="1:12" x14ac:dyDescent="0.35">
      <c r="A985" t="s">
        <v>2037</v>
      </c>
      <c r="B985" t="s">
        <v>2038</v>
      </c>
      <c r="C985" t="s">
        <v>38</v>
      </c>
      <c r="D985">
        <v>50</v>
      </c>
      <c r="E985" t="s">
        <v>15</v>
      </c>
      <c r="F985" t="s">
        <v>16</v>
      </c>
      <c r="G985" t="s">
        <v>49</v>
      </c>
      <c r="H985">
        <v>16</v>
      </c>
      <c r="I985" s="2">
        <v>75</v>
      </c>
      <c r="J985">
        <v>4.5</v>
      </c>
      <c r="K985">
        <v>0</v>
      </c>
      <c r="L985">
        <v>69</v>
      </c>
    </row>
    <row r="986" spans="1:12" x14ac:dyDescent="0.35">
      <c r="A986" t="s">
        <v>2039</v>
      </c>
      <c r="B986" t="s">
        <v>2040</v>
      </c>
      <c r="C986" t="s">
        <v>46</v>
      </c>
      <c r="D986">
        <v>48</v>
      </c>
      <c r="E986" t="s">
        <v>149</v>
      </c>
      <c r="F986" t="s">
        <v>150</v>
      </c>
      <c r="G986" t="s">
        <v>35</v>
      </c>
      <c r="H986">
        <v>8</v>
      </c>
      <c r="I986">
        <v>50</v>
      </c>
      <c r="K986">
        <v>1</v>
      </c>
      <c r="L986" s="1">
        <v>0.73</v>
      </c>
    </row>
    <row r="987" spans="1:12" x14ac:dyDescent="0.35">
      <c r="A987" t="s">
        <v>2041</v>
      </c>
      <c r="B987" t="s">
        <v>2042</v>
      </c>
      <c r="C987" t="s">
        <v>46</v>
      </c>
      <c r="D987">
        <v>60</v>
      </c>
      <c r="E987" t="s">
        <v>185</v>
      </c>
      <c r="F987" t="s">
        <v>69</v>
      </c>
      <c r="G987" t="s">
        <v>17</v>
      </c>
      <c r="H987">
        <v>39</v>
      </c>
      <c r="I987">
        <v>20</v>
      </c>
      <c r="J987">
        <v>1.4</v>
      </c>
      <c r="K987" t="b">
        <v>1</v>
      </c>
      <c r="L987" s="1">
        <v>0.86</v>
      </c>
    </row>
    <row r="988" spans="1:12" x14ac:dyDescent="0.35">
      <c r="A988" t="s">
        <v>2043</v>
      </c>
      <c r="B988" t="s">
        <v>2044</v>
      </c>
      <c r="C988" t="s">
        <v>94</v>
      </c>
      <c r="D988">
        <v>26</v>
      </c>
      <c r="E988" t="s">
        <v>135</v>
      </c>
      <c r="F988" t="s">
        <v>136</v>
      </c>
      <c r="G988" t="s">
        <v>111</v>
      </c>
      <c r="I988">
        <v>50</v>
      </c>
      <c r="J988">
        <v>0</v>
      </c>
      <c r="K988" t="s">
        <v>65</v>
      </c>
      <c r="L988">
        <v>81</v>
      </c>
    </row>
    <row r="989" spans="1:12" x14ac:dyDescent="0.35">
      <c r="A989" t="s">
        <v>2045</v>
      </c>
      <c r="B989" t="s">
        <v>2046</v>
      </c>
      <c r="C989" t="s">
        <v>20</v>
      </c>
      <c r="D989">
        <v>35</v>
      </c>
      <c r="E989" t="s">
        <v>109</v>
      </c>
      <c r="F989" t="s">
        <v>110</v>
      </c>
      <c r="G989" t="s">
        <v>30</v>
      </c>
      <c r="H989">
        <v>16</v>
      </c>
      <c r="I989" t="s">
        <v>24</v>
      </c>
      <c r="J989">
        <v>4.3</v>
      </c>
      <c r="K989">
        <v>1</v>
      </c>
      <c r="L989" s="1">
        <v>0.74</v>
      </c>
    </row>
    <row r="990" spans="1:12" x14ac:dyDescent="0.35">
      <c r="A990" t="s">
        <v>2047</v>
      </c>
      <c r="B990" t="s">
        <v>2048</v>
      </c>
      <c r="C990" t="s">
        <v>94</v>
      </c>
      <c r="D990">
        <v>23</v>
      </c>
      <c r="E990" t="s">
        <v>56</v>
      </c>
      <c r="F990" t="s">
        <v>22</v>
      </c>
      <c r="G990" t="s">
        <v>17</v>
      </c>
      <c r="H990">
        <v>4</v>
      </c>
      <c r="I990" s="2">
        <v>100</v>
      </c>
      <c r="J990">
        <v>2.2000000000000002</v>
      </c>
      <c r="K990">
        <v>1</v>
      </c>
      <c r="L990">
        <v>64</v>
      </c>
    </row>
    <row r="991" spans="1:12" x14ac:dyDescent="0.35">
      <c r="A991" t="s">
        <v>2049</v>
      </c>
      <c r="B991" t="s">
        <v>2050</v>
      </c>
      <c r="C991" t="s">
        <v>94</v>
      </c>
      <c r="D991">
        <v>37</v>
      </c>
      <c r="E991" t="s">
        <v>21</v>
      </c>
      <c r="F991" t="s">
        <v>22</v>
      </c>
      <c r="G991" t="s">
        <v>30</v>
      </c>
      <c r="H991">
        <v>4</v>
      </c>
      <c r="I991">
        <v>75</v>
      </c>
      <c r="J991">
        <v>3.2</v>
      </c>
      <c r="K991" t="b">
        <v>0</v>
      </c>
      <c r="L991" s="1">
        <v>0.76</v>
      </c>
    </row>
    <row r="992" spans="1:12" x14ac:dyDescent="0.35">
      <c r="A992" t="s">
        <v>2051</v>
      </c>
      <c r="B992" t="s">
        <v>2052</v>
      </c>
      <c r="C992" t="s">
        <v>20</v>
      </c>
      <c r="D992">
        <v>21</v>
      </c>
      <c r="E992" t="s">
        <v>68</v>
      </c>
      <c r="F992" t="s">
        <v>69</v>
      </c>
      <c r="G992" t="s">
        <v>43</v>
      </c>
      <c r="H992">
        <v>2</v>
      </c>
      <c r="I992">
        <v>100</v>
      </c>
      <c r="J992">
        <v>3.7</v>
      </c>
      <c r="K992" t="s">
        <v>65</v>
      </c>
      <c r="L992">
        <v>73</v>
      </c>
    </row>
    <row r="993" spans="1:12" x14ac:dyDescent="0.35">
      <c r="A993" t="s">
        <v>2053</v>
      </c>
      <c r="B993" t="s">
        <v>2054</v>
      </c>
      <c r="C993" t="s">
        <v>20</v>
      </c>
      <c r="D993">
        <v>58</v>
      </c>
      <c r="E993" t="s">
        <v>28</v>
      </c>
      <c r="F993" t="s">
        <v>29</v>
      </c>
      <c r="G993" t="s">
        <v>70</v>
      </c>
      <c r="H993">
        <v>37</v>
      </c>
      <c r="I993" t="s">
        <v>95</v>
      </c>
      <c r="J993">
        <v>4.9000000000000004</v>
      </c>
      <c r="K993" t="b">
        <v>0</v>
      </c>
      <c r="L993" s="1">
        <v>0.69</v>
      </c>
    </row>
    <row r="994" spans="1:12" x14ac:dyDescent="0.35">
      <c r="A994" t="s">
        <v>2055</v>
      </c>
      <c r="B994" t="s">
        <v>2056</v>
      </c>
      <c r="C994" t="s">
        <v>74</v>
      </c>
      <c r="D994">
        <v>52</v>
      </c>
      <c r="E994" t="s">
        <v>47</v>
      </c>
      <c r="F994" t="s">
        <v>48</v>
      </c>
      <c r="G994" t="s">
        <v>23</v>
      </c>
      <c r="H994">
        <v>32</v>
      </c>
      <c r="I994" s="2">
        <v>75</v>
      </c>
      <c r="J994">
        <v>3.2</v>
      </c>
      <c r="K994">
        <v>0</v>
      </c>
      <c r="L994" s="1">
        <v>0.79</v>
      </c>
    </row>
    <row r="995" spans="1:12" x14ac:dyDescent="0.35">
      <c r="A995" t="s">
        <v>2057</v>
      </c>
      <c r="B995" t="s">
        <v>2058</v>
      </c>
      <c r="C995" t="s">
        <v>27</v>
      </c>
      <c r="D995">
        <v>46</v>
      </c>
      <c r="E995" t="s">
        <v>120</v>
      </c>
      <c r="F995" t="s">
        <v>121</v>
      </c>
      <c r="G995" t="s">
        <v>23</v>
      </c>
      <c r="H995">
        <v>8</v>
      </c>
      <c r="I995">
        <v>20</v>
      </c>
      <c r="J995">
        <v>2.2000000000000002</v>
      </c>
      <c r="L995">
        <v>89</v>
      </c>
    </row>
    <row r="996" spans="1:12" x14ac:dyDescent="0.35">
      <c r="A996" t="s">
        <v>2059</v>
      </c>
      <c r="B996" t="s">
        <v>2060</v>
      </c>
      <c r="C996" t="s">
        <v>74</v>
      </c>
      <c r="D996">
        <v>34</v>
      </c>
      <c r="E996" t="s">
        <v>149</v>
      </c>
      <c r="F996" t="s">
        <v>150</v>
      </c>
      <c r="G996" t="s">
        <v>86</v>
      </c>
      <c r="H996">
        <v>8</v>
      </c>
      <c r="I996">
        <v>30</v>
      </c>
      <c r="J996">
        <v>3.9</v>
      </c>
      <c r="K996" t="s">
        <v>71</v>
      </c>
      <c r="L996" s="1">
        <v>0.95</v>
      </c>
    </row>
    <row r="997" spans="1:12" x14ac:dyDescent="0.35">
      <c r="A997" t="s">
        <v>2061</v>
      </c>
      <c r="B997" t="s">
        <v>2062</v>
      </c>
      <c r="C997" t="s">
        <v>94</v>
      </c>
      <c r="D997">
        <v>56</v>
      </c>
      <c r="E997" t="s">
        <v>60</v>
      </c>
      <c r="F997" t="s">
        <v>61</v>
      </c>
      <c r="G997" t="s">
        <v>86</v>
      </c>
      <c r="H997">
        <v>13</v>
      </c>
      <c r="I997">
        <v>100</v>
      </c>
      <c r="J997">
        <v>0</v>
      </c>
      <c r="K997" t="s">
        <v>155</v>
      </c>
      <c r="L997" s="1">
        <v>0.68</v>
      </c>
    </row>
    <row r="998" spans="1:12" x14ac:dyDescent="0.35">
      <c r="A998" t="s">
        <v>2063</v>
      </c>
      <c r="B998" t="s">
        <v>2064</v>
      </c>
      <c r="C998" t="s">
        <v>14</v>
      </c>
      <c r="D998">
        <v>26</v>
      </c>
      <c r="E998" t="s">
        <v>28</v>
      </c>
      <c r="F998" t="s">
        <v>29</v>
      </c>
      <c r="G998" t="s">
        <v>17</v>
      </c>
      <c r="H998">
        <v>6</v>
      </c>
      <c r="I998" t="s">
        <v>53</v>
      </c>
      <c r="J998">
        <v>2.8</v>
      </c>
      <c r="K998" t="s">
        <v>31</v>
      </c>
      <c r="L998">
        <v>82</v>
      </c>
    </row>
    <row r="999" spans="1:12" x14ac:dyDescent="0.35">
      <c r="A999" t="s">
        <v>2065</v>
      </c>
      <c r="B999" t="s">
        <v>2066</v>
      </c>
      <c r="C999" t="s">
        <v>38</v>
      </c>
      <c r="D999">
        <v>37</v>
      </c>
      <c r="E999" t="s">
        <v>82</v>
      </c>
      <c r="F999" t="s">
        <v>83</v>
      </c>
      <c r="G999" t="s">
        <v>49</v>
      </c>
      <c r="H999">
        <v>15</v>
      </c>
      <c r="I999">
        <v>75</v>
      </c>
      <c r="K999" t="b">
        <v>0</v>
      </c>
      <c r="L999" s="1">
        <v>0.94</v>
      </c>
    </row>
    <row r="1000" spans="1:12" x14ac:dyDescent="0.35">
      <c r="A1000" t="s">
        <v>2067</v>
      </c>
      <c r="B1000" t="s">
        <v>2068</v>
      </c>
      <c r="C1000" t="s">
        <v>46</v>
      </c>
      <c r="D1000">
        <v>46</v>
      </c>
      <c r="E1000" t="s">
        <v>120</v>
      </c>
      <c r="F1000" t="s">
        <v>121</v>
      </c>
      <c r="G1000" t="s">
        <v>111</v>
      </c>
      <c r="H1000">
        <v>22</v>
      </c>
      <c r="I1000">
        <v>100</v>
      </c>
      <c r="J1000">
        <v>2.8</v>
      </c>
      <c r="K1000" t="s">
        <v>65</v>
      </c>
      <c r="L1000">
        <v>97</v>
      </c>
    </row>
    <row r="1001" spans="1:12" x14ac:dyDescent="0.35">
      <c r="A1001" t="s">
        <v>2069</v>
      </c>
      <c r="B1001" t="s">
        <v>2070</v>
      </c>
      <c r="C1001" t="s">
        <v>74</v>
      </c>
      <c r="D1001">
        <v>36</v>
      </c>
      <c r="E1001" t="s">
        <v>174</v>
      </c>
      <c r="F1001" t="s">
        <v>69</v>
      </c>
      <c r="G1001" t="s">
        <v>70</v>
      </c>
      <c r="H1001">
        <v>18</v>
      </c>
      <c r="I1001" s="2">
        <v>20</v>
      </c>
      <c r="J1001">
        <v>1.7</v>
      </c>
      <c r="K1001">
        <v>1</v>
      </c>
      <c r="L1001">
        <v>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64BECE-821E-44AF-BAE4-81F728A8CA50}">
  <dimension ref="A1:Q1002"/>
  <sheetViews>
    <sheetView topLeftCell="I986" zoomScale="112" zoomScaleNormal="112" workbookViewId="0">
      <selection activeCell="Q987" sqref="Q987"/>
    </sheetView>
  </sheetViews>
  <sheetFormatPr defaultRowHeight="14.5" x14ac:dyDescent="0.35"/>
  <cols>
    <col min="1" max="1" width="13.6328125" customWidth="1"/>
    <col min="2" max="3" width="18.26953125" customWidth="1"/>
    <col min="4" max="5" width="11.1796875" customWidth="1"/>
    <col min="6" max="6" width="9.81640625" style="12" customWidth="1"/>
    <col min="7" max="7" width="14.26953125" customWidth="1"/>
    <col min="8" max="8" width="12.90625" style="12" customWidth="1"/>
    <col min="9" max="9" width="22.6328125" customWidth="1"/>
    <col min="10" max="10" width="18.36328125" style="12" customWidth="1"/>
    <col min="11" max="11" width="14.90625" style="3" customWidth="1"/>
    <col min="12" max="12" width="14.90625" style="14" customWidth="1"/>
    <col min="13" max="13" width="12" style="12" customWidth="1"/>
    <col min="14" max="14" width="16.90625" customWidth="1"/>
    <col min="15" max="15" width="17.36328125" customWidth="1"/>
    <col min="16" max="16" width="16.453125" style="1" customWidth="1"/>
    <col min="17" max="17" width="17.36328125" style="15" customWidth="1"/>
  </cols>
  <sheetData>
    <row r="1" spans="1:16" x14ac:dyDescent="0.35">
      <c r="A1" t="s">
        <v>2071</v>
      </c>
      <c r="B1" t="s">
        <v>2072</v>
      </c>
      <c r="C1" t="s">
        <v>2072</v>
      </c>
      <c r="D1" t="s">
        <v>2073</v>
      </c>
      <c r="E1" t="s">
        <v>2073</v>
      </c>
      <c r="F1" s="12" t="s">
        <v>2074</v>
      </c>
      <c r="G1" t="s">
        <v>2075</v>
      </c>
      <c r="H1" s="12" t="s">
        <v>2076</v>
      </c>
      <c r="I1" t="s">
        <v>2077</v>
      </c>
      <c r="J1" s="12" t="s">
        <v>2078</v>
      </c>
      <c r="K1" s="3" t="s">
        <v>2079</v>
      </c>
      <c r="L1" s="13" t="s">
        <v>2079</v>
      </c>
      <c r="M1" s="12" t="s">
        <v>2080</v>
      </c>
      <c r="N1" t="s">
        <v>2097</v>
      </c>
      <c r="O1" t="s">
        <v>11</v>
      </c>
      <c r="P1" s="1" t="s">
        <v>2081</v>
      </c>
    </row>
    <row r="2" spans="1:16" x14ac:dyDescent="0.35">
      <c r="A2" t="s">
        <v>12</v>
      </c>
      <c r="B2" t="s">
        <v>13</v>
      </c>
      <c r="C2" t="str">
        <f>PROPER(B2)</f>
        <v>Ms. Nicole Kidd</v>
      </c>
      <c r="D2" t="s">
        <v>38</v>
      </c>
      <c r="E2" t="str">
        <f>PROPER(D2)</f>
        <v>Female</v>
      </c>
      <c r="F2" s="12">
        <v>52</v>
      </c>
      <c r="G2" t="s">
        <v>15</v>
      </c>
      <c r="H2" s="12" t="s">
        <v>16</v>
      </c>
      <c r="I2" t="s">
        <v>17</v>
      </c>
      <c r="J2" s="12">
        <v>11</v>
      </c>
      <c r="K2" s="3">
        <v>100</v>
      </c>
      <c r="L2" s="14">
        <f>IF(K2="","",IF(LEFT(K2,3)="USD","$"&amp;MID(K2,4,LEN(K2)-3),K2))</f>
        <v>100</v>
      </c>
      <c r="M2" s="12">
        <v>3</v>
      </c>
      <c r="N2">
        <v>0</v>
      </c>
      <c r="O2">
        <v>16</v>
      </c>
      <c r="P2" s="1">
        <f>IF(O2="","",IF(O2&lt;1,O2,O2/100))</f>
        <v>0.16</v>
      </c>
    </row>
    <row r="3" spans="1:16" x14ac:dyDescent="0.35">
      <c r="A3" t="s">
        <v>18</v>
      </c>
      <c r="B3" t="s">
        <v>19</v>
      </c>
      <c r="C3" t="str">
        <f t="shared" ref="C3:C66" si="0">PROPER(B3)</f>
        <v>Vanessa Garcia</v>
      </c>
      <c r="D3" t="s">
        <v>20</v>
      </c>
      <c r="E3" t="str">
        <f t="shared" ref="E3:E66" si="1">PROPER(D3)</f>
        <v>Female</v>
      </c>
      <c r="F3" s="12">
        <v>52</v>
      </c>
      <c r="G3" t="s">
        <v>21</v>
      </c>
      <c r="H3" s="12" t="s">
        <v>22</v>
      </c>
      <c r="I3" t="s">
        <v>23</v>
      </c>
      <c r="J3" s="12">
        <v>34</v>
      </c>
      <c r="K3" s="3" t="s">
        <v>24</v>
      </c>
      <c r="L3" s="14" t="str">
        <f t="shared" ref="L3:L66" si="2">IF(K3="","",IF(LEFT(K3,3)="USD","$"&amp;MID(K3,4,LEN(K3)-3),K3))</f>
        <v>$ 100</v>
      </c>
      <c r="M3" s="12">
        <v>3.3</v>
      </c>
      <c r="N3">
        <v>1</v>
      </c>
      <c r="O3" s="1">
        <v>0.84</v>
      </c>
      <c r="P3" s="1">
        <f t="shared" ref="P3:P66" si="3">IF(O3="","",IF(O3&lt;1,O3,O3/100))</f>
        <v>0.84</v>
      </c>
    </row>
    <row r="4" spans="1:16" x14ac:dyDescent="0.35">
      <c r="A4" t="s">
        <v>25</v>
      </c>
      <c r="B4" t="s">
        <v>26</v>
      </c>
      <c r="C4" t="str">
        <f t="shared" si="0"/>
        <v>Juan Nelson</v>
      </c>
      <c r="D4" t="s">
        <v>27</v>
      </c>
      <c r="E4" t="str">
        <f t="shared" si="1"/>
        <v>Male</v>
      </c>
      <c r="F4" s="12">
        <v>53</v>
      </c>
      <c r="G4" t="s">
        <v>28</v>
      </c>
      <c r="H4" s="12" t="s">
        <v>29</v>
      </c>
      <c r="I4" t="s">
        <v>30</v>
      </c>
      <c r="J4" s="12">
        <v>31</v>
      </c>
      <c r="K4" s="3">
        <v>50</v>
      </c>
      <c r="L4" s="14">
        <f t="shared" si="2"/>
        <v>50</v>
      </c>
      <c r="M4" s="12">
        <v>0</v>
      </c>
      <c r="N4">
        <v>0</v>
      </c>
      <c r="O4" s="1">
        <v>0.71</v>
      </c>
      <c r="P4" s="1">
        <f t="shared" si="3"/>
        <v>0.71</v>
      </c>
    </row>
    <row r="5" spans="1:16" x14ac:dyDescent="0.35">
      <c r="A5" t="s">
        <v>32</v>
      </c>
      <c r="B5" t="s">
        <v>33</v>
      </c>
      <c r="C5" t="str">
        <f t="shared" si="0"/>
        <v>Amanda Spencer</v>
      </c>
      <c r="D5" t="s">
        <v>38</v>
      </c>
      <c r="E5" t="str">
        <f t="shared" si="1"/>
        <v>Female</v>
      </c>
      <c r="F5" s="12">
        <v>38</v>
      </c>
      <c r="G5" t="s">
        <v>21</v>
      </c>
      <c r="H5" s="12" t="s">
        <v>22</v>
      </c>
      <c r="I5" t="s">
        <v>35</v>
      </c>
      <c r="J5" s="12">
        <v>4</v>
      </c>
      <c r="K5" s="3">
        <v>40</v>
      </c>
      <c r="L5" s="14">
        <f t="shared" si="2"/>
        <v>40</v>
      </c>
      <c r="M5" s="12">
        <v>1.5</v>
      </c>
      <c r="N5">
        <v>0</v>
      </c>
      <c r="O5" s="1">
        <v>0.9</v>
      </c>
      <c r="P5" s="1">
        <f t="shared" si="3"/>
        <v>0.9</v>
      </c>
    </row>
    <row r="6" spans="1:16" x14ac:dyDescent="0.35">
      <c r="A6" t="s">
        <v>36</v>
      </c>
      <c r="B6" t="s">
        <v>37</v>
      </c>
      <c r="C6" t="str">
        <f t="shared" si="0"/>
        <v>Lynn Curtis Dds</v>
      </c>
      <c r="D6" t="s">
        <v>38</v>
      </c>
      <c r="E6" t="str">
        <f t="shared" si="1"/>
        <v>Female</v>
      </c>
      <c r="F6" s="12">
        <v>53</v>
      </c>
      <c r="G6" t="s">
        <v>28</v>
      </c>
      <c r="H6" s="12" t="s">
        <v>29</v>
      </c>
      <c r="I6" t="s">
        <v>35</v>
      </c>
      <c r="J6" s="12">
        <v>27</v>
      </c>
      <c r="K6" s="3">
        <v>30</v>
      </c>
      <c r="L6" s="14">
        <f t="shared" si="2"/>
        <v>30</v>
      </c>
      <c r="M6" s="12">
        <v>4.8</v>
      </c>
      <c r="N6">
        <v>0</v>
      </c>
      <c r="O6" s="1">
        <v>0.83</v>
      </c>
      <c r="P6" s="1">
        <f t="shared" si="3"/>
        <v>0.83</v>
      </c>
    </row>
    <row r="7" spans="1:16" x14ac:dyDescent="0.35">
      <c r="A7" t="s">
        <v>39</v>
      </c>
      <c r="B7" t="s">
        <v>40</v>
      </c>
      <c r="C7" t="str">
        <f t="shared" si="0"/>
        <v>Lisa Johnson</v>
      </c>
      <c r="D7" t="s">
        <v>38</v>
      </c>
      <c r="E7" t="str">
        <f t="shared" si="1"/>
        <v>Female</v>
      </c>
      <c r="F7" s="12">
        <v>59</v>
      </c>
      <c r="G7" t="s">
        <v>41</v>
      </c>
      <c r="H7" s="12" t="s">
        <v>42</v>
      </c>
      <c r="I7" t="s">
        <v>43</v>
      </c>
      <c r="J7" s="12">
        <v>14</v>
      </c>
      <c r="K7" s="3">
        <v>30</v>
      </c>
      <c r="L7" s="14">
        <f t="shared" si="2"/>
        <v>30</v>
      </c>
      <c r="M7" s="12">
        <v>2.4</v>
      </c>
      <c r="N7">
        <v>0</v>
      </c>
      <c r="O7">
        <v>16</v>
      </c>
      <c r="P7" s="1">
        <f t="shared" si="3"/>
        <v>0.16</v>
      </c>
    </row>
    <row r="8" spans="1:16" x14ac:dyDescent="0.35">
      <c r="A8" t="s">
        <v>44</v>
      </c>
      <c r="B8" t="s">
        <v>45</v>
      </c>
      <c r="C8" t="str">
        <f t="shared" si="0"/>
        <v>Eric Myers</v>
      </c>
      <c r="D8" t="s">
        <v>27</v>
      </c>
      <c r="E8" t="str">
        <f t="shared" si="1"/>
        <v>Male</v>
      </c>
      <c r="F8" s="12">
        <v>52</v>
      </c>
      <c r="G8" t="s">
        <v>47</v>
      </c>
      <c r="H8" s="12" t="s">
        <v>48</v>
      </c>
      <c r="I8" t="s">
        <v>49</v>
      </c>
      <c r="J8" s="12">
        <v>10</v>
      </c>
      <c r="K8" s="3" t="s">
        <v>50</v>
      </c>
      <c r="L8" s="14" t="str">
        <f t="shared" si="2"/>
        <v>$ 75</v>
      </c>
      <c r="M8" s="12">
        <v>3.1</v>
      </c>
      <c r="N8">
        <v>0</v>
      </c>
      <c r="O8" s="1">
        <v>0.94</v>
      </c>
      <c r="P8" s="1">
        <f t="shared" si="3"/>
        <v>0.94</v>
      </c>
    </row>
    <row r="9" spans="1:16" x14ac:dyDescent="0.35">
      <c r="A9" t="s">
        <v>51</v>
      </c>
      <c r="B9" t="s">
        <v>52</v>
      </c>
      <c r="C9" t="str">
        <f t="shared" si="0"/>
        <v>Ricky Graham</v>
      </c>
      <c r="D9" t="s">
        <v>27</v>
      </c>
      <c r="E9" t="str">
        <f t="shared" si="1"/>
        <v>Male</v>
      </c>
      <c r="F9" s="12">
        <v>43</v>
      </c>
      <c r="G9" t="s">
        <v>15</v>
      </c>
      <c r="H9" s="12" t="s">
        <v>16</v>
      </c>
      <c r="I9" t="s">
        <v>17</v>
      </c>
      <c r="J9" s="12">
        <v>14</v>
      </c>
      <c r="K9" s="3" t="s">
        <v>53</v>
      </c>
      <c r="L9" s="14" t="str">
        <f t="shared" si="2"/>
        <v>$ 40</v>
      </c>
      <c r="M9" s="12">
        <v>4.5999999999999996</v>
      </c>
      <c r="N9">
        <v>0</v>
      </c>
      <c r="O9" s="1">
        <v>0.94</v>
      </c>
      <c r="P9" s="1">
        <f t="shared" si="3"/>
        <v>0.94</v>
      </c>
    </row>
    <row r="10" spans="1:16" x14ac:dyDescent="0.35">
      <c r="A10" t="s">
        <v>54</v>
      </c>
      <c r="B10" t="s">
        <v>55</v>
      </c>
      <c r="C10" t="str">
        <f t="shared" si="0"/>
        <v>Sean Martin</v>
      </c>
      <c r="D10" t="s">
        <v>27</v>
      </c>
      <c r="E10" t="str">
        <f t="shared" si="1"/>
        <v>Male</v>
      </c>
      <c r="F10" s="12">
        <v>26</v>
      </c>
      <c r="G10" t="s">
        <v>56</v>
      </c>
      <c r="H10" s="12" t="s">
        <v>22</v>
      </c>
      <c r="I10" t="s">
        <v>17</v>
      </c>
      <c r="J10" s="12">
        <v>4</v>
      </c>
      <c r="K10" s="3">
        <v>40</v>
      </c>
      <c r="L10" s="14">
        <f t="shared" si="2"/>
        <v>40</v>
      </c>
      <c r="M10" s="12">
        <v>4</v>
      </c>
      <c r="N10">
        <v>1</v>
      </c>
      <c r="O10" s="1">
        <v>0.76</v>
      </c>
      <c r="P10" s="1">
        <f t="shared" si="3"/>
        <v>0.76</v>
      </c>
    </row>
    <row r="11" spans="1:16" x14ac:dyDescent="0.35">
      <c r="A11" t="s">
        <v>57</v>
      </c>
      <c r="B11" t="s">
        <v>58</v>
      </c>
      <c r="C11" t="str">
        <f t="shared" si="0"/>
        <v>Matthew Lloyd</v>
      </c>
      <c r="D11" t="s">
        <v>59</v>
      </c>
      <c r="E11" t="str">
        <f t="shared" si="1"/>
        <v>Male</v>
      </c>
      <c r="F11" s="12">
        <v>52</v>
      </c>
      <c r="G11" t="s">
        <v>60</v>
      </c>
      <c r="H11" s="12" t="s">
        <v>61</v>
      </c>
      <c r="I11" t="s">
        <v>43</v>
      </c>
      <c r="J11" s="12">
        <v>22</v>
      </c>
      <c r="K11" s="3">
        <v>50</v>
      </c>
      <c r="L11" s="14">
        <f>IF(K11="","",IF(LEFT(K11,3)="USD","$"&amp;MID(K11,4,LEN(K11)-3),K11))</f>
        <v>50</v>
      </c>
      <c r="M11" s="12">
        <v>3</v>
      </c>
      <c r="N11">
        <v>1</v>
      </c>
      <c r="O11">
        <v>16</v>
      </c>
      <c r="P11" s="1">
        <f t="shared" si="3"/>
        <v>0.16</v>
      </c>
    </row>
    <row r="12" spans="1:16" x14ac:dyDescent="0.35">
      <c r="A12" t="s">
        <v>62</v>
      </c>
      <c r="B12" t="s">
        <v>63</v>
      </c>
      <c r="C12" t="str">
        <f t="shared" si="0"/>
        <v>Gavin Randall</v>
      </c>
      <c r="D12" t="s">
        <v>27</v>
      </c>
      <c r="E12" t="str">
        <f t="shared" si="1"/>
        <v>Male</v>
      </c>
      <c r="F12" s="12">
        <v>40</v>
      </c>
      <c r="G12" t="s">
        <v>64</v>
      </c>
      <c r="H12" s="12" t="s">
        <v>22</v>
      </c>
      <c r="I12" t="s">
        <v>49</v>
      </c>
      <c r="J12" s="12">
        <v>17</v>
      </c>
      <c r="K12" s="3">
        <v>40</v>
      </c>
      <c r="L12" s="14">
        <f t="shared" si="2"/>
        <v>40</v>
      </c>
      <c r="M12" s="12">
        <v>3.6</v>
      </c>
      <c r="N12">
        <v>1</v>
      </c>
      <c r="O12" s="1">
        <v>0.77</v>
      </c>
      <c r="P12" s="1">
        <f t="shared" si="3"/>
        <v>0.77</v>
      </c>
    </row>
    <row r="13" spans="1:16" x14ac:dyDescent="0.35">
      <c r="A13" t="s">
        <v>66</v>
      </c>
      <c r="B13" t="s">
        <v>67</v>
      </c>
      <c r="C13" t="str">
        <f t="shared" si="0"/>
        <v>Michelle Curtis</v>
      </c>
      <c r="D13" t="s">
        <v>20</v>
      </c>
      <c r="E13" t="str">
        <f t="shared" si="1"/>
        <v>Female</v>
      </c>
      <c r="F13" s="12">
        <v>55</v>
      </c>
      <c r="G13" t="s">
        <v>68</v>
      </c>
      <c r="H13" s="12" t="s">
        <v>69</v>
      </c>
      <c r="I13" t="s">
        <v>70</v>
      </c>
      <c r="J13" s="12">
        <v>15</v>
      </c>
      <c r="K13" s="3">
        <v>40</v>
      </c>
      <c r="L13" s="14">
        <f t="shared" si="2"/>
        <v>40</v>
      </c>
      <c r="M13" s="12">
        <v>3</v>
      </c>
      <c r="N13">
        <v>1</v>
      </c>
      <c r="O13" s="1">
        <v>0.86</v>
      </c>
      <c r="P13" s="1">
        <f t="shared" si="3"/>
        <v>0.86</v>
      </c>
    </row>
    <row r="14" spans="1:16" x14ac:dyDescent="0.35">
      <c r="A14" t="s">
        <v>72</v>
      </c>
      <c r="B14" t="s">
        <v>73</v>
      </c>
      <c r="C14" t="str">
        <f t="shared" si="0"/>
        <v>Alice Schneider</v>
      </c>
      <c r="D14" t="s">
        <v>74</v>
      </c>
      <c r="E14" t="str">
        <f t="shared" si="1"/>
        <v>Female</v>
      </c>
      <c r="F14" s="12">
        <v>57</v>
      </c>
      <c r="G14" t="s">
        <v>64</v>
      </c>
      <c r="H14" s="12" t="s">
        <v>22</v>
      </c>
      <c r="I14" t="s">
        <v>75</v>
      </c>
      <c r="J14" s="12">
        <v>18</v>
      </c>
      <c r="K14" s="3">
        <v>40</v>
      </c>
      <c r="L14" s="14">
        <f t="shared" si="2"/>
        <v>40</v>
      </c>
      <c r="M14" s="12">
        <v>2</v>
      </c>
      <c r="N14">
        <v>0</v>
      </c>
      <c r="O14" s="1">
        <v>0.86</v>
      </c>
      <c r="P14" s="1">
        <f t="shared" si="3"/>
        <v>0.86</v>
      </c>
    </row>
    <row r="15" spans="1:16" x14ac:dyDescent="0.35">
      <c r="A15" t="s">
        <v>76</v>
      </c>
      <c r="B15" t="s">
        <v>77</v>
      </c>
      <c r="C15" t="str">
        <f t="shared" si="0"/>
        <v>Phillip Shelton</v>
      </c>
      <c r="D15" t="s">
        <v>59</v>
      </c>
      <c r="E15" t="str">
        <f t="shared" si="1"/>
        <v>Male</v>
      </c>
      <c r="F15" s="12">
        <v>38</v>
      </c>
      <c r="G15" t="s">
        <v>68</v>
      </c>
      <c r="H15" s="12" t="s">
        <v>69</v>
      </c>
      <c r="I15" t="s">
        <v>30</v>
      </c>
      <c r="J15" s="12">
        <v>20</v>
      </c>
      <c r="K15" s="3" t="s">
        <v>50</v>
      </c>
      <c r="L15" s="14" t="str">
        <f t="shared" si="2"/>
        <v>$ 75</v>
      </c>
      <c r="M15" s="12">
        <v>2.9</v>
      </c>
      <c r="N15">
        <v>1</v>
      </c>
      <c r="O15" s="1">
        <v>0.93</v>
      </c>
      <c r="P15" s="1">
        <f t="shared" si="3"/>
        <v>0.93</v>
      </c>
    </row>
    <row r="16" spans="1:16" x14ac:dyDescent="0.35">
      <c r="A16" t="s">
        <v>78</v>
      </c>
      <c r="B16" t="s">
        <v>79</v>
      </c>
      <c r="C16" t="str">
        <f t="shared" si="0"/>
        <v>Edward Ferguson</v>
      </c>
      <c r="D16" t="s">
        <v>59</v>
      </c>
      <c r="E16" t="str">
        <f t="shared" si="1"/>
        <v>Male</v>
      </c>
      <c r="F16" s="12">
        <v>50</v>
      </c>
      <c r="G16" t="s">
        <v>28</v>
      </c>
      <c r="H16" s="12" t="s">
        <v>29</v>
      </c>
      <c r="I16" t="s">
        <v>49</v>
      </c>
      <c r="J16" s="12">
        <v>22</v>
      </c>
      <c r="K16" s="3">
        <v>75</v>
      </c>
      <c r="L16" s="14">
        <f t="shared" si="2"/>
        <v>75</v>
      </c>
      <c r="M16" s="12">
        <v>3.7</v>
      </c>
      <c r="N16">
        <v>1</v>
      </c>
      <c r="O16" s="1">
        <v>0.7</v>
      </c>
      <c r="P16" s="1">
        <f t="shared" si="3"/>
        <v>0.7</v>
      </c>
    </row>
    <row r="17" spans="1:16" x14ac:dyDescent="0.35">
      <c r="A17" t="s">
        <v>80</v>
      </c>
      <c r="B17" t="s">
        <v>81</v>
      </c>
      <c r="C17" t="str">
        <f t="shared" si="0"/>
        <v>Wyatt Stout</v>
      </c>
      <c r="D17" t="s">
        <v>27</v>
      </c>
      <c r="E17" t="str">
        <f t="shared" si="1"/>
        <v>Male</v>
      </c>
      <c r="F17" s="12">
        <v>42</v>
      </c>
      <c r="G17" t="s">
        <v>82</v>
      </c>
      <c r="H17" s="12" t="s">
        <v>83</v>
      </c>
      <c r="I17" t="s">
        <v>49</v>
      </c>
      <c r="J17" s="12">
        <v>11</v>
      </c>
      <c r="K17" s="3">
        <v>30</v>
      </c>
      <c r="L17" s="14">
        <f t="shared" si="2"/>
        <v>30</v>
      </c>
      <c r="M17" s="12">
        <v>1.2</v>
      </c>
      <c r="N17">
        <v>0</v>
      </c>
      <c r="O17" s="1">
        <v>0.69</v>
      </c>
      <c r="P17" s="1">
        <f t="shared" si="3"/>
        <v>0.69</v>
      </c>
    </row>
    <row r="18" spans="1:16" x14ac:dyDescent="0.35">
      <c r="A18" t="s">
        <v>84</v>
      </c>
      <c r="B18" t="s">
        <v>85</v>
      </c>
      <c r="C18" t="str">
        <f t="shared" si="0"/>
        <v>Laura Johnson</v>
      </c>
      <c r="D18" t="s">
        <v>74</v>
      </c>
      <c r="E18" t="str">
        <f t="shared" si="1"/>
        <v>Female</v>
      </c>
      <c r="F18" s="12">
        <v>39</v>
      </c>
      <c r="G18" t="s">
        <v>21</v>
      </c>
      <c r="H18" s="12" t="s">
        <v>22</v>
      </c>
      <c r="I18" t="s">
        <v>86</v>
      </c>
      <c r="J18" s="12">
        <v>13</v>
      </c>
      <c r="K18" s="3">
        <v>30</v>
      </c>
      <c r="L18" s="14">
        <f t="shared" si="2"/>
        <v>30</v>
      </c>
      <c r="M18" s="12">
        <v>2.5</v>
      </c>
      <c r="N18">
        <v>0</v>
      </c>
      <c r="O18" s="1">
        <v>0.6</v>
      </c>
      <c r="P18" s="1">
        <f t="shared" si="3"/>
        <v>0.6</v>
      </c>
    </row>
    <row r="19" spans="1:16" x14ac:dyDescent="0.35">
      <c r="A19" t="s">
        <v>87</v>
      </c>
      <c r="B19" t="s">
        <v>88</v>
      </c>
      <c r="C19" t="str">
        <f t="shared" si="0"/>
        <v>Scott Burns</v>
      </c>
      <c r="D19" t="s">
        <v>27</v>
      </c>
      <c r="E19" t="str">
        <f t="shared" si="1"/>
        <v>Male</v>
      </c>
      <c r="F19" s="12">
        <v>56</v>
      </c>
      <c r="G19" t="s">
        <v>90</v>
      </c>
      <c r="H19" s="12" t="s">
        <v>91</v>
      </c>
      <c r="I19" t="s">
        <v>17</v>
      </c>
      <c r="J19" s="12">
        <v>11</v>
      </c>
      <c r="K19" s="3">
        <v>40</v>
      </c>
      <c r="L19" s="14">
        <f t="shared" si="2"/>
        <v>40</v>
      </c>
      <c r="M19" s="12">
        <v>3</v>
      </c>
      <c r="N19">
        <v>1</v>
      </c>
      <c r="O19" s="1">
        <v>0.87</v>
      </c>
      <c r="P19" s="1">
        <f t="shared" si="3"/>
        <v>0.87</v>
      </c>
    </row>
    <row r="20" spans="1:16" x14ac:dyDescent="0.35">
      <c r="A20" t="s">
        <v>92</v>
      </c>
      <c r="B20" t="s">
        <v>93</v>
      </c>
      <c r="C20" t="str">
        <f t="shared" si="0"/>
        <v>Tyler Aguirre</v>
      </c>
      <c r="D20" t="s">
        <v>94</v>
      </c>
      <c r="E20" t="str">
        <f t="shared" si="1"/>
        <v>Male</v>
      </c>
      <c r="F20" s="12">
        <v>56</v>
      </c>
      <c r="G20" t="s">
        <v>56</v>
      </c>
      <c r="H20" s="12" t="s">
        <v>22</v>
      </c>
      <c r="I20" t="s">
        <v>70</v>
      </c>
      <c r="J20" s="12">
        <v>31</v>
      </c>
      <c r="K20" s="3" t="s">
        <v>95</v>
      </c>
      <c r="L20" s="14" t="str">
        <f t="shared" si="2"/>
        <v>$ 50</v>
      </c>
      <c r="M20" s="12">
        <v>1.1000000000000001</v>
      </c>
      <c r="N20">
        <v>0</v>
      </c>
      <c r="O20" s="1">
        <v>0.75</v>
      </c>
      <c r="P20" s="1">
        <f t="shared" si="3"/>
        <v>0.75</v>
      </c>
    </row>
    <row r="21" spans="1:16" x14ac:dyDescent="0.35">
      <c r="A21" t="s">
        <v>96</v>
      </c>
      <c r="B21" t="s">
        <v>97</v>
      </c>
      <c r="C21" t="str">
        <f t="shared" si="0"/>
        <v>Matthew Lawson</v>
      </c>
      <c r="D21" t="s">
        <v>94</v>
      </c>
      <c r="E21" t="str">
        <f t="shared" si="1"/>
        <v>Male</v>
      </c>
      <c r="F21" s="12">
        <v>57</v>
      </c>
      <c r="G21" t="s">
        <v>15</v>
      </c>
      <c r="H21" s="12" t="s">
        <v>16</v>
      </c>
      <c r="I21" t="s">
        <v>35</v>
      </c>
      <c r="J21" s="12">
        <v>3</v>
      </c>
      <c r="K21" s="3" t="s">
        <v>24</v>
      </c>
      <c r="L21" s="14" t="str">
        <f t="shared" si="2"/>
        <v>$ 100</v>
      </c>
      <c r="M21" s="12">
        <v>1.8</v>
      </c>
      <c r="N21">
        <v>1</v>
      </c>
      <c r="O21" s="1">
        <v>0.68</v>
      </c>
      <c r="P21" s="1">
        <f t="shared" si="3"/>
        <v>0.68</v>
      </c>
    </row>
    <row r="22" spans="1:16" x14ac:dyDescent="0.35">
      <c r="A22" t="s">
        <v>98</v>
      </c>
      <c r="B22" t="s">
        <v>99</v>
      </c>
      <c r="C22" t="str">
        <f t="shared" si="0"/>
        <v>James Cherry</v>
      </c>
      <c r="D22" t="s">
        <v>94</v>
      </c>
      <c r="E22" t="str">
        <f t="shared" si="1"/>
        <v>Male</v>
      </c>
      <c r="F22" s="12">
        <v>41</v>
      </c>
      <c r="G22" t="s">
        <v>47</v>
      </c>
      <c r="H22" s="12" t="s">
        <v>48</v>
      </c>
      <c r="I22" t="s">
        <v>43</v>
      </c>
      <c r="J22" s="12">
        <v>9</v>
      </c>
      <c r="K22" s="3">
        <v>50</v>
      </c>
      <c r="L22" s="14">
        <f t="shared" si="2"/>
        <v>50</v>
      </c>
      <c r="M22" s="12">
        <v>1.8</v>
      </c>
      <c r="N22">
        <v>0</v>
      </c>
      <c r="O22" s="1">
        <v>0.65</v>
      </c>
      <c r="P22" s="1">
        <f t="shared" si="3"/>
        <v>0.65</v>
      </c>
    </row>
    <row r="23" spans="1:16" x14ac:dyDescent="0.35">
      <c r="A23" t="s">
        <v>100</v>
      </c>
      <c r="B23" t="s">
        <v>101</v>
      </c>
      <c r="C23" t="str">
        <f t="shared" si="0"/>
        <v>Samuel Sanford</v>
      </c>
      <c r="D23" t="s">
        <v>27</v>
      </c>
      <c r="E23" t="str">
        <f t="shared" si="1"/>
        <v>Male</v>
      </c>
      <c r="F23" s="12">
        <v>51</v>
      </c>
      <c r="G23" t="s">
        <v>82</v>
      </c>
      <c r="H23" s="12" t="s">
        <v>83</v>
      </c>
      <c r="I23" t="s">
        <v>86</v>
      </c>
      <c r="J23" s="12">
        <v>11</v>
      </c>
      <c r="K23" s="3">
        <v>40</v>
      </c>
      <c r="L23" s="14">
        <f t="shared" si="2"/>
        <v>40</v>
      </c>
      <c r="M23" s="12">
        <v>2.4</v>
      </c>
      <c r="N23">
        <v>0</v>
      </c>
      <c r="O23" s="1">
        <v>0.69</v>
      </c>
      <c r="P23" s="1">
        <f t="shared" si="3"/>
        <v>0.69</v>
      </c>
    </row>
    <row r="24" spans="1:16" x14ac:dyDescent="0.35">
      <c r="A24" t="s">
        <v>102</v>
      </c>
      <c r="B24" t="s">
        <v>103</v>
      </c>
      <c r="C24" t="str">
        <f t="shared" si="0"/>
        <v>Cesar Greene</v>
      </c>
      <c r="D24" t="s">
        <v>27</v>
      </c>
      <c r="E24" t="str">
        <f t="shared" si="1"/>
        <v>Male</v>
      </c>
      <c r="F24" s="12">
        <v>51</v>
      </c>
      <c r="G24" t="s">
        <v>104</v>
      </c>
      <c r="H24" s="12" t="s">
        <v>105</v>
      </c>
      <c r="I24" t="s">
        <v>75</v>
      </c>
      <c r="J24" s="12">
        <v>21</v>
      </c>
      <c r="K24" s="3" t="s">
        <v>106</v>
      </c>
      <c r="L24" s="14" t="str">
        <f t="shared" si="2"/>
        <v>$ 30</v>
      </c>
      <c r="M24" s="12">
        <v>4.7</v>
      </c>
      <c r="N24">
        <v>0</v>
      </c>
      <c r="O24">
        <v>16</v>
      </c>
      <c r="P24" s="1">
        <f t="shared" si="3"/>
        <v>0.16</v>
      </c>
    </row>
    <row r="25" spans="1:16" x14ac:dyDescent="0.35">
      <c r="A25" t="s">
        <v>107</v>
      </c>
      <c r="B25" t="s">
        <v>108</v>
      </c>
      <c r="C25" t="str">
        <f t="shared" si="0"/>
        <v>Melanie Carter</v>
      </c>
      <c r="D25" t="s">
        <v>38</v>
      </c>
      <c r="E25" t="str">
        <f t="shared" si="1"/>
        <v>Female</v>
      </c>
      <c r="F25" s="12">
        <v>51</v>
      </c>
      <c r="G25" t="s">
        <v>109</v>
      </c>
      <c r="H25" s="12" t="s">
        <v>110</v>
      </c>
      <c r="I25" t="s">
        <v>111</v>
      </c>
      <c r="J25" s="12">
        <v>15</v>
      </c>
      <c r="K25" s="3">
        <v>50</v>
      </c>
      <c r="L25" s="14">
        <f t="shared" si="2"/>
        <v>50</v>
      </c>
      <c r="M25" s="12">
        <v>1.3</v>
      </c>
      <c r="N25">
        <v>1</v>
      </c>
      <c r="O25" s="1">
        <v>1</v>
      </c>
      <c r="P25" s="1">
        <f t="shared" si="3"/>
        <v>0.01</v>
      </c>
    </row>
    <row r="26" spans="1:16" x14ac:dyDescent="0.35">
      <c r="A26" t="s">
        <v>112</v>
      </c>
      <c r="B26" t="s">
        <v>113</v>
      </c>
      <c r="C26" t="str">
        <f t="shared" si="0"/>
        <v>Jennifer Martin</v>
      </c>
      <c r="D26" t="s">
        <v>38</v>
      </c>
      <c r="E26" t="str">
        <f t="shared" si="1"/>
        <v>Female</v>
      </c>
      <c r="F26" s="12">
        <v>54</v>
      </c>
      <c r="G26" t="s">
        <v>47</v>
      </c>
      <c r="H26" s="12" t="s">
        <v>48</v>
      </c>
      <c r="I26" t="s">
        <v>111</v>
      </c>
      <c r="J26" s="12">
        <v>13</v>
      </c>
      <c r="K26" s="3">
        <v>75</v>
      </c>
      <c r="L26" s="14">
        <f t="shared" si="2"/>
        <v>75</v>
      </c>
      <c r="M26" s="12">
        <v>2.9</v>
      </c>
      <c r="N26">
        <v>1</v>
      </c>
      <c r="O26">
        <v>92</v>
      </c>
      <c r="P26" s="1">
        <f t="shared" si="3"/>
        <v>0.92</v>
      </c>
    </row>
    <row r="27" spans="1:16" x14ac:dyDescent="0.35">
      <c r="A27" t="s">
        <v>114</v>
      </c>
      <c r="B27" t="s">
        <v>115</v>
      </c>
      <c r="C27" t="str">
        <f t="shared" si="0"/>
        <v>Anna Mccann</v>
      </c>
      <c r="D27" t="s">
        <v>20</v>
      </c>
      <c r="E27" t="str">
        <f t="shared" si="1"/>
        <v>Female</v>
      </c>
      <c r="F27" s="12">
        <v>22</v>
      </c>
      <c r="G27" t="s">
        <v>109</v>
      </c>
      <c r="H27" s="12" t="s">
        <v>110</v>
      </c>
      <c r="I27" t="s">
        <v>86</v>
      </c>
      <c r="J27" s="12">
        <v>11</v>
      </c>
      <c r="K27" s="3" t="s">
        <v>106</v>
      </c>
      <c r="L27" s="14" t="str">
        <f t="shared" si="2"/>
        <v>$ 30</v>
      </c>
      <c r="M27" s="12">
        <v>1.2</v>
      </c>
      <c r="N27">
        <v>1</v>
      </c>
      <c r="O27" s="1">
        <v>0.7</v>
      </c>
      <c r="P27" s="1">
        <f t="shared" si="3"/>
        <v>0.7</v>
      </c>
    </row>
    <row r="28" spans="1:16" x14ac:dyDescent="0.35">
      <c r="A28" t="s">
        <v>116</v>
      </c>
      <c r="B28" t="s">
        <v>117</v>
      </c>
      <c r="C28" t="str">
        <f t="shared" si="0"/>
        <v>Marissa Bass</v>
      </c>
      <c r="D28" t="s">
        <v>38</v>
      </c>
      <c r="E28" t="str">
        <f t="shared" si="1"/>
        <v>Female</v>
      </c>
      <c r="F28" s="12">
        <v>34</v>
      </c>
      <c r="G28" t="s">
        <v>82</v>
      </c>
      <c r="H28" s="12" t="s">
        <v>83</v>
      </c>
      <c r="I28" t="s">
        <v>17</v>
      </c>
      <c r="J28" s="12">
        <v>8</v>
      </c>
      <c r="K28" s="3">
        <v>20</v>
      </c>
      <c r="L28" s="14">
        <f t="shared" si="2"/>
        <v>20</v>
      </c>
      <c r="M28" s="12">
        <v>0</v>
      </c>
      <c r="N28">
        <v>1</v>
      </c>
      <c r="O28" s="1">
        <v>0.89</v>
      </c>
      <c r="P28" s="1">
        <f t="shared" si="3"/>
        <v>0.89</v>
      </c>
    </row>
    <row r="29" spans="1:16" x14ac:dyDescent="0.35">
      <c r="A29" t="s">
        <v>118</v>
      </c>
      <c r="B29" t="s">
        <v>119</v>
      </c>
      <c r="C29" t="str">
        <f t="shared" si="0"/>
        <v>Alexis Day</v>
      </c>
      <c r="D29" t="s">
        <v>74</v>
      </c>
      <c r="E29" t="str">
        <f t="shared" si="1"/>
        <v>Female</v>
      </c>
      <c r="F29" s="12">
        <v>36</v>
      </c>
      <c r="G29" t="s">
        <v>120</v>
      </c>
      <c r="H29" s="12" t="s">
        <v>121</v>
      </c>
      <c r="I29" t="s">
        <v>30</v>
      </c>
      <c r="J29" s="12">
        <v>11</v>
      </c>
      <c r="K29" s="3">
        <v>40</v>
      </c>
      <c r="L29" s="14">
        <f t="shared" si="2"/>
        <v>40</v>
      </c>
      <c r="M29" s="12">
        <v>1.8</v>
      </c>
      <c r="N29">
        <v>1</v>
      </c>
      <c r="O29" s="1">
        <v>0.86</v>
      </c>
      <c r="P29" s="1">
        <f t="shared" si="3"/>
        <v>0.86</v>
      </c>
    </row>
    <row r="30" spans="1:16" x14ac:dyDescent="0.35">
      <c r="A30" t="s">
        <v>122</v>
      </c>
      <c r="B30" t="s">
        <v>123</v>
      </c>
      <c r="C30" t="str">
        <f t="shared" si="0"/>
        <v>Megan Jones</v>
      </c>
      <c r="D30" t="s">
        <v>38</v>
      </c>
      <c r="E30" t="str">
        <f t="shared" si="1"/>
        <v>Female</v>
      </c>
      <c r="F30" s="12">
        <v>47</v>
      </c>
      <c r="G30" t="s">
        <v>124</v>
      </c>
      <c r="H30" s="12" t="s">
        <v>22</v>
      </c>
      <c r="I30" t="s">
        <v>43</v>
      </c>
      <c r="J30" s="12">
        <v>22</v>
      </c>
      <c r="K30" s="3">
        <v>30</v>
      </c>
      <c r="L30" s="14">
        <f t="shared" si="2"/>
        <v>30</v>
      </c>
      <c r="M30" s="12">
        <v>1.3</v>
      </c>
      <c r="N30">
        <v>0</v>
      </c>
      <c r="O30" s="1">
        <v>0.62</v>
      </c>
      <c r="P30" s="1">
        <f t="shared" si="3"/>
        <v>0.62</v>
      </c>
    </row>
    <row r="31" spans="1:16" x14ac:dyDescent="0.35">
      <c r="A31" t="s">
        <v>125</v>
      </c>
      <c r="B31" t="s">
        <v>126</v>
      </c>
      <c r="C31" t="str">
        <f t="shared" si="0"/>
        <v>Lori Smith</v>
      </c>
      <c r="D31" t="s">
        <v>20</v>
      </c>
      <c r="E31" t="str">
        <f t="shared" si="1"/>
        <v>Female</v>
      </c>
      <c r="F31" s="12">
        <v>41</v>
      </c>
      <c r="G31" t="s">
        <v>41</v>
      </c>
      <c r="H31" s="12" t="s">
        <v>42</v>
      </c>
      <c r="I31" t="s">
        <v>49</v>
      </c>
      <c r="J31" s="12">
        <v>14</v>
      </c>
      <c r="K31" s="3" t="s">
        <v>50</v>
      </c>
      <c r="L31" s="14" t="str">
        <f t="shared" si="2"/>
        <v>$ 75</v>
      </c>
      <c r="M31" s="12">
        <v>1.2</v>
      </c>
      <c r="N31">
        <v>0</v>
      </c>
      <c r="O31">
        <v>16</v>
      </c>
      <c r="P31" s="1">
        <f t="shared" si="3"/>
        <v>0.16</v>
      </c>
    </row>
    <row r="32" spans="1:16" x14ac:dyDescent="0.35">
      <c r="A32" t="s">
        <v>127</v>
      </c>
      <c r="B32" t="s">
        <v>128</v>
      </c>
      <c r="C32" t="str">
        <f t="shared" si="0"/>
        <v>Eric Carpenter</v>
      </c>
      <c r="D32" t="s">
        <v>94</v>
      </c>
      <c r="E32" t="str">
        <f t="shared" si="1"/>
        <v>Male</v>
      </c>
      <c r="F32" s="12">
        <v>22</v>
      </c>
      <c r="G32" t="s">
        <v>41</v>
      </c>
      <c r="H32" s="12" t="s">
        <v>42</v>
      </c>
      <c r="I32" t="s">
        <v>86</v>
      </c>
      <c r="J32" s="12">
        <v>4</v>
      </c>
      <c r="K32" s="3">
        <v>40</v>
      </c>
      <c r="L32" s="14">
        <f t="shared" si="2"/>
        <v>40</v>
      </c>
      <c r="M32" s="12">
        <v>1</v>
      </c>
      <c r="N32">
        <v>1</v>
      </c>
      <c r="O32">
        <v>16</v>
      </c>
      <c r="P32" s="1">
        <f t="shared" si="3"/>
        <v>0.16</v>
      </c>
    </row>
    <row r="33" spans="1:16" x14ac:dyDescent="0.35">
      <c r="A33" t="s">
        <v>129</v>
      </c>
      <c r="B33" t="s">
        <v>130</v>
      </c>
      <c r="C33" t="str">
        <f t="shared" si="0"/>
        <v>Timothy Daniels</v>
      </c>
      <c r="D33" t="s">
        <v>94</v>
      </c>
      <c r="E33" t="str">
        <f t="shared" si="1"/>
        <v>Male</v>
      </c>
      <c r="F33" s="12">
        <v>38</v>
      </c>
      <c r="G33" t="s">
        <v>131</v>
      </c>
      <c r="H33" s="12" t="s">
        <v>132</v>
      </c>
      <c r="I33" t="s">
        <v>111</v>
      </c>
      <c r="J33" s="12">
        <v>19</v>
      </c>
      <c r="K33" s="3" t="s">
        <v>24</v>
      </c>
      <c r="L33" s="14" t="str">
        <f t="shared" si="2"/>
        <v>$ 100</v>
      </c>
      <c r="M33" s="12">
        <v>4.2</v>
      </c>
      <c r="N33">
        <v>0</v>
      </c>
      <c r="O33" s="1">
        <v>0.68</v>
      </c>
      <c r="P33" s="1">
        <f t="shared" si="3"/>
        <v>0.68</v>
      </c>
    </row>
    <row r="34" spans="1:16" x14ac:dyDescent="0.35">
      <c r="A34" t="s">
        <v>133</v>
      </c>
      <c r="B34" t="s">
        <v>134</v>
      </c>
      <c r="C34" t="str">
        <f t="shared" si="0"/>
        <v>Robert Nelson</v>
      </c>
      <c r="D34" t="s">
        <v>27</v>
      </c>
      <c r="E34" t="str">
        <f t="shared" si="1"/>
        <v>Male</v>
      </c>
      <c r="F34" s="12">
        <v>46</v>
      </c>
      <c r="G34" t="s">
        <v>135</v>
      </c>
      <c r="H34" s="12" t="s">
        <v>136</v>
      </c>
      <c r="I34" t="s">
        <v>43</v>
      </c>
      <c r="J34" s="12">
        <v>9</v>
      </c>
      <c r="K34" s="3">
        <v>20</v>
      </c>
      <c r="L34" s="14">
        <f t="shared" si="2"/>
        <v>20</v>
      </c>
      <c r="M34" s="12">
        <v>1.4</v>
      </c>
      <c r="N34">
        <v>1</v>
      </c>
      <c r="O34" s="1">
        <v>0.76</v>
      </c>
      <c r="P34" s="1">
        <f t="shared" si="3"/>
        <v>0.76</v>
      </c>
    </row>
    <row r="35" spans="1:16" x14ac:dyDescent="0.35">
      <c r="A35" t="s">
        <v>137</v>
      </c>
      <c r="B35" t="s">
        <v>138</v>
      </c>
      <c r="C35" t="str">
        <f t="shared" si="0"/>
        <v>Michael Anderson</v>
      </c>
      <c r="D35" t="s">
        <v>27</v>
      </c>
      <c r="E35" t="str">
        <f t="shared" si="1"/>
        <v>Male</v>
      </c>
      <c r="F35" s="12">
        <v>41</v>
      </c>
      <c r="G35" t="s">
        <v>109</v>
      </c>
      <c r="H35" s="12" t="s">
        <v>110</v>
      </c>
      <c r="I35" t="s">
        <v>43</v>
      </c>
      <c r="J35" s="12">
        <v>9</v>
      </c>
      <c r="K35" s="3">
        <v>40</v>
      </c>
      <c r="L35" s="14">
        <f t="shared" si="2"/>
        <v>40</v>
      </c>
      <c r="M35" s="12">
        <v>2.4</v>
      </c>
      <c r="N35">
        <v>1</v>
      </c>
      <c r="O35">
        <v>82</v>
      </c>
      <c r="P35" s="1">
        <f t="shared" si="3"/>
        <v>0.82</v>
      </c>
    </row>
    <row r="36" spans="1:16" x14ac:dyDescent="0.35">
      <c r="A36" t="s">
        <v>139</v>
      </c>
      <c r="B36" t="s">
        <v>140</v>
      </c>
      <c r="C36" t="str">
        <f t="shared" si="0"/>
        <v>Jessica Snyder</v>
      </c>
      <c r="D36" t="s">
        <v>20</v>
      </c>
      <c r="E36" t="str">
        <f t="shared" si="1"/>
        <v>Female</v>
      </c>
      <c r="F36" s="12">
        <v>54</v>
      </c>
      <c r="G36" t="s">
        <v>56</v>
      </c>
      <c r="H36" s="12" t="s">
        <v>22</v>
      </c>
      <c r="I36" t="s">
        <v>35</v>
      </c>
      <c r="J36" s="12">
        <v>32</v>
      </c>
      <c r="K36" s="3">
        <v>75</v>
      </c>
      <c r="L36" s="14">
        <f t="shared" si="2"/>
        <v>75</v>
      </c>
      <c r="M36" s="12">
        <v>1</v>
      </c>
      <c r="N36">
        <v>1</v>
      </c>
      <c r="O36" s="1">
        <v>0.81</v>
      </c>
      <c r="P36" s="1">
        <f t="shared" si="3"/>
        <v>0.81</v>
      </c>
    </row>
    <row r="37" spans="1:16" x14ac:dyDescent="0.35">
      <c r="A37" t="s">
        <v>141</v>
      </c>
      <c r="B37" t="s">
        <v>142</v>
      </c>
      <c r="C37" t="str">
        <f t="shared" si="0"/>
        <v>Emily Daniels</v>
      </c>
      <c r="D37" t="s">
        <v>38</v>
      </c>
      <c r="E37" t="str">
        <f t="shared" si="1"/>
        <v>Female</v>
      </c>
      <c r="F37" s="12">
        <v>52</v>
      </c>
      <c r="G37" t="s">
        <v>109</v>
      </c>
      <c r="H37" s="12" t="s">
        <v>110</v>
      </c>
      <c r="I37" t="s">
        <v>35</v>
      </c>
      <c r="J37" s="12">
        <v>28</v>
      </c>
      <c r="K37" s="3">
        <v>20</v>
      </c>
      <c r="L37" s="14">
        <f t="shared" si="2"/>
        <v>20</v>
      </c>
      <c r="M37" s="12">
        <v>3</v>
      </c>
      <c r="N37">
        <v>0</v>
      </c>
      <c r="O37">
        <v>16</v>
      </c>
      <c r="P37" s="1">
        <f t="shared" si="3"/>
        <v>0.16</v>
      </c>
    </row>
    <row r="38" spans="1:16" x14ac:dyDescent="0.35">
      <c r="A38" t="s">
        <v>143</v>
      </c>
      <c r="B38" t="s">
        <v>144</v>
      </c>
      <c r="C38" t="str">
        <f t="shared" si="0"/>
        <v>Jamie Ramirez</v>
      </c>
      <c r="D38" t="s">
        <v>38</v>
      </c>
      <c r="E38" t="str">
        <f t="shared" si="1"/>
        <v>Female</v>
      </c>
      <c r="F38" s="12">
        <v>42</v>
      </c>
      <c r="G38" t="s">
        <v>82</v>
      </c>
      <c r="H38" s="12" t="s">
        <v>83</v>
      </c>
      <c r="I38" t="s">
        <v>23</v>
      </c>
      <c r="J38" s="12">
        <v>6</v>
      </c>
      <c r="K38" s="3">
        <v>40</v>
      </c>
      <c r="L38" s="14">
        <f t="shared" si="2"/>
        <v>40</v>
      </c>
      <c r="M38" s="12">
        <v>3</v>
      </c>
      <c r="N38">
        <v>0</v>
      </c>
      <c r="O38" s="1">
        <v>0.63</v>
      </c>
      <c r="P38" s="1">
        <f t="shared" si="3"/>
        <v>0.63</v>
      </c>
    </row>
    <row r="39" spans="1:16" x14ac:dyDescent="0.35">
      <c r="A39" t="s">
        <v>145</v>
      </c>
      <c r="B39" t="s">
        <v>146</v>
      </c>
      <c r="C39" t="str">
        <f t="shared" si="0"/>
        <v>Amy Harrison</v>
      </c>
      <c r="D39" t="s">
        <v>38</v>
      </c>
      <c r="E39" t="str">
        <f t="shared" si="1"/>
        <v>Female</v>
      </c>
      <c r="F39" s="12">
        <v>29</v>
      </c>
      <c r="G39" t="s">
        <v>41</v>
      </c>
      <c r="H39" s="12" t="s">
        <v>42</v>
      </c>
      <c r="I39" t="s">
        <v>30</v>
      </c>
      <c r="J39" s="12">
        <v>10</v>
      </c>
      <c r="K39" s="3">
        <v>40</v>
      </c>
      <c r="L39" s="14">
        <f t="shared" si="2"/>
        <v>40</v>
      </c>
      <c r="M39" s="12">
        <v>2.2000000000000002</v>
      </c>
      <c r="N39">
        <v>0</v>
      </c>
      <c r="O39" s="1">
        <v>0.67</v>
      </c>
      <c r="P39" s="1">
        <f t="shared" si="3"/>
        <v>0.67</v>
      </c>
    </row>
    <row r="40" spans="1:16" x14ac:dyDescent="0.35">
      <c r="A40" t="s">
        <v>147</v>
      </c>
      <c r="B40" t="s">
        <v>148</v>
      </c>
      <c r="C40" t="str">
        <f t="shared" si="0"/>
        <v>Melinda White</v>
      </c>
      <c r="D40" t="s">
        <v>38</v>
      </c>
      <c r="E40" t="str">
        <f t="shared" si="1"/>
        <v>Female</v>
      </c>
      <c r="F40" s="12">
        <v>42</v>
      </c>
      <c r="G40" t="s">
        <v>149</v>
      </c>
      <c r="H40" s="12" t="s">
        <v>150</v>
      </c>
      <c r="I40" t="s">
        <v>23</v>
      </c>
      <c r="J40" s="12">
        <v>23</v>
      </c>
      <c r="K40" s="3">
        <v>50</v>
      </c>
      <c r="L40" s="14">
        <f t="shared" si="2"/>
        <v>50</v>
      </c>
      <c r="M40" s="12">
        <v>3.2</v>
      </c>
      <c r="N40">
        <v>1</v>
      </c>
      <c r="O40">
        <v>16</v>
      </c>
      <c r="P40" s="1">
        <f t="shared" si="3"/>
        <v>0.16</v>
      </c>
    </row>
    <row r="41" spans="1:16" x14ac:dyDescent="0.35">
      <c r="A41" t="s">
        <v>151</v>
      </c>
      <c r="B41" t="s">
        <v>152</v>
      </c>
      <c r="C41" t="str">
        <f t="shared" si="0"/>
        <v>James Hernandez</v>
      </c>
      <c r="D41" t="s">
        <v>94</v>
      </c>
      <c r="E41" t="str">
        <f t="shared" si="1"/>
        <v>Male</v>
      </c>
      <c r="F41" s="12">
        <v>60</v>
      </c>
      <c r="G41" t="s">
        <v>82</v>
      </c>
      <c r="H41" s="12" t="s">
        <v>83</v>
      </c>
      <c r="I41" t="s">
        <v>35</v>
      </c>
      <c r="J41" s="12">
        <v>13</v>
      </c>
      <c r="K41" s="3">
        <v>20</v>
      </c>
      <c r="L41" s="14">
        <f t="shared" si="2"/>
        <v>20</v>
      </c>
      <c r="M41" s="12">
        <v>3.6</v>
      </c>
      <c r="N41">
        <v>0</v>
      </c>
      <c r="O41" s="1">
        <v>0.8</v>
      </c>
      <c r="P41" s="1">
        <f t="shared" si="3"/>
        <v>0.8</v>
      </c>
    </row>
    <row r="42" spans="1:16" x14ac:dyDescent="0.35">
      <c r="A42" t="s">
        <v>153</v>
      </c>
      <c r="B42" t="s">
        <v>154</v>
      </c>
      <c r="C42" t="str">
        <f t="shared" si="0"/>
        <v>Angelica Rogers</v>
      </c>
      <c r="D42" t="s">
        <v>74</v>
      </c>
      <c r="E42" t="str">
        <f t="shared" si="1"/>
        <v>Female</v>
      </c>
      <c r="F42" s="12">
        <v>59</v>
      </c>
      <c r="G42" t="s">
        <v>64</v>
      </c>
      <c r="H42" s="12" t="s">
        <v>22</v>
      </c>
      <c r="I42" t="s">
        <v>43</v>
      </c>
      <c r="J42" s="12">
        <v>3</v>
      </c>
      <c r="K42" s="3" t="s">
        <v>95</v>
      </c>
      <c r="L42" s="14" t="str">
        <f t="shared" si="2"/>
        <v>$ 50</v>
      </c>
      <c r="M42" s="12">
        <v>0</v>
      </c>
      <c r="N42">
        <v>1</v>
      </c>
      <c r="O42">
        <v>16</v>
      </c>
      <c r="P42" s="1">
        <f t="shared" si="3"/>
        <v>0.16</v>
      </c>
    </row>
    <row r="43" spans="1:16" x14ac:dyDescent="0.35">
      <c r="A43" t="s">
        <v>156</v>
      </c>
      <c r="B43" t="s">
        <v>157</v>
      </c>
      <c r="C43" t="str">
        <f t="shared" si="0"/>
        <v>Savannah Williams</v>
      </c>
      <c r="D43" t="s">
        <v>74</v>
      </c>
      <c r="E43" t="str">
        <f t="shared" si="1"/>
        <v>Female</v>
      </c>
      <c r="F43" s="12">
        <v>21</v>
      </c>
      <c r="G43" t="s">
        <v>124</v>
      </c>
      <c r="H43" s="12" t="s">
        <v>22</v>
      </c>
      <c r="I43" t="s">
        <v>35</v>
      </c>
      <c r="J43" s="12">
        <v>11</v>
      </c>
      <c r="K43" s="3">
        <v>30</v>
      </c>
      <c r="L43" s="14">
        <f t="shared" si="2"/>
        <v>30</v>
      </c>
      <c r="M43" s="12">
        <v>2.7</v>
      </c>
      <c r="N43">
        <v>1</v>
      </c>
      <c r="O43" s="1">
        <v>0.84</v>
      </c>
      <c r="P43" s="1">
        <f t="shared" si="3"/>
        <v>0.84</v>
      </c>
    </row>
    <row r="44" spans="1:16" x14ac:dyDescent="0.35">
      <c r="A44" t="s">
        <v>158</v>
      </c>
      <c r="B44" t="s">
        <v>159</v>
      </c>
      <c r="C44" t="str">
        <f t="shared" si="0"/>
        <v>Kaitlyn Schmidt</v>
      </c>
      <c r="D44" t="s">
        <v>74</v>
      </c>
      <c r="E44" t="str">
        <f t="shared" si="1"/>
        <v>Female</v>
      </c>
      <c r="F44" s="12">
        <v>35</v>
      </c>
      <c r="G44" t="s">
        <v>28</v>
      </c>
      <c r="H44" s="12" t="s">
        <v>29</v>
      </c>
      <c r="I44" t="s">
        <v>86</v>
      </c>
      <c r="J44" s="12">
        <v>10</v>
      </c>
      <c r="K44" s="3">
        <v>50</v>
      </c>
      <c r="L44" s="14">
        <f t="shared" si="2"/>
        <v>50</v>
      </c>
      <c r="M44" s="12">
        <v>0</v>
      </c>
      <c r="N44">
        <v>1</v>
      </c>
      <c r="O44">
        <v>16</v>
      </c>
      <c r="P44" s="1">
        <f t="shared" si="3"/>
        <v>0.16</v>
      </c>
    </row>
    <row r="45" spans="1:16" x14ac:dyDescent="0.35">
      <c r="A45" t="s">
        <v>160</v>
      </c>
      <c r="B45" t="s">
        <v>161</v>
      </c>
      <c r="C45" t="str">
        <f t="shared" si="0"/>
        <v>Jason Singh</v>
      </c>
      <c r="D45" t="s">
        <v>27</v>
      </c>
      <c r="E45" t="str">
        <f t="shared" si="1"/>
        <v>Male</v>
      </c>
      <c r="F45" s="12">
        <v>41</v>
      </c>
      <c r="G45" t="s">
        <v>64</v>
      </c>
      <c r="H45" s="12" t="s">
        <v>22</v>
      </c>
      <c r="I45" t="s">
        <v>49</v>
      </c>
      <c r="J45" s="12">
        <v>11</v>
      </c>
      <c r="K45" s="3">
        <v>20</v>
      </c>
      <c r="L45" s="14">
        <f t="shared" si="2"/>
        <v>20</v>
      </c>
      <c r="M45" s="12">
        <v>2.8</v>
      </c>
      <c r="N45">
        <v>1</v>
      </c>
      <c r="O45" s="1">
        <v>0.63</v>
      </c>
      <c r="P45" s="1">
        <f t="shared" si="3"/>
        <v>0.63</v>
      </c>
    </row>
    <row r="46" spans="1:16" x14ac:dyDescent="0.35">
      <c r="A46" t="s">
        <v>162</v>
      </c>
      <c r="B46" t="s">
        <v>163</v>
      </c>
      <c r="C46" t="str">
        <f t="shared" si="0"/>
        <v>Michelle Ramirez</v>
      </c>
      <c r="D46" t="s">
        <v>74</v>
      </c>
      <c r="E46" t="str">
        <f t="shared" si="1"/>
        <v>Female</v>
      </c>
      <c r="F46" s="12">
        <v>51</v>
      </c>
      <c r="G46" t="s">
        <v>41</v>
      </c>
      <c r="H46" s="12" t="s">
        <v>42</v>
      </c>
      <c r="I46" t="s">
        <v>111</v>
      </c>
      <c r="J46" s="12">
        <v>23</v>
      </c>
      <c r="K46" s="3">
        <v>20</v>
      </c>
      <c r="L46" s="14">
        <f t="shared" si="2"/>
        <v>20</v>
      </c>
      <c r="M46" s="12">
        <v>2.5</v>
      </c>
      <c r="N46">
        <v>0</v>
      </c>
      <c r="O46" s="1">
        <v>0.8</v>
      </c>
      <c r="P46" s="1">
        <f t="shared" si="3"/>
        <v>0.8</v>
      </c>
    </row>
    <row r="47" spans="1:16" x14ac:dyDescent="0.35">
      <c r="A47" t="s">
        <v>164</v>
      </c>
      <c r="B47" t="s">
        <v>165</v>
      </c>
      <c r="C47" t="str">
        <f t="shared" si="0"/>
        <v>James Brown</v>
      </c>
      <c r="D47" t="s">
        <v>27</v>
      </c>
      <c r="E47" t="str">
        <f t="shared" si="1"/>
        <v>Male</v>
      </c>
      <c r="F47" s="12">
        <v>41</v>
      </c>
      <c r="G47" t="s">
        <v>149</v>
      </c>
      <c r="H47" s="12" t="s">
        <v>150</v>
      </c>
      <c r="I47" t="s">
        <v>35</v>
      </c>
      <c r="J47" s="12">
        <v>9</v>
      </c>
      <c r="K47" s="3">
        <v>75</v>
      </c>
      <c r="L47" s="14">
        <f t="shared" si="2"/>
        <v>75</v>
      </c>
      <c r="M47" s="12">
        <v>4.9000000000000004</v>
      </c>
      <c r="N47">
        <v>1</v>
      </c>
      <c r="O47" s="1">
        <v>0.74</v>
      </c>
      <c r="P47" s="1">
        <f t="shared" si="3"/>
        <v>0.74</v>
      </c>
    </row>
    <row r="48" spans="1:16" x14ac:dyDescent="0.35">
      <c r="A48" t="s">
        <v>166</v>
      </c>
      <c r="B48" t="s">
        <v>167</v>
      </c>
      <c r="C48" t="str">
        <f t="shared" si="0"/>
        <v>Mrs. Samantha Simmons</v>
      </c>
      <c r="D48" t="s">
        <v>74</v>
      </c>
      <c r="E48" t="str">
        <f t="shared" si="1"/>
        <v>Female</v>
      </c>
      <c r="F48" s="12">
        <v>47</v>
      </c>
      <c r="G48" t="s">
        <v>135</v>
      </c>
      <c r="H48" s="12" t="s">
        <v>136</v>
      </c>
      <c r="I48" t="s">
        <v>86</v>
      </c>
      <c r="J48" s="12">
        <v>15</v>
      </c>
      <c r="K48" s="3" t="s">
        <v>106</v>
      </c>
      <c r="L48" s="14" t="str">
        <f t="shared" si="2"/>
        <v>$ 30</v>
      </c>
      <c r="M48" s="12">
        <v>4.5</v>
      </c>
      <c r="N48">
        <v>1</v>
      </c>
      <c r="O48" s="1">
        <v>0.85</v>
      </c>
      <c r="P48" s="1">
        <f t="shared" si="3"/>
        <v>0.85</v>
      </c>
    </row>
    <row r="49" spans="1:16" x14ac:dyDescent="0.35">
      <c r="A49" t="s">
        <v>168</v>
      </c>
      <c r="B49" t="s">
        <v>169</v>
      </c>
      <c r="C49" t="str">
        <f t="shared" si="0"/>
        <v>Chase Mason</v>
      </c>
      <c r="D49" t="s">
        <v>27</v>
      </c>
      <c r="E49" t="str">
        <f t="shared" si="1"/>
        <v>Male</v>
      </c>
      <c r="F49" s="12">
        <v>25</v>
      </c>
      <c r="G49" t="s">
        <v>170</v>
      </c>
      <c r="H49" s="12" t="s">
        <v>171</v>
      </c>
      <c r="I49" t="s">
        <v>30</v>
      </c>
      <c r="J49" s="12">
        <v>4</v>
      </c>
      <c r="K49" s="3">
        <v>50</v>
      </c>
      <c r="L49" s="14">
        <f t="shared" si="2"/>
        <v>50</v>
      </c>
      <c r="M49" s="12">
        <v>2.7</v>
      </c>
      <c r="N49">
        <v>0</v>
      </c>
      <c r="O49" s="1">
        <v>0.77</v>
      </c>
      <c r="P49" s="1">
        <f t="shared" si="3"/>
        <v>0.77</v>
      </c>
    </row>
    <row r="50" spans="1:16" x14ac:dyDescent="0.35">
      <c r="A50" t="s">
        <v>172</v>
      </c>
      <c r="B50" t="s">
        <v>173</v>
      </c>
      <c r="C50" t="str">
        <f t="shared" si="0"/>
        <v>Dominique Ward</v>
      </c>
      <c r="D50" t="s">
        <v>38</v>
      </c>
      <c r="E50" t="str">
        <f t="shared" si="1"/>
        <v>Female</v>
      </c>
      <c r="F50" s="12">
        <v>25</v>
      </c>
      <c r="G50" t="s">
        <v>174</v>
      </c>
      <c r="H50" s="12" t="s">
        <v>69</v>
      </c>
      <c r="I50" t="s">
        <v>23</v>
      </c>
      <c r="J50" s="12">
        <v>7</v>
      </c>
      <c r="K50" s="3">
        <v>20</v>
      </c>
      <c r="L50" s="14">
        <f t="shared" si="2"/>
        <v>20</v>
      </c>
      <c r="M50" s="12">
        <v>1.9</v>
      </c>
      <c r="N50">
        <v>0</v>
      </c>
      <c r="O50">
        <v>16</v>
      </c>
      <c r="P50" s="1">
        <f t="shared" si="3"/>
        <v>0.16</v>
      </c>
    </row>
    <row r="51" spans="1:16" x14ac:dyDescent="0.35">
      <c r="A51" t="s">
        <v>175</v>
      </c>
      <c r="B51" t="s">
        <v>176</v>
      </c>
      <c r="C51" t="str">
        <f t="shared" si="0"/>
        <v>Lance Griffin</v>
      </c>
      <c r="D51" t="s">
        <v>27</v>
      </c>
      <c r="E51" t="str">
        <f t="shared" si="1"/>
        <v>Male</v>
      </c>
      <c r="F51" s="12">
        <v>29</v>
      </c>
      <c r="G51" t="s">
        <v>41</v>
      </c>
      <c r="H51" s="12" t="s">
        <v>42</v>
      </c>
      <c r="I51" t="s">
        <v>70</v>
      </c>
      <c r="J51" s="12">
        <v>1</v>
      </c>
      <c r="K51" s="3">
        <v>20</v>
      </c>
      <c r="L51" s="14">
        <f t="shared" si="2"/>
        <v>20</v>
      </c>
      <c r="M51" s="12">
        <v>1.4</v>
      </c>
      <c r="N51">
        <v>1</v>
      </c>
      <c r="O51" s="1">
        <v>0.63</v>
      </c>
      <c r="P51" s="1">
        <f t="shared" si="3"/>
        <v>0.63</v>
      </c>
    </row>
    <row r="52" spans="1:16" x14ac:dyDescent="0.35">
      <c r="A52" t="s">
        <v>177</v>
      </c>
      <c r="B52" t="s">
        <v>178</v>
      </c>
      <c r="C52" t="str">
        <f t="shared" si="0"/>
        <v>Julie Burgess</v>
      </c>
      <c r="D52" t="s">
        <v>20</v>
      </c>
      <c r="E52" t="str">
        <f t="shared" si="1"/>
        <v>Female</v>
      </c>
      <c r="F52" s="12">
        <v>23</v>
      </c>
      <c r="G52" t="s">
        <v>68</v>
      </c>
      <c r="H52" s="12" t="s">
        <v>69</v>
      </c>
      <c r="I52" t="s">
        <v>75</v>
      </c>
      <c r="J52" s="12">
        <v>11</v>
      </c>
      <c r="K52" s="3">
        <v>75</v>
      </c>
      <c r="L52" s="14">
        <f t="shared" si="2"/>
        <v>75</v>
      </c>
      <c r="M52" s="12">
        <v>1.9</v>
      </c>
      <c r="N52">
        <v>1</v>
      </c>
      <c r="O52" s="1">
        <v>0.79</v>
      </c>
      <c r="P52" s="1">
        <f t="shared" si="3"/>
        <v>0.79</v>
      </c>
    </row>
    <row r="53" spans="1:16" x14ac:dyDescent="0.35">
      <c r="A53" t="s">
        <v>179</v>
      </c>
      <c r="B53" t="s">
        <v>180</v>
      </c>
      <c r="C53" t="str">
        <f t="shared" si="0"/>
        <v>Don Scott</v>
      </c>
      <c r="D53" t="s">
        <v>27</v>
      </c>
      <c r="E53" t="str">
        <f t="shared" si="1"/>
        <v>Male</v>
      </c>
      <c r="F53" s="12">
        <v>31</v>
      </c>
      <c r="G53" t="s">
        <v>131</v>
      </c>
      <c r="H53" s="12" t="s">
        <v>132</v>
      </c>
      <c r="I53" t="s">
        <v>49</v>
      </c>
      <c r="J53" s="12">
        <v>8</v>
      </c>
      <c r="K53" s="3">
        <v>50</v>
      </c>
      <c r="L53" s="14">
        <f t="shared" si="2"/>
        <v>50</v>
      </c>
      <c r="M53" s="12">
        <v>3.4</v>
      </c>
      <c r="N53">
        <v>0</v>
      </c>
      <c r="O53">
        <v>16</v>
      </c>
      <c r="P53" s="1">
        <f t="shared" si="3"/>
        <v>0.16</v>
      </c>
    </row>
    <row r="54" spans="1:16" x14ac:dyDescent="0.35">
      <c r="A54" t="s">
        <v>181</v>
      </c>
      <c r="B54" t="s">
        <v>182</v>
      </c>
      <c r="C54" t="str">
        <f t="shared" si="0"/>
        <v>Kyle Atkinson</v>
      </c>
      <c r="D54" t="s">
        <v>94</v>
      </c>
      <c r="E54" t="str">
        <f t="shared" si="1"/>
        <v>Male</v>
      </c>
      <c r="F54" s="12">
        <v>51</v>
      </c>
      <c r="G54" t="s">
        <v>28</v>
      </c>
      <c r="H54" s="12" t="s">
        <v>29</v>
      </c>
      <c r="I54" t="s">
        <v>111</v>
      </c>
      <c r="J54" s="12">
        <v>33</v>
      </c>
      <c r="K54" s="3">
        <v>75</v>
      </c>
      <c r="L54" s="14">
        <f t="shared" si="2"/>
        <v>75</v>
      </c>
      <c r="M54" s="12">
        <v>3.3</v>
      </c>
      <c r="N54">
        <v>1</v>
      </c>
      <c r="O54" s="1">
        <v>0.68</v>
      </c>
      <c r="P54" s="1">
        <f t="shared" si="3"/>
        <v>0.68</v>
      </c>
    </row>
    <row r="55" spans="1:16" x14ac:dyDescent="0.35">
      <c r="A55" t="s">
        <v>183</v>
      </c>
      <c r="B55" t="s">
        <v>184</v>
      </c>
      <c r="C55" t="str">
        <f t="shared" si="0"/>
        <v>Jimmy Hogan</v>
      </c>
      <c r="D55" t="s">
        <v>27</v>
      </c>
      <c r="E55" t="str">
        <f t="shared" si="1"/>
        <v>Male</v>
      </c>
      <c r="F55" s="12">
        <v>41</v>
      </c>
      <c r="G55" t="s">
        <v>185</v>
      </c>
      <c r="H55" s="12" t="s">
        <v>69</v>
      </c>
      <c r="I55" t="s">
        <v>70</v>
      </c>
      <c r="J55" s="12">
        <v>1</v>
      </c>
      <c r="K55" s="3">
        <v>30</v>
      </c>
      <c r="L55" s="14">
        <f t="shared" si="2"/>
        <v>30</v>
      </c>
      <c r="M55" s="12">
        <v>0</v>
      </c>
      <c r="N55">
        <v>0</v>
      </c>
      <c r="O55" s="1">
        <v>0.68</v>
      </c>
      <c r="P55" s="1">
        <f t="shared" si="3"/>
        <v>0.68</v>
      </c>
    </row>
    <row r="56" spans="1:16" x14ac:dyDescent="0.35">
      <c r="A56" t="s">
        <v>186</v>
      </c>
      <c r="B56" t="s">
        <v>187</v>
      </c>
      <c r="C56" t="str">
        <f t="shared" si="0"/>
        <v>Jennifer Mcintyre</v>
      </c>
      <c r="D56" t="s">
        <v>38</v>
      </c>
      <c r="E56" t="str">
        <f t="shared" si="1"/>
        <v>Female</v>
      </c>
      <c r="F56" s="12">
        <v>29</v>
      </c>
      <c r="G56" t="s">
        <v>60</v>
      </c>
      <c r="H56" s="12" t="s">
        <v>61</v>
      </c>
      <c r="I56" t="s">
        <v>75</v>
      </c>
      <c r="J56" s="12">
        <v>11</v>
      </c>
      <c r="K56" s="3">
        <v>100</v>
      </c>
      <c r="L56" s="14">
        <f t="shared" si="2"/>
        <v>100</v>
      </c>
      <c r="M56" s="12">
        <v>2.2999999999999998</v>
      </c>
      <c r="N56">
        <v>1</v>
      </c>
      <c r="O56" s="1">
        <v>0.72</v>
      </c>
      <c r="P56" s="1">
        <f t="shared" si="3"/>
        <v>0.72</v>
      </c>
    </row>
    <row r="57" spans="1:16" x14ac:dyDescent="0.35">
      <c r="A57" t="s">
        <v>188</v>
      </c>
      <c r="B57" t="s">
        <v>189</v>
      </c>
      <c r="C57" t="str">
        <f t="shared" si="0"/>
        <v>Larry Simpson</v>
      </c>
      <c r="D57" t="s">
        <v>27</v>
      </c>
      <c r="E57" t="str">
        <f t="shared" si="1"/>
        <v>Male</v>
      </c>
      <c r="F57" s="12">
        <v>50</v>
      </c>
      <c r="G57" t="s">
        <v>64</v>
      </c>
      <c r="H57" s="12" t="s">
        <v>22</v>
      </c>
      <c r="I57" t="s">
        <v>43</v>
      </c>
      <c r="J57" s="12">
        <v>15</v>
      </c>
      <c r="K57" s="3">
        <v>40</v>
      </c>
      <c r="L57" s="14">
        <f t="shared" si="2"/>
        <v>40</v>
      </c>
      <c r="M57" s="12">
        <v>2</v>
      </c>
      <c r="N57">
        <v>1</v>
      </c>
      <c r="O57" s="1">
        <v>0.65</v>
      </c>
      <c r="P57" s="1">
        <f t="shared" si="3"/>
        <v>0.65</v>
      </c>
    </row>
    <row r="58" spans="1:16" x14ac:dyDescent="0.35">
      <c r="A58" t="s">
        <v>190</v>
      </c>
      <c r="B58" t="s">
        <v>191</v>
      </c>
      <c r="C58" t="str">
        <f t="shared" si="0"/>
        <v>Laura Price</v>
      </c>
      <c r="D58" t="s">
        <v>38</v>
      </c>
      <c r="E58" t="str">
        <f t="shared" si="1"/>
        <v>Female</v>
      </c>
      <c r="F58" s="12">
        <v>26</v>
      </c>
      <c r="G58" t="s">
        <v>64</v>
      </c>
      <c r="H58" s="12" t="s">
        <v>22</v>
      </c>
      <c r="I58" t="s">
        <v>86</v>
      </c>
      <c r="J58" s="12">
        <v>8</v>
      </c>
      <c r="K58" s="3">
        <v>50</v>
      </c>
      <c r="L58" s="14">
        <f t="shared" si="2"/>
        <v>50</v>
      </c>
      <c r="M58" s="12">
        <v>1.3</v>
      </c>
      <c r="N58">
        <v>0</v>
      </c>
      <c r="O58" s="1">
        <v>0.76</v>
      </c>
      <c r="P58" s="1">
        <f t="shared" si="3"/>
        <v>0.76</v>
      </c>
    </row>
    <row r="59" spans="1:16" x14ac:dyDescent="0.35">
      <c r="A59" t="s">
        <v>192</v>
      </c>
      <c r="B59" t="s">
        <v>193</v>
      </c>
      <c r="C59" t="str">
        <f t="shared" si="0"/>
        <v>Mark Wright</v>
      </c>
      <c r="D59" t="s">
        <v>94</v>
      </c>
      <c r="E59" t="str">
        <f t="shared" si="1"/>
        <v>Male</v>
      </c>
      <c r="F59" s="12">
        <v>38</v>
      </c>
      <c r="G59" t="s">
        <v>124</v>
      </c>
      <c r="H59" s="12" t="s">
        <v>22</v>
      </c>
      <c r="I59" t="s">
        <v>43</v>
      </c>
      <c r="J59" s="12">
        <v>17</v>
      </c>
      <c r="K59" s="3" t="s">
        <v>53</v>
      </c>
      <c r="L59" s="14" t="str">
        <f t="shared" si="2"/>
        <v>$ 40</v>
      </c>
      <c r="M59" s="12">
        <v>4</v>
      </c>
      <c r="N59">
        <v>1</v>
      </c>
      <c r="O59" s="1">
        <v>0.9</v>
      </c>
      <c r="P59" s="1">
        <f t="shared" si="3"/>
        <v>0.9</v>
      </c>
    </row>
    <row r="60" spans="1:16" x14ac:dyDescent="0.35">
      <c r="A60" t="s">
        <v>194</v>
      </c>
      <c r="B60" t="s">
        <v>195</v>
      </c>
      <c r="C60" t="str">
        <f t="shared" si="0"/>
        <v>Samantha Mcdaniel</v>
      </c>
      <c r="D60" t="s">
        <v>20</v>
      </c>
      <c r="E60" t="str">
        <f t="shared" si="1"/>
        <v>Female</v>
      </c>
      <c r="F60" s="12">
        <v>23</v>
      </c>
      <c r="G60" t="s">
        <v>90</v>
      </c>
      <c r="H60" s="12" t="s">
        <v>91</v>
      </c>
      <c r="I60" t="s">
        <v>23</v>
      </c>
      <c r="J60" s="12">
        <v>11</v>
      </c>
      <c r="K60" s="3">
        <v>75</v>
      </c>
      <c r="L60" s="14">
        <f t="shared" si="2"/>
        <v>75</v>
      </c>
      <c r="M60" s="12">
        <v>3.6</v>
      </c>
      <c r="N60">
        <v>1</v>
      </c>
      <c r="O60" s="1">
        <v>0.65</v>
      </c>
      <c r="P60" s="1">
        <f t="shared" si="3"/>
        <v>0.65</v>
      </c>
    </row>
    <row r="61" spans="1:16" x14ac:dyDescent="0.35">
      <c r="A61" t="s">
        <v>196</v>
      </c>
      <c r="B61" t="s">
        <v>197</v>
      </c>
      <c r="C61" t="str">
        <f t="shared" si="0"/>
        <v>Barbara Foster</v>
      </c>
      <c r="D61" t="s">
        <v>74</v>
      </c>
      <c r="E61" t="str">
        <f t="shared" si="1"/>
        <v>Female</v>
      </c>
      <c r="F61" s="12">
        <v>51</v>
      </c>
      <c r="G61" t="s">
        <v>149</v>
      </c>
      <c r="H61" s="12" t="s">
        <v>150</v>
      </c>
      <c r="I61" t="s">
        <v>86</v>
      </c>
      <c r="J61" s="12">
        <v>28</v>
      </c>
      <c r="K61" s="3">
        <v>40</v>
      </c>
      <c r="L61" s="14">
        <f t="shared" si="2"/>
        <v>40</v>
      </c>
      <c r="M61" s="12">
        <v>3.9</v>
      </c>
      <c r="N61">
        <v>0</v>
      </c>
      <c r="O61" s="1">
        <v>0.63</v>
      </c>
      <c r="P61" s="1">
        <f t="shared" si="3"/>
        <v>0.63</v>
      </c>
    </row>
    <row r="62" spans="1:16" x14ac:dyDescent="0.35">
      <c r="A62" t="s">
        <v>198</v>
      </c>
      <c r="B62" t="s">
        <v>199</v>
      </c>
      <c r="C62" t="str">
        <f t="shared" si="0"/>
        <v>Courtney Tran</v>
      </c>
      <c r="D62" t="s">
        <v>38</v>
      </c>
      <c r="E62" t="str">
        <f t="shared" si="1"/>
        <v>Female</v>
      </c>
      <c r="F62" s="12">
        <v>51</v>
      </c>
      <c r="G62" t="s">
        <v>47</v>
      </c>
      <c r="H62" s="12" t="s">
        <v>48</v>
      </c>
      <c r="I62" t="s">
        <v>43</v>
      </c>
      <c r="J62" s="12">
        <v>33</v>
      </c>
      <c r="K62" s="3">
        <v>75</v>
      </c>
      <c r="L62" s="14">
        <f t="shared" si="2"/>
        <v>75</v>
      </c>
      <c r="M62" s="12">
        <v>0</v>
      </c>
      <c r="N62">
        <v>1</v>
      </c>
      <c r="O62">
        <v>16</v>
      </c>
      <c r="P62" s="1">
        <f t="shared" si="3"/>
        <v>0.16</v>
      </c>
    </row>
    <row r="63" spans="1:16" x14ac:dyDescent="0.35">
      <c r="A63" t="s">
        <v>200</v>
      </c>
      <c r="B63" t="s">
        <v>201</v>
      </c>
      <c r="C63" t="str">
        <f t="shared" si="0"/>
        <v>Eddie Todd</v>
      </c>
      <c r="D63" t="s">
        <v>94</v>
      </c>
      <c r="E63" t="str">
        <f t="shared" si="1"/>
        <v>Male</v>
      </c>
      <c r="F63" s="12">
        <v>47</v>
      </c>
      <c r="G63" t="s">
        <v>28</v>
      </c>
      <c r="H63" s="12" t="s">
        <v>29</v>
      </c>
      <c r="I63" t="s">
        <v>43</v>
      </c>
      <c r="J63" s="12">
        <v>18</v>
      </c>
      <c r="K63" s="3">
        <v>75</v>
      </c>
      <c r="L63" s="14">
        <f t="shared" si="2"/>
        <v>75</v>
      </c>
      <c r="M63" s="12">
        <v>0</v>
      </c>
      <c r="N63">
        <v>0</v>
      </c>
      <c r="O63">
        <v>16</v>
      </c>
      <c r="P63" s="1">
        <f t="shared" si="3"/>
        <v>0.16</v>
      </c>
    </row>
    <row r="64" spans="1:16" x14ac:dyDescent="0.35">
      <c r="A64" t="s">
        <v>202</v>
      </c>
      <c r="B64" t="s">
        <v>203</v>
      </c>
      <c r="C64" t="str">
        <f t="shared" si="0"/>
        <v>Christine Johnson</v>
      </c>
      <c r="D64" t="s">
        <v>74</v>
      </c>
      <c r="E64" t="str">
        <f t="shared" si="1"/>
        <v>Female</v>
      </c>
      <c r="F64" s="12">
        <v>34</v>
      </c>
      <c r="G64" t="s">
        <v>120</v>
      </c>
      <c r="H64" s="12" t="s">
        <v>121</v>
      </c>
      <c r="I64" t="s">
        <v>70</v>
      </c>
      <c r="J64" s="12">
        <v>16</v>
      </c>
      <c r="K64" s="3">
        <v>20</v>
      </c>
      <c r="L64" s="14">
        <f t="shared" si="2"/>
        <v>20</v>
      </c>
      <c r="M64" s="12">
        <v>2.2999999999999998</v>
      </c>
      <c r="N64">
        <v>1</v>
      </c>
      <c r="O64" s="1">
        <v>0.93</v>
      </c>
      <c r="P64" s="1">
        <f t="shared" si="3"/>
        <v>0.93</v>
      </c>
    </row>
    <row r="65" spans="1:16" x14ac:dyDescent="0.35">
      <c r="A65" t="s">
        <v>204</v>
      </c>
      <c r="B65" t="s">
        <v>205</v>
      </c>
      <c r="C65" t="str">
        <f t="shared" si="0"/>
        <v>Leah Phelps</v>
      </c>
      <c r="D65" t="s">
        <v>38</v>
      </c>
      <c r="E65" t="str">
        <f t="shared" si="1"/>
        <v>Female</v>
      </c>
      <c r="F65" s="12">
        <v>58</v>
      </c>
      <c r="G65" t="s">
        <v>47</v>
      </c>
      <c r="H65" s="12" t="s">
        <v>48</v>
      </c>
      <c r="I65" t="s">
        <v>49</v>
      </c>
      <c r="J65" s="12">
        <v>35</v>
      </c>
      <c r="K65" s="3" t="s">
        <v>95</v>
      </c>
      <c r="L65" s="14" t="str">
        <f t="shared" si="2"/>
        <v>$ 50</v>
      </c>
      <c r="M65" s="12">
        <v>4.7</v>
      </c>
      <c r="N65">
        <v>1</v>
      </c>
      <c r="O65" s="1">
        <v>0.7</v>
      </c>
      <c r="P65" s="1">
        <f t="shared" si="3"/>
        <v>0.7</v>
      </c>
    </row>
    <row r="66" spans="1:16" x14ac:dyDescent="0.35">
      <c r="A66" t="s">
        <v>206</v>
      </c>
      <c r="B66" t="s">
        <v>207</v>
      </c>
      <c r="C66" t="str">
        <f t="shared" si="0"/>
        <v>Rebekah Williams</v>
      </c>
      <c r="D66" t="s">
        <v>38</v>
      </c>
      <c r="E66" t="str">
        <f t="shared" si="1"/>
        <v>Female</v>
      </c>
      <c r="F66" s="12">
        <v>50</v>
      </c>
      <c r="G66" t="s">
        <v>120</v>
      </c>
      <c r="H66" s="12" t="s">
        <v>121</v>
      </c>
      <c r="I66" t="s">
        <v>43</v>
      </c>
      <c r="J66" s="12">
        <v>14</v>
      </c>
      <c r="K66" s="3">
        <v>40</v>
      </c>
      <c r="L66" s="14">
        <f t="shared" si="2"/>
        <v>40</v>
      </c>
      <c r="M66" s="12">
        <v>3.5</v>
      </c>
      <c r="N66">
        <v>1</v>
      </c>
      <c r="O66" s="1">
        <v>0.83</v>
      </c>
      <c r="P66" s="1">
        <f t="shared" si="3"/>
        <v>0.83</v>
      </c>
    </row>
    <row r="67" spans="1:16" x14ac:dyDescent="0.35">
      <c r="A67" t="s">
        <v>208</v>
      </c>
      <c r="B67" t="s">
        <v>209</v>
      </c>
      <c r="C67" t="str">
        <f t="shared" ref="C67:C130" si="4">PROPER(B67)</f>
        <v>Crystal Wilson</v>
      </c>
      <c r="D67" t="s">
        <v>20</v>
      </c>
      <c r="E67" t="str">
        <f t="shared" ref="E67:E130" si="5">PROPER(D67)</f>
        <v>Female</v>
      </c>
      <c r="F67" s="12">
        <v>34</v>
      </c>
      <c r="G67" t="s">
        <v>185</v>
      </c>
      <c r="H67" s="12" t="s">
        <v>69</v>
      </c>
      <c r="I67" t="s">
        <v>35</v>
      </c>
      <c r="J67" s="12">
        <v>12</v>
      </c>
      <c r="K67" s="3">
        <v>40</v>
      </c>
      <c r="L67" s="14">
        <f t="shared" ref="L67:L130" si="6">IF(K67="","",IF(LEFT(K67,3)="USD","$"&amp;MID(K67,4,LEN(K67)-3),K67))</f>
        <v>40</v>
      </c>
      <c r="M67" s="12">
        <v>2.4</v>
      </c>
      <c r="N67">
        <v>1</v>
      </c>
      <c r="O67">
        <v>64</v>
      </c>
      <c r="P67" s="1">
        <f t="shared" ref="P67:P130" si="7">IF(O67="","",IF(O67&lt;1,O67,O67/100))</f>
        <v>0.64</v>
      </c>
    </row>
    <row r="68" spans="1:16" x14ac:dyDescent="0.35">
      <c r="A68" t="s">
        <v>210</v>
      </c>
      <c r="B68" t="s">
        <v>211</v>
      </c>
      <c r="C68" t="str">
        <f t="shared" si="4"/>
        <v>Ashley Cordova</v>
      </c>
      <c r="D68" t="s">
        <v>74</v>
      </c>
      <c r="E68" t="str">
        <f t="shared" si="5"/>
        <v>Female</v>
      </c>
      <c r="F68" s="12">
        <v>45</v>
      </c>
      <c r="G68" t="s">
        <v>104</v>
      </c>
      <c r="H68" s="12" t="s">
        <v>105</v>
      </c>
      <c r="I68" t="s">
        <v>43</v>
      </c>
      <c r="J68" s="12">
        <v>11</v>
      </c>
      <c r="K68" s="3" t="s">
        <v>50</v>
      </c>
      <c r="L68" s="14" t="str">
        <f t="shared" si="6"/>
        <v>$ 75</v>
      </c>
      <c r="M68" s="12">
        <v>4</v>
      </c>
      <c r="N68">
        <v>0</v>
      </c>
      <c r="O68" s="1">
        <v>1</v>
      </c>
      <c r="P68" s="1">
        <f t="shared" si="7"/>
        <v>0.01</v>
      </c>
    </row>
    <row r="69" spans="1:16" x14ac:dyDescent="0.35">
      <c r="A69" t="s">
        <v>212</v>
      </c>
      <c r="B69" t="s">
        <v>213</v>
      </c>
      <c r="C69" t="str">
        <f t="shared" si="4"/>
        <v>Vicki Kelly</v>
      </c>
      <c r="D69" t="s">
        <v>20</v>
      </c>
      <c r="E69" t="str">
        <f t="shared" si="5"/>
        <v>Female</v>
      </c>
      <c r="F69" s="12">
        <v>55</v>
      </c>
      <c r="G69" t="s">
        <v>104</v>
      </c>
      <c r="H69" s="12" t="s">
        <v>105</v>
      </c>
      <c r="I69" t="s">
        <v>35</v>
      </c>
      <c r="J69" s="12">
        <v>11</v>
      </c>
      <c r="K69" s="3">
        <v>40</v>
      </c>
      <c r="L69" s="14">
        <f t="shared" si="6"/>
        <v>40</v>
      </c>
      <c r="M69" s="12">
        <v>0</v>
      </c>
      <c r="N69">
        <v>1</v>
      </c>
      <c r="O69">
        <v>16</v>
      </c>
      <c r="P69" s="1">
        <f t="shared" si="7"/>
        <v>0.16</v>
      </c>
    </row>
    <row r="70" spans="1:16" x14ac:dyDescent="0.35">
      <c r="A70" t="s">
        <v>214</v>
      </c>
      <c r="B70" t="s">
        <v>215</v>
      </c>
      <c r="C70" t="str">
        <f t="shared" si="4"/>
        <v>Corey Warren</v>
      </c>
      <c r="D70" t="s">
        <v>27</v>
      </c>
      <c r="E70" t="str">
        <f t="shared" si="5"/>
        <v>Male</v>
      </c>
      <c r="F70" s="12">
        <v>41</v>
      </c>
      <c r="G70" t="s">
        <v>68</v>
      </c>
      <c r="H70" s="12" t="s">
        <v>69</v>
      </c>
      <c r="I70" t="s">
        <v>70</v>
      </c>
      <c r="J70" s="12">
        <v>6</v>
      </c>
      <c r="K70" s="3">
        <v>100</v>
      </c>
      <c r="L70" s="14">
        <f t="shared" si="6"/>
        <v>100</v>
      </c>
      <c r="M70" s="12">
        <v>1.5</v>
      </c>
      <c r="N70">
        <v>0</v>
      </c>
      <c r="O70">
        <v>16</v>
      </c>
      <c r="P70" s="1">
        <f t="shared" si="7"/>
        <v>0.16</v>
      </c>
    </row>
    <row r="71" spans="1:16" x14ac:dyDescent="0.35">
      <c r="A71" t="s">
        <v>216</v>
      </c>
      <c r="B71" t="s">
        <v>217</v>
      </c>
      <c r="C71" t="str">
        <f t="shared" si="4"/>
        <v>Gina Thompson</v>
      </c>
      <c r="D71" t="s">
        <v>20</v>
      </c>
      <c r="E71" t="str">
        <f t="shared" si="5"/>
        <v>Female</v>
      </c>
      <c r="F71" s="12">
        <v>60</v>
      </c>
      <c r="G71" t="s">
        <v>170</v>
      </c>
      <c r="H71" s="12" t="s">
        <v>171</v>
      </c>
      <c r="I71" t="s">
        <v>70</v>
      </c>
      <c r="J71" s="12">
        <v>38</v>
      </c>
      <c r="K71" s="3">
        <v>20</v>
      </c>
      <c r="L71" s="14">
        <f t="shared" si="6"/>
        <v>20</v>
      </c>
      <c r="M71" s="12">
        <v>2</v>
      </c>
      <c r="N71">
        <v>1</v>
      </c>
      <c r="O71" s="1">
        <v>0.71</v>
      </c>
      <c r="P71" s="1">
        <f t="shared" si="7"/>
        <v>0.71</v>
      </c>
    </row>
    <row r="72" spans="1:16" x14ac:dyDescent="0.35">
      <c r="A72" t="s">
        <v>218</v>
      </c>
      <c r="B72" t="s">
        <v>219</v>
      </c>
      <c r="C72" t="str">
        <f t="shared" si="4"/>
        <v>Yvonne Berg</v>
      </c>
      <c r="D72" t="s">
        <v>38</v>
      </c>
      <c r="E72" t="str">
        <f t="shared" si="5"/>
        <v>Female</v>
      </c>
      <c r="F72" s="12">
        <v>33</v>
      </c>
      <c r="G72" t="s">
        <v>149</v>
      </c>
      <c r="H72" s="12" t="s">
        <v>150</v>
      </c>
      <c r="I72" t="s">
        <v>23</v>
      </c>
      <c r="J72" s="12">
        <v>11</v>
      </c>
      <c r="K72" s="3">
        <v>40</v>
      </c>
      <c r="L72" s="14">
        <f t="shared" si="6"/>
        <v>40</v>
      </c>
      <c r="M72" s="12">
        <v>3</v>
      </c>
      <c r="N72">
        <v>1</v>
      </c>
      <c r="O72" s="1">
        <v>0.84</v>
      </c>
      <c r="P72" s="1">
        <f t="shared" si="7"/>
        <v>0.84</v>
      </c>
    </row>
    <row r="73" spans="1:16" x14ac:dyDescent="0.35">
      <c r="A73" t="s">
        <v>220</v>
      </c>
      <c r="B73" t="s">
        <v>221</v>
      </c>
      <c r="C73" t="str">
        <f t="shared" si="4"/>
        <v>Thomas Miller</v>
      </c>
      <c r="D73" t="s">
        <v>27</v>
      </c>
      <c r="E73" t="str">
        <f t="shared" si="5"/>
        <v>Male</v>
      </c>
      <c r="F73" s="12">
        <v>60</v>
      </c>
      <c r="G73" t="s">
        <v>15</v>
      </c>
      <c r="H73" s="12" t="s">
        <v>16</v>
      </c>
      <c r="I73" t="s">
        <v>86</v>
      </c>
      <c r="J73" s="12">
        <v>13</v>
      </c>
      <c r="K73" s="3" t="s">
        <v>95</v>
      </c>
      <c r="L73" s="14" t="str">
        <f t="shared" si="6"/>
        <v>$ 50</v>
      </c>
      <c r="M73" s="12">
        <v>1</v>
      </c>
      <c r="N73">
        <v>0</v>
      </c>
      <c r="O73">
        <v>16</v>
      </c>
      <c r="P73" s="1">
        <f t="shared" si="7"/>
        <v>0.16</v>
      </c>
    </row>
    <row r="74" spans="1:16" x14ac:dyDescent="0.35">
      <c r="A74" t="s">
        <v>222</v>
      </c>
      <c r="B74" t="s">
        <v>223</v>
      </c>
      <c r="C74" t="str">
        <f t="shared" si="4"/>
        <v>Nicholas Burton</v>
      </c>
      <c r="D74" t="s">
        <v>59</v>
      </c>
      <c r="E74" t="str">
        <f t="shared" si="5"/>
        <v>Male</v>
      </c>
      <c r="F74" s="12">
        <v>40</v>
      </c>
      <c r="G74" t="s">
        <v>56</v>
      </c>
      <c r="H74" s="12" t="s">
        <v>22</v>
      </c>
      <c r="I74" t="s">
        <v>35</v>
      </c>
      <c r="J74" s="12">
        <v>9</v>
      </c>
      <c r="K74" s="3">
        <v>100</v>
      </c>
      <c r="L74" s="14">
        <f t="shared" si="6"/>
        <v>100</v>
      </c>
      <c r="M74" s="12">
        <v>4.5</v>
      </c>
      <c r="N74">
        <v>1</v>
      </c>
      <c r="O74" s="1">
        <v>0.69</v>
      </c>
      <c r="P74" s="1">
        <f t="shared" si="7"/>
        <v>0.69</v>
      </c>
    </row>
    <row r="75" spans="1:16" x14ac:dyDescent="0.35">
      <c r="A75" t="s">
        <v>224</v>
      </c>
      <c r="B75" t="s">
        <v>225</v>
      </c>
      <c r="C75" t="str">
        <f t="shared" si="4"/>
        <v>Jorge Riley</v>
      </c>
      <c r="D75" t="s">
        <v>94</v>
      </c>
      <c r="E75" t="str">
        <f t="shared" si="5"/>
        <v>Male</v>
      </c>
      <c r="F75" s="12">
        <v>59</v>
      </c>
      <c r="G75" t="s">
        <v>21</v>
      </c>
      <c r="H75" s="12" t="s">
        <v>22</v>
      </c>
      <c r="I75" t="s">
        <v>17</v>
      </c>
      <c r="J75" s="12">
        <v>4</v>
      </c>
      <c r="K75" s="3">
        <v>40</v>
      </c>
      <c r="L75" s="14">
        <f t="shared" si="6"/>
        <v>40</v>
      </c>
      <c r="M75" s="12">
        <v>1.9</v>
      </c>
      <c r="N75">
        <v>0</v>
      </c>
      <c r="O75">
        <v>88</v>
      </c>
      <c r="P75" s="1">
        <f t="shared" si="7"/>
        <v>0.88</v>
      </c>
    </row>
    <row r="76" spans="1:16" x14ac:dyDescent="0.35">
      <c r="A76" t="s">
        <v>226</v>
      </c>
      <c r="B76" t="s">
        <v>227</v>
      </c>
      <c r="C76" t="str">
        <f t="shared" si="4"/>
        <v>Melvin Harris</v>
      </c>
      <c r="D76" t="s">
        <v>27</v>
      </c>
      <c r="E76" t="str">
        <f t="shared" si="5"/>
        <v>Male</v>
      </c>
      <c r="F76" s="12">
        <v>36</v>
      </c>
      <c r="G76" t="s">
        <v>15</v>
      </c>
      <c r="H76" s="12" t="s">
        <v>16</v>
      </c>
      <c r="I76" t="s">
        <v>111</v>
      </c>
      <c r="J76" s="12">
        <v>14</v>
      </c>
      <c r="K76" s="3">
        <v>100</v>
      </c>
      <c r="L76" s="14">
        <f t="shared" si="6"/>
        <v>100</v>
      </c>
      <c r="M76" s="12">
        <v>3.7</v>
      </c>
      <c r="N76">
        <v>0</v>
      </c>
      <c r="O76">
        <v>16</v>
      </c>
      <c r="P76" s="1">
        <f t="shared" si="7"/>
        <v>0.16</v>
      </c>
    </row>
    <row r="77" spans="1:16" x14ac:dyDescent="0.35">
      <c r="A77" t="s">
        <v>228</v>
      </c>
      <c r="B77" t="s">
        <v>229</v>
      </c>
      <c r="C77" t="str">
        <f t="shared" si="4"/>
        <v>Jeremy Meyer</v>
      </c>
      <c r="D77" t="s">
        <v>94</v>
      </c>
      <c r="E77" t="str">
        <f t="shared" si="5"/>
        <v>Male</v>
      </c>
      <c r="F77" s="12">
        <v>32</v>
      </c>
      <c r="G77" t="s">
        <v>90</v>
      </c>
      <c r="H77" s="12" t="s">
        <v>91</v>
      </c>
      <c r="I77" t="s">
        <v>49</v>
      </c>
      <c r="J77" s="12">
        <v>11</v>
      </c>
      <c r="K77" s="3">
        <v>30</v>
      </c>
      <c r="L77" s="14">
        <f t="shared" si="6"/>
        <v>30</v>
      </c>
      <c r="M77" s="12">
        <v>1.9</v>
      </c>
      <c r="N77">
        <v>1</v>
      </c>
      <c r="O77" s="1">
        <v>0.96</v>
      </c>
      <c r="P77" s="1">
        <f t="shared" si="7"/>
        <v>0.96</v>
      </c>
    </row>
    <row r="78" spans="1:16" x14ac:dyDescent="0.35">
      <c r="A78" t="s">
        <v>230</v>
      </c>
      <c r="B78" t="s">
        <v>231</v>
      </c>
      <c r="C78" t="str">
        <f t="shared" si="4"/>
        <v>Timothy Lee</v>
      </c>
      <c r="D78" t="s">
        <v>27</v>
      </c>
      <c r="E78" t="str">
        <f t="shared" si="5"/>
        <v>Male</v>
      </c>
      <c r="F78" s="12">
        <v>59</v>
      </c>
      <c r="G78" t="s">
        <v>21</v>
      </c>
      <c r="H78" s="12" t="s">
        <v>22</v>
      </c>
      <c r="I78" t="s">
        <v>43</v>
      </c>
      <c r="J78" s="12">
        <v>9</v>
      </c>
      <c r="K78" s="3" t="s">
        <v>50</v>
      </c>
      <c r="L78" s="14" t="str">
        <f t="shared" si="6"/>
        <v>$ 75</v>
      </c>
      <c r="M78" s="12">
        <v>4</v>
      </c>
      <c r="N78">
        <v>1</v>
      </c>
      <c r="O78">
        <v>96</v>
      </c>
      <c r="P78" s="1">
        <f t="shared" si="7"/>
        <v>0.96</v>
      </c>
    </row>
    <row r="79" spans="1:16" x14ac:dyDescent="0.35">
      <c r="A79" t="s">
        <v>232</v>
      </c>
      <c r="B79" t="s">
        <v>233</v>
      </c>
      <c r="C79" t="str">
        <f t="shared" si="4"/>
        <v>Diana Bautista</v>
      </c>
      <c r="D79" t="s">
        <v>38</v>
      </c>
      <c r="E79" t="str">
        <f t="shared" si="5"/>
        <v>Female</v>
      </c>
      <c r="F79" s="12">
        <v>54</v>
      </c>
      <c r="G79" t="s">
        <v>185</v>
      </c>
      <c r="H79" s="12" t="s">
        <v>69</v>
      </c>
      <c r="I79" t="s">
        <v>86</v>
      </c>
      <c r="J79" s="12">
        <v>32</v>
      </c>
      <c r="K79" s="3" t="s">
        <v>53</v>
      </c>
      <c r="L79" s="14" t="str">
        <f t="shared" si="6"/>
        <v>$ 40</v>
      </c>
      <c r="M79" s="12">
        <v>1.8</v>
      </c>
      <c r="N79">
        <v>0</v>
      </c>
      <c r="O79">
        <v>16</v>
      </c>
      <c r="P79" s="1">
        <f t="shared" si="7"/>
        <v>0.16</v>
      </c>
    </row>
    <row r="80" spans="1:16" x14ac:dyDescent="0.35">
      <c r="A80" t="s">
        <v>234</v>
      </c>
      <c r="B80" t="s">
        <v>235</v>
      </c>
      <c r="C80" t="str">
        <f t="shared" si="4"/>
        <v>Leslie Rodriguez</v>
      </c>
      <c r="D80" t="s">
        <v>38</v>
      </c>
      <c r="E80" t="str">
        <f t="shared" si="5"/>
        <v>Female</v>
      </c>
      <c r="F80" s="12">
        <v>37</v>
      </c>
      <c r="G80" t="s">
        <v>124</v>
      </c>
      <c r="H80" s="12" t="s">
        <v>22</v>
      </c>
      <c r="I80" t="s">
        <v>30</v>
      </c>
      <c r="J80" s="12">
        <v>9</v>
      </c>
      <c r="K80" s="3">
        <v>40</v>
      </c>
      <c r="L80" s="14">
        <f t="shared" si="6"/>
        <v>40</v>
      </c>
      <c r="M80" s="12">
        <v>0</v>
      </c>
      <c r="N80">
        <v>1</v>
      </c>
      <c r="O80" s="1">
        <v>0.89</v>
      </c>
      <c r="P80" s="1">
        <f t="shared" si="7"/>
        <v>0.89</v>
      </c>
    </row>
    <row r="81" spans="1:16" x14ac:dyDescent="0.35">
      <c r="A81" t="s">
        <v>236</v>
      </c>
      <c r="B81" t="s">
        <v>237</v>
      </c>
      <c r="C81" t="str">
        <f t="shared" si="4"/>
        <v>Noah Wiggins</v>
      </c>
      <c r="D81" t="s">
        <v>59</v>
      </c>
      <c r="E81" t="str">
        <f t="shared" si="5"/>
        <v>Male</v>
      </c>
      <c r="F81" s="12">
        <v>54</v>
      </c>
      <c r="G81" t="s">
        <v>90</v>
      </c>
      <c r="H81" s="12" t="s">
        <v>91</v>
      </c>
      <c r="I81" t="s">
        <v>111</v>
      </c>
      <c r="J81" s="12">
        <v>21</v>
      </c>
      <c r="K81" s="3">
        <v>100</v>
      </c>
      <c r="L81" s="14">
        <f t="shared" si="6"/>
        <v>100</v>
      </c>
      <c r="M81" s="12">
        <v>4.5999999999999996</v>
      </c>
      <c r="N81">
        <v>0</v>
      </c>
      <c r="O81">
        <v>16</v>
      </c>
      <c r="P81" s="1">
        <f t="shared" si="7"/>
        <v>0.16</v>
      </c>
    </row>
    <row r="82" spans="1:16" x14ac:dyDescent="0.35">
      <c r="A82" t="s">
        <v>238</v>
      </c>
      <c r="B82" t="s">
        <v>239</v>
      </c>
      <c r="C82" t="str">
        <f t="shared" si="4"/>
        <v>Bridget Williams</v>
      </c>
      <c r="D82" t="s">
        <v>74</v>
      </c>
      <c r="E82" t="str">
        <f t="shared" si="5"/>
        <v>Female</v>
      </c>
      <c r="F82" s="12">
        <v>33</v>
      </c>
      <c r="G82" t="s">
        <v>68</v>
      </c>
      <c r="H82" s="12" t="s">
        <v>69</v>
      </c>
      <c r="I82" t="s">
        <v>70</v>
      </c>
      <c r="J82" s="12">
        <v>12</v>
      </c>
      <c r="K82" s="3">
        <v>100</v>
      </c>
      <c r="L82" s="14">
        <f t="shared" si="6"/>
        <v>100</v>
      </c>
      <c r="M82" s="12">
        <v>3.6</v>
      </c>
      <c r="N82">
        <v>0</v>
      </c>
      <c r="O82" s="1">
        <v>0.63</v>
      </c>
      <c r="P82" s="1">
        <f t="shared" si="7"/>
        <v>0.63</v>
      </c>
    </row>
    <row r="83" spans="1:16" x14ac:dyDescent="0.35">
      <c r="A83" t="s">
        <v>240</v>
      </c>
      <c r="B83" t="s">
        <v>241</v>
      </c>
      <c r="C83" t="str">
        <f t="shared" si="4"/>
        <v>Veronica Baker</v>
      </c>
      <c r="D83" t="s">
        <v>38</v>
      </c>
      <c r="E83" t="str">
        <f t="shared" si="5"/>
        <v>Female</v>
      </c>
      <c r="F83" s="12">
        <v>25</v>
      </c>
      <c r="G83" t="s">
        <v>135</v>
      </c>
      <c r="H83" s="12" t="s">
        <v>136</v>
      </c>
      <c r="I83" t="s">
        <v>35</v>
      </c>
      <c r="J83" s="12">
        <v>7</v>
      </c>
      <c r="K83" s="3" t="s">
        <v>53</v>
      </c>
      <c r="L83" s="14" t="str">
        <f t="shared" si="6"/>
        <v>$ 40</v>
      </c>
      <c r="M83" s="12">
        <v>4.4000000000000004</v>
      </c>
      <c r="N83">
        <v>1</v>
      </c>
      <c r="O83">
        <v>81</v>
      </c>
      <c r="P83" s="1">
        <f t="shared" si="7"/>
        <v>0.81</v>
      </c>
    </row>
    <row r="84" spans="1:16" x14ac:dyDescent="0.35">
      <c r="A84" t="s">
        <v>242</v>
      </c>
      <c r="B84" t="s">
        <v>243</v>
      </c>
      <c r="C84" t="str">
        <f t="shared" si="4"/>
        <v>Andrew Avila</v>
      </c>
      <c r="D84" t="s">
        <v>94</v>
      </c>
      <c r="E84" t="str">
        <f t="shared" si="5"/>
        <v>Male</v>
      </c>
      <c r="F84" s="12">
        <v>41</v>
      </c>
      <c r="G84" t="s">
        <v>170</v>
      </c>
      <c r="H84" s="12" t="s">
        <v>171</v>
      </c>
      <c r="I84" t="s">
        <v>86</v>
      </c>
      <c r="J84" s="12">
        <v>3</v>
      </c>
      <c r="K84" s="3">
        <v>40</v>
      </c>
      <c r="L84" s="14">
        <f t="shared" si="6"/>
        <v>40</v>
      </c>
      <c r="M84" s="12">
        <v>4.5999999999999996</v>
      </c>
      <c r="N84">
        <v>0</v>
      </c>
      <c r="O84" s="1">
        <v>0.74</v>
      </c>
      <c r="P84" s="1">
        <f t="shared" si="7"/>
        <v>0.74</v>
      </c>
    </row>
    <row r="85" spans="1:16" x14ac:dyDescent="0.35">
      <c r="A85" t="s">
        <v>244</v>
      </c>
      <c r="B85" t="s">
        <v>245</v>
      </c>
      <c r="C85" t="str">
        <f t="shared" si="4"/>
        <v>Michael Roberson</v>
      </c>
      <c r="D85" t="s">
        <v>27</v>
      </c>
      <c r="E85" t="str">
        <f t="shared" si="5"/>
        <v>Male</v>
      </c>
      <c r="F85" s="12">
        <v>35</v>
      </c>
      <c r="G85" t="s">
        <v>109</v>
      </c>
      <c r="H85" s="12" t="s">
        <v>110</v>
      </c>
      <c r="I85" t="s">
        <v>35</v>
      </c>
      <c r="J85" s="12">
        <v>5</v>
      </c>
      <c r="K85" s="3">
        <v>75</v>
      </c>
      <c r="L85" s="14">
        <f t="shared" si="6"/>
        <v>75</v>
      </c>
      <c r="M85" s="12">
        <v>3.2</v>
      </c>
      <c r="N85">
        <v>0</v>
      </c>
      <c r="O85" s="1">
        <v>0.72</v>
      </c>
      <c r="P85" s="1">
        <f t="shared" si="7"/>
        <v>0.72</v>
      </c>
    </row>
    <row r="86" spans="1:16" x14ac:dyDescent="0.35">
      <c r="A86" t="s">
        <v>246</v>
      </c>
      <c r="B86" t="s">
        <v>247</v>
      </c>
      <c r="C86" t="str">
        <f t="shared" si="4"/>
        <v>Austin Jenkins</v>
      </c>
      <c r="D86" t="s">
        <v>94</v>
      </c>
      <c r="E86" t="str">
        <f t="shared" si="5"/>
        <v>Male</v>
      </c>
      <c r="F86" s="12">
        <v>59</v>
      </c>
      <c r="G86" t="s">
        <v>109</v>
      </c>
      <c r="H86" s="12" t="s">
        <v>110</v>
      </c>
      <c r="I86" t="s">
        <v>43</v>
      </c>
      <c r="J86" s="12">
        <v>30</v>
      </c>
      <c r="K86" s="3">
        <v>40</v>
      </c>
      <c r="L86" s="14">
        <f t="shared" si="6"/>
        <v>40</v>
      </c>
      <c r="M86" s="12">
        <v>0</v>
      </c>
      <c r="N86">
        <v>1</v>
      </c>
      <c r="O86">
        <v>16</v>
      </c>
      <c r="P86" s="1">
        <f t="shared" si="7"/>
        <v>0.16</v>
      </c>
    </row>
    <row r="87" spans="1:16" x14ac:dyDescent="0.35">
      <c r="A87" t="s">
        <v>248</v>
      </c>
      <c r="B87" t="s">
        <v>249</v>
      </c>
      <c r="C87" t="str">
        <f t="shared" si="4"/>
        <v>Brenda Green</v>
      </c>
      <c r="D87" t="s">
        <v>38</v>
      </c>
      <c r="E87" t="str">
        <f t="shared" si="5"/>
        <v>Female</v>
      </c>
      <c r="F87" s="12">
        <v>21</v>
      </c>
      <c r="G87" t="s">
        <v>170</v>
      </c>
      <c r="H87" s="12" t="s">
        <v>171</v>
      </c>
      <c r="I87" t="s">
        <v>86</v>
      </c>
      <c r="J87" s="12">
        <v>2</v>
      </c>
      <c r="K87" s="3">
        <v>100</v>
      </c>
      <c r="L87" s="14">
        <f t="shared" si="6"/>
        <v>100</v>
      </c>
      <c r="M87" s="12">
        <v>2.6</v>
      </c>
      <c r="N87">
        <v>1</v>
      </c>
      <c r="O87" s="1">
        <v>0.85</v>
      </c>
      <c r="P87" s="1">
        <f t="shared" si="7"/>
        <v>0.85</v>
      </c>
    </row>
    <row r="88" spans="1:16" x14ac:dyDescent="0.35">
      <c r="A88" t="s">
        <v>250</v>
      </c>
      <c r="B88" t="s">
        <v>251</v>
      </c>
      <c r="C88" t="str">
        <f t="shared" si="4"/>
        <v>Samuel Pierce</v>
      </c>
      <c r="D88" t="s">
        <v>27</v>
      </c>
      <c r="E88" t="str">
        <f t="shared" si="5"/>
        <v>Male</v>
      </c>
      <c r="F88" s="12">
        <v>25</v>
      </c>
      <c r="G88" t="s">
        <v>56</v>
      </c>
      <c r="H88" s="12" t="s">
        <v>22</v>
      </c>
      <c r="I88" t="s">
        <v>23</v>
      </c>
      <c r="J88" s="12">
        <v>2</v>
      </c>
      <c r="K88" s="3">
        <v>75</v>
      </c>
      <c r="L88" s="14">
        <f t="shared" si="6"/>
        <v>75</v>
      </c>
      <c r="M88" s="12">
        <v>3.7</v>
      </c>
      <c r="N88">
        <v>0</v>
      </c>
      <c r="O88">
        <v>16</v>
      </c>
      <c r="P88" s="1">
        <f t="shared" si="7"/>
        <v>0.16</v>
      </c>
    </row>
    <row r="89" spans="1:16" x14ac:dyDescent="0.35">
      <c r="A89" t="s">
        <v>252</v>
      </c>
      <c r="B89" t="s">
        <v>253</v>
      </c>
      <c r="C89" t="str">
        <f t="shared" si="4"/>
        <v>Briana Smith</v>
      </c>
      <c r="D89" t="s">
        <v>38</v>
      </c>
      <c r="E89" t="str">
        <f t="shared" si="5"/>
        <v>Female</v>
      </c>
      <c r="F89" s="12">
        <v>38</v>
      </c>
      <c r="G89" t="s">
        <v>174</v>
      </c>
      <c r="H89" s="12" t="s">
        <v>69</v>
      </c>
      <c r="I89" t="s">
        <v>35</v>
      </c>
      <c r="J89" s="12">
        <v>19</v>
      </c>
      <c r="K89" s="3">
        <v>75</v>
      </c>
      <c r="L89" s="14">
        <f t="shared" si="6"/>
        <v>75</v>
      </c>
      <c r="M89" s="12">
        <v>2.2999999999999998</v>
      </c>
      <c r="N89">
        <v>0</v>
      </c>
      <c r="O89" s="1">
        <v>0.61</v>
      </c>
      <c r="P89" s="1">
        <f t="shared" si="7"/>
        <v>0.61</v>
      </c>
    </row>
    <row r="90" spans="1:16" x14ac:dyDescent="0.35">
      <c r="A90" t="s">
        <v>254</v>
      </c>
      <c r="B90" t="s">
        <v>255</v>
      </c>
      <c r="C90" t="str">
        <f t="shared" si="4"/>
        <v>Ronald Barrett</v>
      </c>
      <c r="D90" t="s">
        <v>94</v>
      </c>
      <c r="E90" t="str">
        <f t="shared" si="5"/>
        <v>Male</v>
      </c>
      <c r="F90" s="12">
        <v>57</v>
      </c>
      <c r="G90" t="s">
        <v>120</v>
      </c>
      <c r="H90" s="12" t="s">
        <v>121</v>
      </c>
      <c r="I90" t="s">
        <v>43</v>
      </c>
      <c r="J90" s="12">
        <v>16</v>
      </c>
      <c r="K90" s="3">
        <v>100</v>
      </c>
      <c r="L90" s="14">
        <f t="shared" si="6"/>
        <v>100</v>
      </c>
      <c r="M90" s="12">
        <v>3.1</v>
      </c>
      <c r="N90">
        <v>0</v>
      </c>
      <c r="O90">
        <v>16</v>
      </c>
      <c r="P90" s="1">
        <f t="shared" si="7"/>
        <v>0.16</v>
      </c>
    </row>
    <row r="91" spans="1:16" x14ac:dyDescent="0.35">
      <c r="A91" t="s">
        <v>256</v>
      </c>
      <c r="B91" t="s">
        <v>257</v>
      </c>
      <c r="C91" t="str">
        <f t="shared" si="4"/>
        <v>Matthew Smith</v>
      </c>
      <c r="D91" t="s">
        <v>27</v>
      </c>
      <c r="E91" t="str">
        <f t="shared" si="5"/>
        <v>Male</v>
      </c>
      <c r="F91" s="12">
        <v>32</v>
      </c>
      <c r="G91" t="s">
        <v>90</v>
      </c>
      <c r="H91" s="12" t="s">
        <v>91</v>
      </c>
      <c r="I91" t="s">
        <v>23</v>
      </c>
      <c r="J91" s="12">
        <v>10</v>
      </c>
      <c r="K91" s="3">
        <v>20</v>
      </c>
      <c r="L91" s="14">
        <f t="shared" si="6"/>
        <v>20</v>
      </c>
      <c r="M91" s="12">
        <v>2.4</v>
      </c>
      <c r="N91">
        <v>0</v>
      </c>
      <c r="O91" s="1">
        <v>0.86</v>
      </c>
      <c r="P91" s="1">
        <f t="shared" si="7"/>
        <v>0.86</v>
      </c>
    </row>
    <row r="92" spans="1:16" x14ac:dyDescent="0.35">
      <c r="A92" t="s">
        <v>258</v>
      </c>
      <c r="B92" t="s">
        <v>259</v>
      </c>
      <c r="C92" t="str">
        <f t="shared" si="4"/>
        <v>Logan Huang</v>
      </c>
      <c r="D92" t="s">
        <v>27</v>
      </c>
      <c r="E92" t="str">
        <f t="shared" si="5"/>
        <v>Male</v>
      </c>
      <c r="F92" s="12">
        <v>21</v>
      </c>
      <c r="G92" t="s">
        <v>15</v>
      </c>
      <c r="H92" s="12" t="s">
        <v>16</v>
      </c>
      <c r="I92" t="s">
        <v>86</v>
      </c>
      <c r="J92" s="12">
        <v>2</v>
      </c>
      <c r="K92" s="3" t="s">
        <v>24</v>
      </c>
      <c r="L92" s="14" t="str">
        <f t="shared" si="6"/>
        <v>$ 100</v>
      </c>
      <c r="M92" s="12">
        <v>1.6</v>
      </c>
      <c r="N92">
        <v>1</v>
      </c>
      <c r="O92" s="1">
        <v>0.97</v>
      </c>
      <c r="P92" s="1">
        <f t="shared" si="7"/>
        <v>0.97</v>
      </c>
    </row>
    <row r="93" spans="1:16" x14ac:dyDescent="0.35">
      <c r="A93" t="s">
        <v>260</v>
      </c>
      <c r="B93" t="s">
        <v>261</v>
      </c>
      <c r="C93" t="str">
        <f t="shared" si="4"/>
        <v>Miranda Hutchinson</v>
      </c>
      <c r="D93" t="s">
        <v>74</v>
      </c>
      <c r="E93" t="str">
        <f t="shared" si="5"/>
        <v>Female</v>
      </c>
      <c r="F93" s="12">
        <v>57</v>
      </c>
      <c r="G93" t="s">
        <v>124</v>
      </c>
      <c r="H93" s="12" t="s">
        <v>22</v>
      </c>
      <c r="I93" t="s">
        <v>75</v>
      </c>
      <c r="J93" s="12">
        <v>18</v>
      </c>
      <c r="K93" s="3">
        <v>50</v>
      </c>
      <c r="L93" s="14">
        <f t="shared" si="6"/>
        <v>50</v>
      </c>
      <c r="M93" s="12">
        <v>2.4</v>
      </c>
      <c r="N93">
        <v>1</v>
      </c>
      <c r="O93" s="1">
        <v>0.63</v>
      </c>
      <c r="P93" s="1">
        <f t="shared" si="7"/>
        <v>0.63</v>
      </c>
    </row>
    <row r="94" spans="1:16" x14ac:dyDescent="0.35">
      <c r="A94" t="s">
        <v>262</v>
      </c>
      <c r="B94" t="s">
        <v>263</v>
      </c>
      <c r="C94" t="str">
        <f t="shared" si="4"/>
        <v>Paul Richardson</v>
      </c>
      <c r="D94" t="s">
        <v>27</v>
      </c>
      <c r="E94" t="str">
        <f t="shared" si="5"/>
        <v>Male</v>
      </c>
      <c r="F94" s="12">
        <v>53</v>
      </c>
      <c r="G94" t="s">
        <v>170</v>
      </c>
      <c r="H94" s="12" t="s">
        <v>171</v>
      </c>
      <c r="I94" t="s">
        <v>70</v>
      </c>
      <c r="J94" s="12">
        <v>21</v>
      </c>
      <c r="K94" s="3" t="s">
        <v>24</v>
      </c>
      <c r="L94" s="14" t="str">
        <f t="shared" si="6"/>
        <v>$ 100</v>
      </c>
      <c r="M94" s="12">
        <v>3</v>
      </c>
      <c r="N94">
        <v>1</v>
      </c>
      <c r="O94" s="1">
        <v>0.97</v>
      </c>
      <c r="P94" s="1">
        <f t="shared" si="7"/>
        <v>0.97</v>
      </c>
    </row>
    <row r="95" spans="1:16" x14ac:dyDescent="0.35">
      <c r="A95" t="s">
        <v>264</v>
      </c>
      <c r="B95" t="s">
        <v>265</v>
      </c>
      <c r="C95" t="str">
        <f t="shared" si="4"/>
        <v>Jose Jones</v>
      </c>
      <c r="D95" t="s">
        <v>27</v>
      </c>
      <c r="E95" t="str">
        <f t="shared" si="5"/>
        <v>Male</v>
      </c>
      <c r="F95" s="12">
        <v>35</v>
      </c>
      <c r="G95" t="s">
        <v>120</v>
      </c>
      <c r="H95" s="12" t="s">
        <v>121</v>
      </c>
      <c r="I95" t="s">
        <v>17</v>
      </c>
      <c r="J95" s="12">
        <v>3</v>
      </c>
      <c r="K95" s="3" t="s">
        <v>106</v>
      </c>
      <c r="L95" s="14" t="str">
        <f t="shared" si="6"/>
        <v>$ 30</v>
      </c>
      <c r="M95" s="12">
        <v>3.8</v>
      </c>
      <c r="N95">
        <v>1</v>
      </c>
      <c r="O95" s="1">
        <v>0.81</v>
      </c>
      <c r="P95" s="1">
        <f t="shared" si="7"/>
        <v>0.81</v>
      </c>
    </row>
    <row r="96" spans="1:16" x14ac:dyDescent="0.35">
      <c r="A96" t="s">
        <v>266</v>
      </c>
      <c r="B96" t="s">
        <v>267</v>
      </c>
      <c r="C96" t="str">
        <f t="shared" si="4"/>
        <v>Denise Smith</v>
      </c>
      <c r="D96" t="s">
        <v>38</v>
      </c>
      <c r="E96" t="str">
        <f t="shared" si="5"/>
        <v>Female</v>
      </c>
      <c r="F96" s="12">
        <v>54</v>
      </c>
      <c r="G96" t="s">
        <v>170</v>
      </c>
      <c r="H96" s="12" t="s">
        <v>171</v>
      </c>
      <c r="I96" t="s">
        <v>111</v>
      </c>
      <c r="J96" s="12">
        <v>17</v>
      </c>
      <c r="K96" s="3">
        <v>20</v>
      </c>
      <c r="L96" s="14">
        <f t="shared" si="6"/>
        <v>20</v>
      </c>
      <c r="M96" s="12">
        <v>1.7</v>
      </c>
      <c r="N96">
        <v>0</v>
      </c>
      <c r="O96" s="1">
        <v>0.69</v>
      </c>
      <c r="P96" s="1">
        <f t="shared" si="7"/>
        <v>0.69</v>
      </c>
    </row>
    <row r="97" spans="1:16" x14ac:dyDescent="0.35">
      <c r="A97" t="s">
        <v>268</v>
      </c>
      <c r="B97" t="s">
        <v>269</v>
      </c>
      <c r="C97" t="str">
        <f t="shared" si="4"/>
        <v>Shelby Mcmahon</v>
      </c>
      <c r="D97" t="s">
        <v>20</v>
      </c>
      <c r="E97" t="str">
        <f t="shared" si="5"/>
        <v>Female</v>
      </c>
      <c r="F97" s="12">
        <v>36</v>
      </c>
      <c r="G97" t="s">
        <v>15</v>
      </c>
      <c r="H97" s="12" t="s">
        <v>16</v>
      </c>
      <c r="I97" t="s">
        <v>70</v>
      </c>
      <c r="J97" s="12">
        <v>11</v>
      </c>
      <c r="K97" s="3">
        <v>20</v>
      </c>
      <c r="L97" s="14">
        <f t="shared" si="6"/>
        <v>20</v>
      </c>
      <c r="M97" s="12">
        <v>1.3</v>
      </c>
      <c r="N97">
        <v>1</v>
      </c>
      <c r="O97" s="1">
        <v>0.64</v>
      </c>
      <c r="P97" s="1">
        <f t="shared" si="7"/>
        <v>0.64</v>
      </c>
    </row>
    <row r="98" spans="1:16" x14ac:dyDescent="0.35">
      <c r="A98" t="s">
        <v>270</v>
      </c>
      <c r="B98" t="s">
        <v>271</v>
      </c>
      <c r="C98" t="str">
        <f t="shared" si="4"/>
        <v>Bethany Wright</v>
      </c>
      <c r="D98" t="s">
        <v>38</v>
      </c>
      <c r="E98" t="str">
        <f t="shared" si="5"/>
        <v>Female</v>
      </c>
      <c r="F98" s="12">
        <v>49</v>
      </c>
      <c r="G98" t="s">
        <v>185</v>
      </c>
      <c r="H98" s="12" t="s">
        <v>69</v>
      </c>
      <c r="I98" t="s">
        <v>75</v>
      </c>
      <c r="J98" s="12">
        <v>25</v>
      </c>
      <c r="K98" s="3">
        <v>50</v>
      </c>
      <c r="L98" s="14">
        <f t="shared" si="6"/>
        <v>50</v>
      </c>
      <c r="M98" s="12">
        <v>5</v>
      </c>
      <c r="N98">
        <v>0</v>
      </c>
      <c r="O98" s="1">
        <v>0.77</v>
      </c>
      <c r="P98" s="1">
        <f t="shared" si="7"/>
        <v>0.77</v>
      </c>
    </row>
    <row r="99" spans="1:16" x14ac:dyDescent="0.35">
      <c r="A99" t="s">
        <v>272</v>
      </c>
      <c r="B99" t="s">
        <v>273</v>
      </c>
      <c r="C99" t="str">
        <f t="shared" si="4"/>
        <v>David Ortiz</v>
      </c>
      <c r="D99" t="s">
        <v>94</v>
      </c>
      <c r="E99" t="str">
        <f t="shared" si="5"/>
        <v>Male</v>
      </c>
      <c r="F99" s="12">
        <v>37</v>
      </c>
      <c r="G99" t="s">
        <v>56</v>
      </c>
      <c r="H99" s="12" t="s">
        <v>22</v>
      </c>
      <c r="I99" t="s">
        <v>17</v>
      </c>
      <c r="J99" s="12">
        <v>17</v>
      </c>
      <c r="K99" s="3">
        <v>20</v>
      </c>
      <c r="L99" s="14">
        <f t="shared" si="6"/>
        <v>20</v>
      </c>
      <c r="M99" s="12">
        <v>3.3</v>
      </c>
      <c r="N99">
        <v>0</v>
      </c>
      <c r="O99">
        <v>96</v>
      </c>
      <c r="P99" s="1">
        <f t="shared" si="7"/>
        <v>0.96</v>
      </c>
    </row>
    <row r="100" spans="1:16" x14ac:dyDescent="0.35">
      <c r="A100" t="s">
        <v>274</v>
      </c>
      <c r="B100" t="s">
        <v>275</v>
      </c>
      <c r="C100" t="str">
        <f t="shared" si="4"/>
        <v>Andrew Lynch</v>
      </c>
      <c r="D100" t="s">
        <v>59</v>
      </c>
      <c r="E100" t="str">
        <f t="shared" si="5"/>
        <v>Male</v>
      </c>
      <c r="F100" s="12">
        <v>41</v>
      </c>
      <c r="G100" t="s">
        <v>56</v>
      </c>
      <c r="H100" s="12" t="s">
        <v>22</v>
      </c>
      <c r="I100" t="s">
        <v>70</v>
      </c>
      <c r="J100" s="12">
        <v>5</v>
      </c>
      <c r="K100" s="3">
        <v>20</v>
      </c>
      <c r="L100" s="14">
        <f t="shared" si="6"/>
        <v>20</v>
      </c>
      <c r="M100" s="12">
        <v>1.1000000000000001</v>
      </c>
      <c r="N100">
        <v>1</v>
      </c>
      <c r="O100" s="1">
        <v>0.74</v>
      </c>
      <c r="P100" s="1">
        <f t="shared" si="7"/>
        <v>0.74</v>
      </c>
    </row>
    <row r="101" spans="1:16" x14ac:dyDescent="0.35">
      <c r="A101" t="s">
        <v>276</v>
      </c>
      <c r="B101" t="s">
        <v>277</v>
      </c>
      <c r="C101" t="str">
        <f t="shared" si="4"/>
        <v>Kristopher Meyers</v>
      </c>
      <c r="D101" t="s">
        <v>27</v>
      </c>
      <c r="E101" t="str">
        <f t="shared" si="5"/>
        <v>Male</v>
      </c>
      <c r="F101" s="12">
        <v>32</v>
      </c>
      <c r="G101" t="s">
        <v>135</v>
      </c>
      <c r="H101" s="12" t="s">
        <v>136</v>
      </c>
      <c r="I101" t="s">
        <v>70</v>
      </c>
      <c r="J101" s="12">
        <v>10</v>
      </c>
      <c r="K101" s="3">
        <v>50</v>
      </c>
      <c r="L101" s="14">
        <f t="shared" si="6"/>
        <v>50</v>
      </c>
      <c r="M101" s="12">
        <v>1.2</v>
      </c>
      <c r="N101">
        <v>0</v>
      </c>
      <c r="O101" s="1">
        <v>0.89</v>
      </c>
      <c r="P101" s="1">
        <f t="shared" si="7"/>
        <v>0.89</v>
      </c>
    </row>
    <row r="102" spans="1:16" x14ac:dyDescent="0.35">
      <c r="A102" t="s">
        <v>278</v>
      </c>
      <c r="B102" t="s">
        <v>279</v>
      </c>
      <c r="C102" t="str">
        <f t="shared" si="4"/>
        <v>Thomas Roth</v>
      </c>
      <c r="D102" t="s">
        <v>27</v>
      </c>
      <c r="E102" t="str">
        <f t="shared" si="5"/>
        <v>Male</v>
      </c>
      <c r="F102" s="12">
        <v>35</v>
      </c>
      <c r="G102" t="s">
        <v>90</v>
      </c>
      <c r="H102" s="12" t="s">
        <v>91</v>
      </c>
      <c r="I102" t="s">
        <v>23</v>
      </c>
      <c r="J102" s="12">
        <v>11</v>
      </c>
      <c r="K102" s="3">
        <v>40</v>
      </c>
      <c r="L102" s="14">
        <f t="shared" si="6"/>
        <v>40</v>
      </c>
      <c r="M102" s="12">
        <v>2</v>
      </c>
      <c r="N102">
        <v>1</v>
      </c>
      <c r="O102" s="1">
        <v>0.64</v>
      </c>
      <c r="P102" s="1">
        <f t="shared" si="7"/>
        <v>0.64</v>
      </c>
    </row>
    <row r="103" spans="1:16" x14ac:dyDescent="0.35">
      <c r="A103" t="s">
        <v>280</v>
      </c>
      <c r="B103" t="s">
        <v>281</v>
      </c>
      <c r="C103" t="str">
        <f t="shared" si="4"/>
        <v>Vicki Brown</v>
      </c>
      <c r="D103" t="s">
        <v>38</v>
      </c>
      <c r="E103" t="str">
        <f t="shared" si="5"/>
        <v>Female</v>
      </c>
      <c r="F103" s="12">
        <v>51</v>
      </c>
      <c r="G103" t="s">
        <v>120</v>
      </c>
      <c r="H103" s="12" t="s">
        <v>121</v>
      </c>
      <c r="I103" t="s">
        <v>30</v>
      </c>
      <c r="J103" s="12">
        <v>2</v>
      </c>
      <c r="K103" s="3">
        <v>30</v>
      </c>
      <c r="L103" s="14">
        <f t="shared" si="6"/>
        <v>30</v>
      </c>
      <c r="M103" s="12">
        <v>4.5</v>
      </c>
      <c r="N103">
        <v>0</v>
      </c>
      <c r="O103">
        <v>64</v>
      </c>
      <c r="P103" s="1">
        <f t="shared" si="7"/>
        <v>0.64</v>
      </c>
    </row>
    <row r="104" spans="1:16" x14ac:dyDescent="0.35">
      <c r="A104" t="s">
        <v>282</v>
      </c>
      <c r="B104" t="s">
        <v>283</v>
      </c>
      <c r="C104" t="str">
        <f t="shared" si="4"/>
        <v>Stacy Sutton</v>
      </c>
      <c r="D104" t="s">
        <v>38</v>
      </c>
      <c r="E104" t="str">
        <f t="shared" si="5"/>
        <v>Female</v>
      </c>
      <c r="F104" s="12">
        <v>50</v>
      </c>
      <c r="G104" t="s">
        <v>120</v>
      </c>
      <c r="H104" s="12" t="s">
        <v>121</v>
      </c>
      <c r="I104" t="s">
        <v>86</v>
      </c>
      <c r="J104" s="12">
        <v>30</v>
      </c>
      <c r="K104" s="3">
        <v>100</v>
      </c>
      <c r="L104" s="14">
        <f t="shared" si="6"/>
        <v>100</v>
      </c>
      <c r="M104" s="12">
        <v>3</v>
      </c>
      <c r="N104">
        <v>1</v>
      </c>
      <c r="O104" s="1">
        <v>0.73</v>
      </c>
      <c r="P104" s="1">
        <f t="shared" si="7"/>
        <v>0.73</v>
      </c>
    </row>
    <row r="105" spans="1:16" x14ac:dyDescent="0.35">
      <c r="A105" t="s">
        <v>284</v>
      </c>
      <c r="B105" t="s">
        <v>285</v>
      </c>
      <c r="C105" t="str">
        <f t="shared" si="4"/>
        <v>Kimberly Holland</v>
      </c>
      <c r="D105" t="s">
        <v>38</v>
      </c>
      <c r="E105" t="str">
        <f t="shared" si="5"/>
        <v>Female</v>
      </c>
      <c r="F105" s="12">
        <v>21</v>
      </c>
      <c r="G105" t="s">
        <v>60</v>
      </c>
      <c r="H105" s="12" t="s">
        <v>61</v>
      </c>
      <c r="I105" t="s">
        <v>17</v>
      </c>
      <c r="J105" s="12">
        <v>2</v>
      </c>
      <c r="K105" s="3">
        <v>50</v>
      </c>
      <c r="L105" s="14">
        <f t="shared" si="6"/>
        <v>50</v>
      </c>
      <c r="M105" s="12">
        <v>4.9000000000000004</v>
      </c>
      <c r="N105">
        <v>1</v>
      </c>
      <c r="O105" s="1">
        <v>0.68</v>
      </c>
      <c r="P105" s="1">
        <f t="shared" si="7"/>
        <v>0.68</v>
      </c>
    </row>
    <row r="106" spans="1:16" x14ac:dyDescent="0.35">
      <c r="A106" t="s">
        <v>286</v>
      </c>
      <c r="B106" t="s">
        <v>287</v>
      </c>
      <c r="C106" t="str">
        <f t="shared" si="4"/>
        <v>Travis Richardson</v>
      </c>
      <c r="D106" t="s">
        <v>59</v>
      </c>
      <c r="E106" t="str">
        <f t="shared" si="5"/>
        <v>Male</v>
      </c>
      <c r="F106" s="12">
        <v>25</v>
      </c>
      <c r="G106" t="s">
        <v>56</v>
      </c>
      <c r="H106" s="12" t="s">
        <v>22</v>
      </c>
      <c r="I106" t="s">
        <v>30</v>
      </c>
      <c r="J106" s="12">
        <v>3</v>
      </c>
      <c r="K106" s="3">
        <v>30</v>
      </c>
      <c r="L106" s="14">
        <f t="shared" si="6"/>
        <v>30</v>
      </c>
      <c r="M106" s="12">
        <v>3</v>
      </c>
      <c r="N106">
        <v>1</v>
      </c>
      <c r="O106" s="1">
        <v>0.88</v>
      </c>
      <c r="P106" s="1">
        <f t="shared" si="7"/>
        <v>0.88</v>
      </c>
    </row>
    <row r="107" spans="1:16" x14ac:dyDescent="0.35">
      <c r="A107" t="s">
        <v>288</v>
      </c>
      <c r="B107" t="s">
        <v>289</v>
      </c>
      <c r="C107" t="str">
        <f t="shared" si="4"/>
        <v>Jasmin Ho</v>
      </c>
      <c r="D107" t="s">
        <v>20</v>
      </c>
      <c r="E107" t="str">
        <f t="shared" si="5"/>
        <v>Female</v>
      </c>
      <c r="F107" s="12">
        <v>57</v>
      </c>
      <c r="G107" t="s">
        <v>131</v>
      </c>
      <c r="H107" s="12" t="s">
        <v>132</v>
      </c>
      <c r="I107" t="s">
        <v>86</v>
      </c>
      <c r="J107" s="12">
        <v>21</v>
      </c>
      <c r="K107" s="3">
        <v>40</v>
      </c>
      <c r="L107" s="14">
        <f t="shared" si="6"/>
        <v>40</v>
      </c>
      <c r="M107" s="12">
        <v>2.5</v>
      </c>
      <c r="N107">
        <v>0</v>
      </c>
      <c r="O107" s="1">
        <v>0.77</v>
      </c>
      <c r="P107" s="1">
        <f t="shared" si="7"/>
        <v>0.77</v>
      </c>
    </row>
    <row r="108" spans="1:16" x14ac:dyDescent="0.35">
      <c r="A108" t="s">
        <v>290</v>
      </c>
      <c r="B108" t="s">
        <v>291</v>
      </c>
      <c r="C108" t="str">
        <f t="shared" si="4"/>
        <v>Mark Paul</v>
      </c>
      <c r="D108" t="s">
        <v>27</v>
      </c>
      <c r="E108" t="str">
        <f t="shared" si="5"/>
        <v>Male</v>
      </c>
      <c r="F108" s="12">
        <v>58</v>
      </c>
      <c r="G108" t="s">
        <v>120</v>
      </c>
      <c r="H108" s="12" t="s">
        <v>121</v>
      </c>
      <c r="I108" t="s">
        <v>17</v>
      </c>
      <c r="J108" s="12">
        <v>3</v>
      </c>
      <c r="K108" s="3">
        <v>40</v>
      </c>
      <c r="L108" s="14">
        <f t="shared" si="6"/>
        <v>40</v>
      </c>
      <c r="M108" s="12">
        <v>0</v>
      </c>
      <c r="N108">
        <v>1</v>
      </c>
      <c r="O108">
        <v>16</v>
      </c>
      <c r="P108" s="1">
        <f t="shared" si="7"/>
        <v>0.16</v>
      </c>
    </row>
    <row r="109" spans="1:16" x14ac:dyDescent="0.35">
      <c r="A109" t="s">
        <v>292</v>
      </c>
      <c r="B109" t="s">
        <v>293</v>
      </c>
      <c r="C109" t="str">
        <f t="shared" si="4"/>
        <v>Jennifer Lewis</v>
      </c>
      <c r="D109" t="s">
        <v>38</v>
      </c>
      <c r="E109" t="str">
        <f t="shared" si="5"/>
        <v>Female</v>
      </c>
      <c r="F109" s="12">
        <v>45</v>
      </c>
      <c r="G109" t="s">
        <v>47</v>
      </c>
      <c r="H109" s="12" t="s">
        <v>48</v>
      </c>
      <c r="I109" t="s">
        <v>23</v>
      </c>
      <c r="J109" s="12">
        <v>19</v>
      </c>
      <c r="K109" s="3">
        <v>40</v>
      </c>
      <c r="L109" s="14">
        <f t="shared" si="6"/>
        <v>40</v>
      </c>
      <c r="M109" s="12">
        <v>3</v>
      </c>
      <c r="N109">
        <v>1</v>
      </c>
      <c r="O109" s="1">
        <v>0.72</v>
      </c>
      <c r="P109" s="1">
        <f t="shared" si="7"/>
        <v>0.72</v>
      </c>
    </row>
    <row r="110" spans="1:16" x14ac:dyDescent="0.35">
      <c r="A110" t="s">
        <v>294</v>
      </c>
      <c r="B110" t="s">
        <v>295</v>
      </c>
      <c r="C110" t="str">
        <f t="shared" si="4"/>
        <v>Elizabeth Lester</v>
      </c>
      <c r="D110" t="s">
        <v>38</v>
      </c>
      <c r="E110" t="str">
        <f t="shared" si="5"/>
        <v>Female</v>
      </c>
      <c r="F110" s="12">
        <v>23</v>
      </c>
      <c r="G110" t="s">
        <v>56</v>
      </c>
      <c r="H110" s="12" t="s">
        <v>22</v>
      </c>
      <c r="I110" t="s">
        <v>35</v>
      </c>
      <c r="J110" s="12">
        <v>11</v>
      </c>
      <c r="K110" s="3">
        <v>20</v>
      </c>
      <c r="L110" s="14">
        <f t="shared" si="6"/>
        <v>20</v>
      </c>
      <c r="M110" s="12">
        <v>4.7</v>
      </c>
      <c r="N110">
        <v>1</v>
      </c>
      <c r="O110" s="1">
        <v>0.6</v>
      </c>
      <c r="P110" s="1">
        <f t="shared" si="7"/>
        <v>0.6</v>
      </c>
    </row>
    <row r="111" spans="1:16" x14ac:dyDescent="0.35">
      <c r="A111" t="s">
        <v>296</v>
      </c>
      <c r="B111" t="s">
        <v>297</v>
      </c>
      <c r="C111" t="str">
        <f t="shared" si="4"/>
        <v>Kimberly Griffin</v>
      </c>
      <c r="D111" t="s">
        <v>20</v>
      </c>
      <c r="E111" t="str">
        <f t="shared" si="5"/>
        <v>Female</v>
      </c>
      <c r="F111" s="12">
        <v>46</v>
      </c>
      <c r="G111" t="s">
        <v>56</v>
      </c>
      <c r="H111" s="12" t="s">
        <v>22</v>
      </c>
      <c r="I111" t="s">
        <v>43</v>
      </c>
      <c r="J111" s="12">
        <v>9</v>
      </c>
      <c r="K111" s="3">
        <v>30</v>
      </c>
      <c r="L111" s="14">
        <f t="shared" si="6"/>
        <v>30</v>
      </c>
      <c r="M111" s="12">
        <v>3.5</v>
      </c>
      <c r="N111">
        <v>1</v>
      </c>
      <c r="O111">
        <v>72</v>
      </c>
      <c r="P111" s="1">
        <f t="shared" si="7"/>
        <v>0.72</v>
      </c>
    </row>
    <row r="112" spans="1:16" x14ac:dyDescent="0.35">
      <c r="A112" t="s">
        <v>298</v>
      </c>
      <c r="B112" t="s">
        <v>299</v>
      </c>
      <c r="C112" t="str">
        <f t="shared" si="4"/>
        <v>Tyler Warner</v>
      </c>
      <c r="D112" t="s">
        <v>59</v>
      </c>
      <c r="E112" t="str">
        <f t="shared" si="5"/>
        <v>Male</v>
      </c>
      <c r="F112" s="12">
        <v>27</v>
      </c>
      <c r="G112" t="s">
        <v>68</v>
      </c>
      <c r="H112" s="12" t="s">
        <v>69</v>
      </c>
      <c r="I112" t="s">
        <v>70</v>
      </c>
      <c r="J112" s="12">
        <v>5</v>
      </c>
      <c r="K112" s="3">
        <v>30</v>
      </c>
      <c r="L112" s="14">
        <f t="shared" si="6"/>
        <v>30</v>
      </c>
      <c r="M112" s="12">
        <v>3</v>
      </c>
      <c r="N112">
        <v>0</v>
      </c>
      <c r="O112" s="1">
        <v>0.92</v>
      </c>
      <c r="P112" s="1">
        <f t="shared" si="7"/>
        <v>0.92</v>
      </c>
    </row>
    <row r="113" spans="1:16" x14ac:dyDescent="0.35">
      <c r="A113" t="s">
        <v>300</v>
      </c>
      <c r="B113" t="s">
        <v>301</v>
      </c>
      <c r="C113" t="str">
        <f t="shared" si="4"/>
        <v>Jane Cox</v>
      </c>
      <c r="D113" t="s">
        <v>20</v>
      </c>
      <c r="E113" t="str">
        <f t="shared" si="5"/>
        <v>Female</v>
      </c>
      <c r="F113" s="12">
        <v>32</v>
      </c>
      <c r="G113" t="s">
        <v>56</v>
      </c>
      <c r="H113" s="12" t="s">
        <v>22</v>
      </c>
      <c r="I113" t="s">
        <v>111</v>
      </c>
      <c r="J113" s="12">
        <v>6</v>
      </c>
      <c r="K113" s="3" t="s">
        <v>95</v>
      </c>
      <c r="L113" s="14" t="str">
        <f t="shared" si="6"/>
        <v>$ 50</v>
      </c>
      <c r="M113" s="12">
        <v>3.4</v>
      </c>
      <c r="N113">
        <v>1</v>
      </c>
      <c r="O113">
        <v>16</v>
      </c>
      <c r="P113" s="1">
        <f t="shared" si="7"/>
        <v>0.16</v>
      </c>
    </row>
    <row r="114" spans="1:16" x14ac:dyDescent="0.35">
      <c r="A114" t="s">
        <v>302</v>
      </c>
      <c r="B114" t="s">
        <v>303</v>
      </c>
      <c r="C114" t="str">
        <f t="shared" si="4"/>
        <v>Leah Williams</v>
      </c>
      <c r="D114" t="s">
        <v>38</v>
      </c>
      <c r="E114" t="str">
        <f t="shared" si="5"/>
        <v>Female</v>
      </c>
      <c r="F114" s="12">
        <v>48</v>
      </c>
      <c r="G114" t="s">
        <v>68</v>
      </c>
      <c r="H114" s="12" t="s">
        <v>69</v>
      </c>
      <c r="I114" t="s">
        <v>111</v>
      </c>
      <c r="J114" s="12">
        <v>6</v>
      </c>
      <c r="K114" s="3" t="s">
        <v>50</v>
      </c>
      <c r="L114" s="14" t="str">
        <f t="shared" si="6"/>
        <v>$ 75</v>
      </c>
      <c r="M114" s="12">
        <v>2.5</v>
      </c>
      <c r="N114">
        <v>1</v>
      </c>
      <c r="O114" s="1">
        <v>0.92</v>
      </c>
      <c r="P114" s="1">
        <f t="shared" si="7"/>
        <v>0.92</v>
      </c>
    </row>
    <row r="115" spans="1:16" x14ac:dyDescent="0.35">
      <c r="A115" t="s">
        <v>304</v>
      </c>
      <c r="B115" t="s">
        <v>305</v>
      </c>
      <c r="C115" t="str">
        <f t="shared" si="4"/>
        <v>Kevin Wong</v>
      </c>
      <c r="D115" t="s">
        <v>27</v>
      </c>
      <c r="E115" t="str">
        <f t="shared" si="5"/>
        <v>Male</v>
      </c>
      <c r="F115" s="12">
        <v>30</v>
      </c>
      <c r="G115" t="s">
        <v>60</v>
      </c>
      <c r="H115" s="12" t="s">
        <v>61</v>
      </c>
      <c r="I115" t="s">
        <v>23</v>
      </c>
      <c r="J115" s="12">
        <v>3</v>
      </c>
      <c r="K115" s="3">
        <v>30</v>
      </c>
      <c r="L115" s="14">
        <f t="shared" si="6"/>
        <v>30</v>
      </c>
      <c r="M115" s="12">
        <v>1.1000000000000001</v>
      </c>
      <c r="N115">
        <v>1</v>
      </c>
      <c r="O115">
        <v>16</v>
      </c>
      <c r="P115" s="1">
        <f t="shared" si="7"/>
        <v>0.16</v>
      </c>
    </row>
    <row r="116" spans="1:16" x14ac:dyDescent="0.35">
      <c r="A116" t="s">
        <v>306</v>
      </c>
      <c r="B116" t="s">
        <v>307</v>
      </c>
      <c r="C116" t="str">
        <f t="shared" si="4"/>
        <v>Robert Andrews</v>
      </c>
      <c r="D116" t="s">
        <v>94</v>
      </c>
      <c r="E116" t="str">
        <f t="shared" si="5"/>
        <v>Male</v>
      </c>
      <c r="F116" s="12">
        <v>59</v>
      </c>
      <c r="G116" t="s">
        <v>60</v>
      </c>
      <c r="H116" s="12" t="s">
        <v>61</v>
      </c>
      <c r="I116" t="s">
        <v>43</v>
      </c>
      <c r="J116" s="12">
        <v>13</v>
      </c>
      <c r="K116" s="3" t="s">
        <v>308</v>
      </c>
      <c r="L116" s="14" t="str">
        <f t="shared" si="6"/>
        <v>$ 20</v>
      </c>
      <c r="M116" s="12">
        <v>4.8</v>
      </c>
      <c r="N116">
        <v>1</v>
      </c>
      <c r="O116">
        <v>16</v>
      </c>
      <c r="P116" s="1">
        <f t="shared" si="7"/>
        <v>0.16</v>
      </c>
    </row>
    <row r="117" spans="1:16" x14ac:dyDescent="0.35">
      <c r="A117" t="s">
        <v>309</v>
      </c>
      <c r="B117" t="s">
        <v>310</v>
      </c>
      <c r="C117" t="str">
        <f t="shared" si="4"/>
        <v>Jessica Torres</v>
      </c>
      <c r="D117" t="s">
        <v>38</v>
      </c>
      <c r="E117" t="str">
        <f t="shared" si="5"/>
        <v>Female</v>
      </c>
      <c r="F117" s="12">
        <v>32</v>
      </c>
      <c r="G117" t="s">
        <v>174</v>
      </c>
      <c r="H117" s="12" t="s">
        <v>69</v>
      </c>
      <c r="I117" t="s">
        <v>43</v>
      </c>
      <c r="J117" s="12">
        <v>5</v>
      </c>
      <c r="K117" s="3">
        <v>30</v>
      </c>
      <c r="L117" s="14">
        <f t="shared" si="6"/>
        <v>30</v>
      </c>
      <c r="M117" s="12">
        <v>3</v>
      </c>
      <c r="N117">
        <v>0</v>
      </c>
      <c r="O117" s="1">
        <v>0.86</v>
      </c>
      <c r="P117" s="1">
        <f t="shared" si="7"/>
        <v>0.86</v>
      </c>
    </row>
    <row r="118" spans="1:16" x14ac:dyDescent="0.35">
      <c r="A118" t="s">
        <v>311</v>
      </c>
      <c r="B118" t="s">
        <v>312</v>
      </c>
      <c r="C118" t="str">
        <f t="shared" si="4"/>
        <v>Teresa Kim</v>
      </c>
      <c r="D118" t="s">
        <v>74</v>
      </c>
      <c r="E118" t="str">
        <f t="shared" si="5"/>
        <v>Female</v>
      </c>
      <c r="F118" s="12">
        <v>57</v>
      </c>
      <c r="G118" t="s">
        <v>135</v>
      </c>
      <c r="H118" s="12" t="s">
        <v>136</v>
      </c>
      <c r="I118" t="s">
        <v>70</v>
      </c>
      <c r="J118" s="12">
        <v>4</v>
      </c>
      <c r="K118" s="3" t="s">
        <v>53</v>
      </c>
      <c r="L118" s="14" t="str">
        <f t="shared" si="6"/>
        <v>$ 40</v>
      </c>
      <c r="M118" s="12">
        <v>3.4</v>
      </c>
      <c r="N118">
        <v>1</v>
      </c>
      <c r="O118" s="1">
        <v>0.68</v>
      </c>
      <c r="P118" s="1">
        <f t="shared" si="7"/>
        <v>0.68</v>
      </c>
    </row>
    <row r="119" spans="1:16" x14ac:dyDescent="0.35">
      <c r="A119" t="s">
        <v>313</v>
      </c>
      <c r="B119" t="s">
        <v>314</v>
      </c>
      <c r="C119" t="str">
        <f t="shared" si="4"/>
        <v>Jon Morgan</v>
      </c>
      <c r="D119" t="s">
        <v>59</v>
      </c>
      <c r="E119" t="str">
        <f t="shared" si="5"/>
        <v>Male</v>
      </c>
      <c r="F119" s="12">
        <v>27</v>
      </c>
      <c r="G119" t="s">
        <v>21</v>
      </c>
      <c r="H119" s="12" t="s">
        <v>22</v>
      </c>
      <c r="I119" t="s">
        <v>111</v>
      </c>
      <c r="J119" s="12">
        <v>7</v>
      </c>
      <c r="K119" s="3" t="s">
        <v>308</v>
      </c>
      <c r="L119" s="14" t="str">
        <f t="shared" si="6"/>
        <v>$ 20</v>
      </c>
      <c r="M119" s="12">
        <v>3.2</v>
      </c>
      <c r="N119">
        <v>1</v>
      </c>
      <c r="O119" s="1">
        <v>0.62</v>
      </c>
      <c r="P119" s="1">
        <f t="shared" si="7"/>
        <v>0.62</v>
      </c>
    </row>
    <row r="120" spans="1:16" x14ac:dyDescent="0.35">
      <c r="A120" t="s">
        <v>315</v>
      </c>
      <c r="B120" t="s">
        <v>316</v>
      </c>
      <c r="C120" t="str">
        <f t="shared" si="4"/>
        <v>Gloria Chaney</v>
      </c>
      <c r="D120" t="s">
        <v>38</v>
      </c>
      <c r="E120" t="str">
        <f t="shared" si="5"/>
        <v>Female</v>
      </c>
      <c r="F120" s="12">
        <v>33</v>
      </c>
      <c r="G120" t="s">
        <v>47</v>
      </c>
      <c r="H120" s="12" t="s">
        <v>48</v>
      </c>
      <c r="I120" t="s">
        <v>111</v>
      </c>
      <c r="J120" s="12">
        <v>13</v>
      </c>
      <c r="K120" s="3">
        <v>20</v>
      </c>
      <c r="L120" s="14">
        <f t="shared" si="6"/>
        <v>20</v>
      </c>
      <c r="M120" s="12">
        <v>3.2</v>
      </c>
      <c r="N120">
        <v>0</v>
      </c>
      <c r="O120">
        <v>16</v>
      </c>
      <c r="P120" s="1">
        <f t="shared" si="7"/>
        <v>0.16</v>
      </c>
    </row>
    <row r="121" spans="1:16" x14ac:dyDescent="0.35">
      <c r="A121" t="s">
        <v>317</v>
      </c>
      <c r="B121" t="s">
        <v>318</v>
      </c>
      <c r="C121" t="str">
        <f t="shared" si="4"/>
        <v>Jesse Campbell</v>
      </c>
      <c r="D121" t="s">
        <v>27</v>
      </c>
      <c r="E121" t="str">
        <f t="shared" si="5"/>
        <v>Male</v>
      </c>
      <c r="F121" s="12">
        <v>29</v>
      </c>
      <c r="G121" t="s">
        <v>109</v>
      </c>
      <c r="H121" s="12" t="s">
        <v>110</v>
      </c>
      <c r="I121" t="s">
        <v>49</v>
      </c>
      <c r="J121" s="12">
        <v>4</v>
      </c>
      <c r="K121" s="3">
        <v>30</v>
      </c>
      <c r="L121" s="14">
        <f t="shared" si="6"/>
        <v>30</v>
      </c>
      <c r="M121" s="12">
        <v>0</v>
      </c>
      <c r="N121">
        <v>1</v>
      </c>
      <c r="O121" s="1">
        <v>0.82</v>
      </c>
      <c r="P121" s="1">
        <f t="shared" si="7"/>
        <v>0.82</v>
      </c>
    </row>
    <row r="122" spans="1:16" x14ac:dyDescent="0.35">
      <c r="A122" t="s">
        <v>319</v>
      </c>
      <c r="B122" t="s">
        <v>320</v>
      </c>
      <c r="C122" t="str">
        <f t="shared" si="4"/>
        <v>Allison Tucker Md</v>
      </c>
      <c r="D122" t="s">
        <v>38</v>
      </c>
      <c r="E122" t="str">
        <f t="shared" si="5"/>
        <v>Female</v>
      </c>
      <c r="F122" s="12">
        <v>36</v>
      </c>
      <c r="G122" t="s">
        <v>47</v>
      </c>
      <c r="H122" s="12" t="s">
        <v>48</v>
      </c>
      <c r="I122" t="s">
        <v>70</v>
      </c>
      <c r="J122" s="12">
        <v>13</v>
      </c>
      <c r="K122" s="3">
        <v>75</v>
      </c>
      <c r="L122" s="14">
        <f t="shared" si="6"/>
        <v>75</v>
      </c>
      <c r="M122" s="12">
        <v>3</v>
      </c>
      <c r="N122">
        <v>1</v>
      </c>
      <c r="O122">
        <v>16</v>
      </c>
      <c r="P122" s="1">
        <f t="shared" si="7"/>
        <v>0.16</v>
      </c>
    </row>
    <row r="123" spans="1:16" x14ac:dyDescent="0.35">
      <c r="A123" t="s">
        <v>321</v>
      </c>
      <c r="B123" t="s">
        <v>322</v>
      </c>
      <c r="C123" t="str">
        <f t="shared" si="4"/>
        <v>Candice Petersen</v>
      </c>
      <c r="D123" t="s">
        <v>74</v>
      </c>
      <c r="E123" t="str">
        <f t="shared" si="5"/>
        <v>Female</v>
      </c>
      <c r="F123" s="12">
        <v>47</v>
      </c>
      <c r="G123" t="s">
        <v>15</v>
      </c>
      <c r="H123" s="12" t="s">
        <v>16</v>
      </c>
      <c r="I123" t="s">
        <v>86</v>
      </c>
      <c r="J123" s="12">
        <v>5</v>
      </c>
      <c r="K123" s="3">
        <v>40</v>
      </c>
      <c r="L123" s="14">
        <f t="shared" si="6"/>
        <v>40</v>
      </c>
      <c r="M123" s="12">
        <v>3.7</v>
      </c>
      <c r="N123">
        <v>0</v>
      </c>
      <c r="O123">
        <v>93</v>
      </c>
      <c r="P123" s="1">
        <f t="shared" si="7"/>
        <v>0.93</v>
      </c>
    </row>
    <row r="124" spans="1:16" x14ac:dyDescent="0.35">
      <c r="A124" t="s">
        <v>323</v>
      </c>
      <c r="B124" t="s">
        <v>324</v>
      </c>
      <c r="C124" t="str">
        <f t="shared" si="4"/>
        <v>Christopher Nichols</v>
      </c>
      <c r="D124" t="s">
        <v>59</v>
      </c>
      <c r="E124" t="str">
        <f t="shared" si="5"/>
        <v>Male</v>
      </c>
      <c r="F124" s="12">
        <v>48</v>
      </c>
      <c r="G124" t="s">
        <v>124</v>
      </c>
      <c r="H124" s="12" t="s">
        <v>22</v>
      </c>
      <c r="I124" t="s">
        <v>111</v>
      </c>
      <c r="J124" s="12">
        <v>15</v>
      </c>
      <c r="K124" s="3" t="s">
        <v>95</v>
      </c>
      <c r="L124" s="14" t="str">
        <f t="shared" si="6"/>
        <v>$ 50</v>
      </c>
      <c r="M124" s="12">
        <v>1</v>
      </c>
      <c r="N124">
        <v>1</v>
      </c>
      <c r="O124" s="1">
        <v>0.64</v>
      </c>
      <c r="P124" s="1">
        <f t="shared" si="7"/>
        <v>0.64</v>
      </c>
    </row>
    <row r="125" spans="1:16" x14ac:dyDescent="0.35">
      <c r="A125" t="s">
        <v>325</v>
      </c>
      <c r="B125" t="s">
        <v>326</v>
      </c>
      <c r="C125" t="str">
        <f t="shared" si="4"/>
        <v>Debra Garcia</v>
      </c>
      <c r="D125" t="s">
        <v>38</v>
      </c>
      <c r="E125" t="str">
        <f t="shared" si="5"/>
        <v>Female</v>
      </c>
      <c r="F125" s="12">
        <v>27</v>
      </c>
      <c r="G125" t="s">
        <v>170</v>
      </c>
      <c r="H125" s="12" t="s">
        <v>171</v>
      </c>
      <c r="I125" t="s">
        <v>70</v>
      </c>
      <c r="J125" s="12">
        <v>8</v>
      </c>
      <c r="K125" s="3">
        <v>50</v>
      </c>
      <c r="L125" s="14">
        <f t="shared" si="6"/>
        <v>50</v>
      </c>
      <c r="M125" s="12">
        <v>0</v>
      </c>
      <c r="N125">
        <v>1</v>
      </c>
      <c r="O125">
        <v>16</v>
      </c>
      <c r="P125" s="1">
        <f t="shared" si="7"/>
        <v>0.16</v>
      </c>
    </row>
    <row r="126" spans="1:16" x14ac:dyDescent="0.35">
      <c r="A126" t="s">
        <v>327</v>
      </c>
      <c r="B126" t="s">
        <v>328</v>
      </c>
      <c r="C126" t="str">
        <f t="shared" si="4"/>
        <v>Andrew Fuentes</v>
      </c>
      <c r="D126" t="s">
        <v>27</v>
      </c>
      <c r="E126" t="str">
        <f t="shared" si="5"/>
        <v>Male</v>
      </c>
      <c r="F126" s="12">
        <v>34</v>
      </c>
      <c r="G126" t="s">
        <v>21</v>
      </c>
      <c r="H126" s="12" t="s">
        <v>22</v>
      </c>
      <c r="I126" t="s">
        <v>35</v>
      </c>
      <c r="J126" s="12">
        <v>10</v>
      </c>
      <c r="K126" s="3">
        <v>40</v>
      </c>
      <c r="L126" s="14">
        <f t="shared" si="6"/>
        <v>40</v>
      </c>
      <c r="M126" s="12">
        <v>1.7</v>
      </c>
      <c r="N126">
        <v>0</v>
      </c>
      <c r="O126" s="1">
        <v>0.96</v>
      </c>
      <c r="P126" s="1">
        <f t="shared" si="7"/>
        <v>0.96</v>
      </c>
    </row>
    <row r="127" spans="1:16" x14ac:dyDescent="0.35">
      <c r="A127" t="s">
        <v>329</v>
      </c>
      <c r="B127" t="s">
        <v>330</v>
      </c>
      <c r="C127" t="str">
        <f t="shared" si="4"/>
        <v>Jason Carter</v>
      </c>
      <c r="D127" t="s">
        <v>94</v>
      </c>
      <c r="E127" t="str">
        <f t="shared" si="5"/>
        <v>Male</v>
      </c>
      <c r="F127" s="12">
        <v>49</v>
      </c>
      <c r="G127" t="s">
        <v>109</v>
      </c>
      <c r="H127" s="12" t="s">
        <v>110</v>
      </c>
      <c r="I127" t="s">
        <v>49</v>
      </c>
      <c r="J127" s="12">
        <v>19</v>
      </c>
      <c r="K127" s="3">
        <v>40</v>
      </c>
      <c r="L127" s="14">
        <f t="shared" si="6"/>
        <v>40</v>
      </c>
      <c r="M127" s="12">
        <v>5</v>
      </c>
      <c r="N127">
        <v>1</v>
      </c>
      <c r="O127" s="1">
        <v>0.83</v>
      </c>
      <c r="P127" s="1">
        <f t="shared" si="7"/>
        <v>0.83</v>
      </c>
    </row>
    <row r="128" spans="1:16" x14ac:dyDescent="0.35">
      <c r="A128" t="s">
        <v>331</v>
      </c>
      <c r="B128" t="s">
        <v>332</v>
      </c>
      <c r="C128" t="str">
        <f t="shared" si="4"/>
        <v>Austin Romero</v>
      </c>
      <c r="D128" t="s">
        <v>27</v>
      </c>
      <c r="E128" t="str">
        <f t="shared" si="5"/>
        <v>Male</v>
      </c>
      <c r="F128" s="12">
        <v>30</v>
      </c>
      <c r="G128" t="s">
        <v>104</v>
      </c>
      <c r="H128" s="12" t="s">
        <v>105</v>
      </c>
      <c r="I128" t="s">
        <v>23</v>
      </c>
      <c r="J128" s="12">
        <v>10</v>
      </c>
      <c r="K128" s="3">
        <v>100</v>
      </c>
      <c r="L128" s="14">
        <f t="shared" si="6"/>
        <v>100</v>
      </c>
      <c r="M128" s="12">
        <v>1.7</v>
      </c>
      <c r="N128">
        <v>1</v>
      </c>
      <c r="O128" s="1">
        <v>0.64</v>
      </c>
      <c r="P128" s="1">
        <f t="shared" si="7"/>
        <v>0.64</v>
      </c>
    </row>
    <row r="129" spans="1:16" x14ac:dyDescent="0.35">
      <c r="A129" t="s">
        <v>333</v>
      </c>
      <c r="B129" t="s">
        <v>334</v>
      </c>
      <c r="C129" t="str">
        <f t="shared" si="4"/>
        <v>Clayton Burns</v>
      </c>
      <c r="D129" t="s">
        <v>27</v>
      </c>
      <c r="E129" t="str">
        <f t="shared" si="5"/>
        <v>Male</v>
      </c>
      <c r="F129" s="12">
        <v>31</v>
      </c>
      <c r="G129" t="s">
        <v>135</v>
      </c>
      <c r="H129" s="12" t="s">
        <v>136</v>
      </c>
      <c r="I129" t="s">
        <v>30</v>
      </c>
      <c r="J129" s="12">
        <v>8</v>
      </c>
      <c r="K129" s="3">
        <v>40</v>
      </c>
      <c r="L129" s="14">
        <f t="shared" si="6"/>
        <v>40</v>
      </c>
      <c r="M129" s="12">
        <v>4.4000000000000004</v>
      </c>
      <c r="N129">
        <v>0</v>
      </c>
      <c r="O129" s="1">
        <v>0.7</v>
      </c>
      <c r="P129" s="1">
        <f t="shared" si="7"/>
        <v>0.7</v>
      </c>
    </row>
    <row r="130" spans="1:16" x14ac:dyDescent="0.35">
      <c r="A130" t="s">
        <v>335</v>
      </c>
      <c r="B130" t="s">
        <v>336</v>
      </c>
      <c r="C130" t="str">
        <f t="shared" si="4"/>
        <v>Jonathan Clark</v>
      </c>
      <c r="D130" t="s">
        <v>27</v>
      </c>
      <c r="E130" t="str">
        <f t="shared" si="5"/>
        <v>Male</v>
      </c>
      <c r="F130" s="12">
        <v>58</v>
      </c>
      <c r="G130" t="s">
        <v>170</v>
      </c>
      <c r="H130" s="12" t="s">
        <v>171</v>
      </c>
      <c r="I130" t="s">
        <v>111</v>
      </c>
      <c r="J130" s="12">
        <v>9</v>
      </c>
      <c r="K130" s="3">
        <v>20</v>
      </c>
      <c r="L130" s="14">
        <f t="shared" si="6"/>
        <v>20</v>
      </c>
      <c r="M130" s="12">
        <v>0</v>
      </c>
      <c r="N130">
        <v>0</v>
      </c>
      <c r="O130" s="1">
        <v>0.65</v>
      </c>
      <c r="P130" s="1">
        <f t="shared" si="7"/>
        <v>0.65</v>
      </c>
    </row>
    <row r="131" spans="1:16" x14ac:dyDescent="0.35">
      <c r="A131" t="s">
        <v>337</v>
      </c>
      <c r="B131" t="s">
        <v>338</v>
      </c>
      <c r="C131" t="str">
        <f t="shared" ref="C131:C194" si="8">PROPER(B131)</f>
        <v>Alexander Griffin</v>
      </c>
      <c r="D131" t="s">
        <v>94</v>
      </c>
      <c r="E131" t="str">
        <f t="shared" ref="E131:E194" si="9">PROPER(D131)</f>
        <v>Male</v>
      </c>
      <c r="F131" s="12">
        <v>47</v>
      </c>
      <c r="G131" t="s">
        <v>131</v>
      </c>
      <c r="H131" s="12" t="s">
        <v>132</v>
      </c>
      <c r="I131" t="s">
        <v>111</v>
      </c>
      <c r="J131" s="12">
        <v>13</v>
      </c>
      <c r="K131" s="3">
        <v>40</v>
      </c>
      <c r="L131" s="14">
        <f t="shared" ref="L131:L194" si="10">IF(K131="","",IF(LEFT(K131,3)="USD","$"&amp;MID(K131,4,LEN(K131)-3),K131))</f>
        <v>40</v>
      </c>
      <c r="M131" s="12">
        <v>3.4</v>
      </c>
      <c r="N131">
        <v>1</v>
      </c>
      <c r="O131" s="1">
        <v>0.67</v>
      </c>
      <c r="P131" s="1">
        <f t="shared" ref="P131:P194" si="11">IF(O131="","",IF(O131&lt;1,O131,O131/100))</f>
        <v>0.67</v>
      </c>
    </row>
    <row r="132" spans="1:16" x14ac:dyDescent="0.35">
      <c r="A132" t="s">
        <v>339</v>
      </c>
      <c r="B132" t="s">
        <v>340</v>
      </c>
      <c r="C132" t="str">
        <f t="shared" si="8"/>
        <v>Shelly Whitehead</v>
      </c>
      <c r="D132" t="s">
        <v>38</v>
      </c>
      <c r="E132" t="str">
        <f t="shared" si="9"/>
        <v>Female</v>
      </c>
      <c r="F132" s="12">
        <v>45</v>
      </c>
      <c r="G132" t="s">
        <v>64</v>
      </c>
      <c r="H132" s="12" t="s">
        <v>22</v>
      </c>
      <c r="I132" t="s">
        <v>75</v>
      </c>
      <c r="J132" s="12">
        <v>14</v>
      </c>
      <c r="K132" s="3" t="s">
        <v>24</v>
      </c>
      <c r="L132" s="14" t="str">
        <f t="shared" si="10"/>
        <v>$ 100</v>
      </c>
      <c r="M132" s="12">
        <v>1.1000000000000001</v>
      </c>
      <c r="N132">
        <v>1</v>
      </c>
      <c r="O132">
        <v>93</v>
      </c>
      <c r="P132" s="1">
        <f t="shared" si="11"/>
        <v>0.93</v>
      </c>
    </row>
    <row r="133" spans="1:16" x14ac:dyDescent="0.35">
      <c r="A133" t="s">
        <v>341</v>
      </c>
      <c r="B133" t="s">
        <v>342</v>
      </c>
      <c r="C133" t="str">
        <f t="shared" si="8"/>
        <v>Kaitlyn Davis</v>
      </c>
      <c r="D133" t="s">
        <v>20</v>
      </c>
      <c r="E133" t="str">
        <f t="shared" si="9"/>
        <v>Female</v>
      </c>
      <c r="F133" s="12">
        <v>57</v>
      </c>
      <c r="G133" t="s">
        <v>131</v>
      </c>
      <c r="H133" s="12" t="s">
        <v>132</v>
      </c>
      <c r="I133" t="s">
        <v>111</v>
      </c>
      <c r="J133" s="12">
        <v>11</v>
      </c>
      <c r="K133" s="3">
        <v>50</v>
      </c>
      <c r="L133" s="14">
        <f t="shared" si="10"/>
        <v>50</v>
      </c>
      <c r="M133" s="12">
        <v>1.6</v>
      </c>
      <c r="N133">
        <v>0</v>
      </c>
      <c r="O133" s="1">
        <v>0.6</v>
      </c>
      <c r="P133" s="1">
        <f t="shared" si="11"/>
        <v>0.6</v>
      </c>
    </row>
    <row r="134" spans="1:16" x14ac:dyDescent="0.35">
      <c r="A134" t="s">
        <v>343</v>
      </c>
      <c r="B134" t="s">
        <v>344</v>
      </c>
      <c r="C134" t="str">
        <f t="shared" si="8"/>
        <v>Christopher Jones</v>
      </c>
      <c r="D134" t="s">
        <v>59</v>
      </c>
      <c r="E134" t="str">
        <f t="shared" si="9"/>
        <v>Male</v>
      </c>
      <c r="F134" s="12">
        <v>50</v>
      </c>
      <c r="G134" t="s">
        <v>90</v>
      </c>
      <c r="H134" s="12" t="s">
        <v>91</v>
      </c>
      <c r="I134" t="s">
        <v>35</v>
      </c>
      <c r="J134" s="12">
        <v>22</v>
      </c>
      <c r="K134" s="3">
        <v>100</v>
      </c>
      <c r="L134" s="14">
        <f t="shared" si="10"/>
        <v>100</v>
      </c>
      <c r="M134" s="12">
        <v>4.0999999999999996</v>
      </c>
      <c r="N134">
        <v>0</v>
      </c>
      <c r="O134" s="1">
        <v>0.62</v>
      </c>
      <c r="P134" s="1">
        <f t="shared" si="11"/>
        <v>0.62</v>
      </c>
    </row>
    <row r="135" spans="1:16" x14ac:dyDescent="0.35">
      <c r="A135" t="s">
        <v>345</v>
      </c>
      <c r="B135" t="s">
        <v>346</v>
      </c>
      <c r="C135" t="str">
        <f t="shared" si="8"/>
        <v>Cindy Jacobs</v>
      </c>
      <c r="D135" t="s">
        <v>20</v>
      </c>
      <c r="E135" t="str">
        <f t="shared" si="9"/>
        <v>Female</v>
      </c>
      <c r="F135" s="12">
        <v>41</v>
      </c>
      <c r="G135" t="s">
        <v>104</v>
      </c>
      <c r="H135" s="12" t="s">
        <v>105</v>
      </c>
      <c r="I135" t="s">
        <v>111</v>
      </c>
      <c r="J135" s="12">
        <v>4</v>
      </c>
      <c r="K135" s="3">
        <v>40</v>
      </c>
      <c r="L135" s="14">
        <f t="shared" si="10"/>
        <v>40</v>
      </c>
      <c r="M135" s="12">
        <v>2.5</v>
      </c>
      <c r="N135">
        <v>1</v>
      </c>
      <c r="O135" s="1">
        <v>0.7</v>
      </c>
      <c r="P135" s="1">
        <f t="shared" si="11"/>
        <v>0.7</v>
      </c>
    </row>
    <row r="136" spans="1:16" x14ac:dyDescent="0.35">
      <c r="A136" t="s">
        <v>347</v>
      </c>
      <c r="B136" t="s">
        <v>348</v>
      </c>
      <c r="C136" t="str">
        <f t="shared" si="8"/>
        <v>Penny Day</v>
      </c>
      <c r="D136" t="s">
        <v>74</v>
      </c>
      <c r="E136" t="str">
        <f t="shared" si="9"/>
        <v>Female</v>
      </c>
      <c r="F136" s="12">
        <v>45</v>
      </c>
      <c r="G136" t="s">
        <v>47</v>
      </c>
      <c r="H136" s="12" t="s">
        <v>48</v>
      </c>
      <c r="I136" t="s">
        <v>17</v>
      </c>
      <c r="J136" s="12">
        <v>22</v>
      </c>
      <c r="K136" s="3">
        <v>100</v>
      </c>
      <c r="L136" s="14">
        <f t="shared" si="10"/>
        <v>100</v>
      </c>
      <c r="M136" s="12">
        <v>4</v>
      </c>
      <c r="N136">
        <v>1</v>
      </c>
      <c r="O136" s="1">
        <v>0.75</v>
      </c>
      <c r="P136" s="1">
        <f t="shared" si="11"/>
        <v>0.75</v>
      </c>
    </row>
    <row r="137" spans="1:16" x14ac:dyDescent="0.35">
      <c r="A137" t="s">
        <v>349</v>
      </c>
      <c r="B137" t="s">
        <v>350</v>
      </c>
      <c r="C137" t="str">
        <f t="shared" si="8"/>
        <v>Thomas Ingram</v>
      </c>
      <c r="D137" t="s">
        <v>59</v>
      </c>
      <c r="E137" t="str">
        <f t="shared" si="9"/>
        <v>Male</v>
      </c>
      <c r="F137" s="12">
        <v>60</v>
      </c>
      <c r="G137" t="s">
        <v>149</v>
      </c>
      <c r="H137" s="12" t="s">
        <v>150</v>
      </c>
      <c r="I137" t="s">
        <v>75</v>
      </c>
      <c r="J137" s="12">
        <v>39</v>
      </c>
      <c r="K137" s="3">
        <v>75</v>
      </c>
      <c r="L137" s="14">
        <f t="shared" si="10"/>
        <v>75</v>
      </c>
      <c r="M137" s="12">
        <v>1.4</v>
      </c>
      <c r="N137">
        <v>1</v>
      </c>
      <c r="O137" s="1">
        <v>0.7</v>
      </c>
      <c r="P137" s="1">
        <f t="shared" si="11"/>
        <v>0.7</v>
      </c>
    </row>
    <row r="138" spans="1:16" x14ac:dyDescent="0.35">
      <c r="A138" t="s">
        <v>351</v>
      </c>
      <c r="B138" t="s">
        <v>352</v>
      </c>
      <c r="C138" t="str">
        <f t="shared" si="8"/>
        <v>Donna Hansen</v>
      </c>
      <c r="D138" t="s">
        <v>38</v>
      </c>
      <c r="E138" t="str">
        <f t="shared" si="9"/>
        <v>Female</v>
      </c>
      <c r="F138" s="12">
        <v>43</v>
      </c>
      <c r="G138" t="s">
        <v>64</v>
      </c>
      <c r="H138" s="12" t="s">
        <v>22</v>
      </c>
      <c r="I138" t="s">
        <v>75</v>
      </c>
      <c r="J138" s="12">
        <v>5</v>
      </c>
      <c r="K138" s="3" t="s">
        <v>95</v>
      </c>
      <c r="L138" s="14" t="str">
        <f t="shared" si="10"/>
        <v>$ 50</v>
      </c>
      <c r="M138" s="12">
        <v>3</v>
      </c>
      <c r="N138">
        <v>1</v>
      </c>
      <c r="O138" s="1">
        <v>0.84</v>
      </c>
      <c r="P138" s="1">
        <f t="shared" si="11"/>
        <v>0.84</v>
      </c>
    </row>
    <row r="139" spans="1:16" x14ac:dyDescent="0.35">
      <c r="A139" t="s">
        <v>353</v>
      </c>
      <c r="B139" t="s">
        <v>354</v>
      </c>
      <c r="C139" t="str">
        <f t="shared" si="8"/>
        <v>Donna Bailey</v>
      </c>
      <c r="D139" t="s">
        <v>38</v>
      </c>
      <c r="E139" t="str">
        <f t="shared" si="9"/>
        <v>Female</v>
      </c>
      <c r="F139" s="12">
        <v>39</v>
      </c>
      <c r="G139" t="s">
        <v>131</v>
      </c>
      <c r="H139" s="12" t="s">
        <v>132</v>
      </c>
      <c r="I139" t="s">
        <v>75</v>
      </c>
      <c r="J139" s="12">
        <v>5</v>
      </c>
      <c r="K139" s="3" t="s">
        <v>53</v>
      </c>
      <c r="L139" s="14" t="str">
        <f t="shared" si="10"/>
        <v>$ 40</v>
      </c>
      <c r="M139" s="12">
        <v>1.2</v>
      </c>
      <c r="N139">
        <v>0</v>
      </c>
      <c r="O139">
        <v>83</v>
      </c>
      <c r="P139" s="1">
        <f t="shared" si="11"/>
        <v>0.83</v>
      </c>
    </row>
    <row r="140" spans="1:16" x14ac:dyDescent="0.35">
      <c r="A140" t="s">
        <v>355</v>
      </c>
      <c r="B140" t="s">
        <v>356</v>
      </c>
      <c r="C140" t="str">
        <f t="shared" si="8"/>
        <v>Joshua Armstrong</v>
      </c>
      <c r="D140" t="s">
        <v>27</v>
      </c>
      <c r="E140" t="str">
        <f t="shared" si="9"/>
        <v>Male</v>
      </c>
      <c r="F140" s="12">
        <v>26</v>
      </c>
      <c r="G140" t="s">
        <v>174</v>
      </c>
      <c r="H140" s="12" t="s">
        <v>69</v>
      </c>
      <c r="I140" t="s">
        <v>70</v>
      </c>
      <c r="J140" s="12">
        <v>5</v>
      </c>
      <c r="K140" s="3">
        <v>50</v>
      </c>
      <c r="L140" s="14">
        <f t="shared" si="10"/>
        <v>50</v>
      </c>
      <c r="M140" s="12">
        <v>0</v>
      </c>
      <c r="N140">
        <v>0</v>
      </c>
      <c r="O140">
        <v>16</v>
      </c>
      <c r="P140" s="1">
        <f t="shared" si="11"/>
        <v>0.16</v>
      </c>
    </row>
    <row r="141" spans="1:16" x14ac:dyDescent="0.35">
      <c r="A141" t="s">
        <v>357</v>
      </c>
      <c r="B141" t="s">
        <v>358</v>
      </c>
      <c r="C141" t="str">
        <f t="shared" si="8"/>
        <v>Jonathan Garza</v>
      </c>
      <c r="D141" t="s">
        <v>27</v>
      </c>
      <c r="E141" t="str">
        <f t="shared" si="9"/>
        <v>Male</v>
      </c>
      <c r="F141" s="12">
        <v>31</v>
      </c>
      <c r="G141" t="s">
        <v>28</v>
      </c>
      <c r="H141" s="12" t="s">
        <v>29</v>
      </c>
      <c r="I141" t="s">
        <v>75</v>
      </c>
      <c r="J141" s="12">
        <v>11</v>
      </c>
      <c r="K141" s="3">
        <v>50</v>
      </c>
      <c r="L141" s="14">
        <f t="shared" si="10"/>
        <v>50</v>
      </c>
      <c r="M141" s="12">
        <v>3.1</v>
      </c>
      <c r="N141">
        <v>0</v>
      </c>
      <c r="O141" s="1">
        <v>0.88</v>
      </c>
      <c r="P141" s="1">
        <f t="shared" si="11"/>
        <v>0.88</v>
      </c>
    </row>
    <row r="142" spans="1:16" x14ac:dyDescent="0.35">
      <c r="A142" t="s">
        <v>359</v>
      </c>
      <c r="B142" t="s">
        <v>360</v>
      </c>
      <c r="C142" t="str">
        <f t="shared" si="8"/>
        <v>Charles Jones</v>
      </c>
      <c r="D142" t="s">
        <v>27</v>
      </c>
      <c r="E142" t="str">
        <f t="shared" si="9"/>
        <v>Male</v>
      </c>
      <c r="F142" s="12">
        <v>52</v>
      </c>
      <c r="G142" t="s">
        <v>131</v>
      </c>
      <c r="H142" s="12" t="s">
        <v>132</v>
      </c>
      <c r="I142" t="s">
        <v>70</v>
      </c>
      <c r="J142" s="12">
        <v>15</v>
      </c>
      <c r="K142" s="3">
        <v>50</v>
      </c>
      <c r="L142" s="14">
        <f t="shared" si="10"/>
        <v>50</v>
      </c>
      <c r="M142" s="12">
        <v>0</v>
      </c>
      <c r="N142">
        <v>1</v>
      </c>
      <c r="O142" s="1">
        <v>0.81</v>
      </c>
      <c r="P142" s="1">
        <f t="shared" si="11"/>
        <v>0.81</v>
      </c>
    </row>
    <row r="143" spans="1:16" x14ac:dyDescent="0.35">
      <c r="A143" t="s">
        <v>361</v>
      </c>
      <c r="B143" t="s">
        <v>362</v>
      </c>
      <c r="C143" t="str">
        <f t="shared" si="8"/>
        <v>Lindsey Miles</v>
      </c>
      <c r="D143" t="s">
        <v>38</v>
      </c>
      <c r="E143" t="str">
        <f t="shared" si="9"/>
        <v>Female</v>
      </c>
      <c r="F143" s="12">
        <v>34</v>
      </c>
      <c r="G143" t="s">
        <v>90</v>
      </c>
      <c r="H143" s="12" t="s">
        <v>91</v>
      </c>
      <c r="I143" t="s">
        <v>49</v>
      </c>
      <c r="J143" s="12">
        <v>5</v>
      </c>
      <c r="K143" s="3" t="s">
        <v>308</v>
      </c>
      <c r="L143" s="14" t="str">
        <f t="shared" si="10"/>
        <v>$ 20</v>
      </c>
      <c r="M143" s="12">
        <v>2.2000000000000002</v>
      </c>
      <c r="N143">
        <v>1</v>
      </c>
      <c r="O143" s="1">
        <v>0.8</v>
      </c>
      <c r="P143" s="1">
        <f t="shared" si="11"/>
        <v>0.8</v>
      </c>
    </row>
    <row r="144" spans="1:16" x14ac:dyDescent="0.35">
      <c r="A144" t="s">
        <v>363</v>
      </c>
      <c r="B144" t="s">
        <v>364</v>
      </c>
      <c r="C144" t="str">
        <f t="shared" si="8"/>
        <v>Eduardo Reed</v>
      </c>
      <c r="D144" t="s">
        <v>27</v>
      </c>
      <c r="E144" t="str">
        <f t="shared" si="9"/>
        <v>Male</v>
      </c>
      <c r="F144" s="12">
        <v>45</v>
      </c>
      <c r="G144" t="s">
        <v>64</v>
      </c>
      <c r="H144" s="12" t="s">
        <v>22</v>
      </c>
      <c r="I144" t="s">
        <v>35</v>
      </c>
      <c r="J144" s="12">
        <v>7</v>
      </c>
      <c r="K144" s="3">
        <v>75</v>
      </c>
      <c r="L144" s="14">
        <f t="shared" si="10"/>
        <v>75</v>
      </c>
      <c r="M144" s="12">
        <v>3</v>
      </c>
      <c r="N144">
        <v>1</v>
      </c>
      <c r="O144" s="1">
        <v>0.67</v>
      </c>
      <c r="P144" s="1">
        <f t="shared" si="11"/>
        <v>0.67</v>
      </c>
    </row>
    <row r="145" spans="1:16" x14ac:dyDescent="0.35">
      <c r="A145" t="s">
        <v>365</v>
      </c>
      <c r="B145" t="s">
        <v>366</v>
      </c>
      <c r="C145" t="str">
        <f t="shared" si="8"/>
        <v>Lee Fowler</v>
      </c>
      <c r="D145" t="s">
        <v>27</v>
      </c>
      <c r="E145" t="str">
        <f t="shared" si="9"/>
        <v>Male</v>
      </c>
      <c r="F145" s="12">
        <v>46</v>
      </c>
      <c r="G145" t="s">
        <v>64</v>
      </c>
      <c r="H145" s="12" t="s">
        <v>22</v>
      </c>
      <c r="I145" t="s">
        <v>75</v>
      </c>
      <c r="J145" s="12">
        <v>9</v>
      </c>
      <c r="K145" s="3">
        <v>20</v>
      </c>
      <c r="L145" s="14">
        <f t="shared" si="10"/>
        <v>20</v>
      </c>
      <c r="M145" s="12">
        <v>0</v>
      </c>
      <c r="N145">
        <v>0</v>
      </c>
      <c r="O145" s="1">
        <v>0.82</v>
      </c>
      <c r="P145" s="1">
        <f t="shared" si="11"/>
        <v>0.82</v>
      </c>
    </row>
    <row r="146" spans="1:16" x14ac:dyDescent="0.35">
      <c r="A146" t="s">
        <v>367</v>
      </c>
      <c r="B146" t="s">
        <v>368</v>
      </c>
      <c r="C146" t="str">
        <f t="shared" si="8"/>
        <v>Steven Jones Jr.</v>
      </c>
      <c r="D146" t="s">
        <v>27</v>
      </c>
      <c r="E146" t="str">
        <f t="shared" si="9"/>
        <v>Male</v>
      </c>
      <c r="F146" s="12">
        <v>56</v>
      </c>
      <c r="G146" t="s">
        <v>131</v>
      </c>
      <c r="H146" s="12" t="s">
        <v>132</v>
      </c>
      <c r="I146" t="s">
        <v>70</v>
      </c>
      <c r="J146" s="12">
        <v>21</v>
      </c>
      <c r="K146" s="3" t="s">
        <v>24</v>
      </c>
      <c r="L146" s="14" t="str">
        <f t="shared" si="10"/>
        <v>$ 100</v>
      </c>
      <c r="M146" s="12">
        <v>0</v>
      </c>
      <c r="N146">
        <v>1</v>
      </c>
      <c r="O146">
        <v>78</v>
      </c>
      <c r="P146" s="1">
        <f t="shared" si="11"/>
        <v>0.78</v>
      </c>
    </row>
    <row r="147" spans="1:16" x14ac:dyDescent="0.35">
      <c r="A147" t="s">
        <v>369</v>
      </c>
      <c r="B147" t="s">
        <v>370</v>
      </c>
      <c r="C147" t="str">
        <f t="shared" si="8"/>
        <v>Ashley Chen</v>
      </c>
      <c r="D147" t="s">
        <v>20</v>
      </c>
      <c r="E147" t="str">
        <f t="shared" si="9"/>
        <v>Female</v>
      </c>
      <c r="F147" s="12">
        <v>59</v>
      </c>
      <c r="G147" t="s">
        <v>28</v>
      </c>
      <c r="H147" s="12" t="s">
        <v>29</v>
      </c>
      <c r="I147" t="s">
        <v>43</v>
      </c>
      <c r="J147" s="12">
        <v>7</v>
      </c>
      <c r="K147" s="3">
        <v>40</v>
      </c>
      <c r="L147" s="14">
        <f t="shared" si="10"/>
        <v>40</v>
      </c>
      <c r="M147" s="12">
        <v>1.4</v>
      </c>
      <c r="N147">
        <v>0</v>
      </c>
      <c r="O147" s="1">
        <v>0.81</v>
      </c>
      <c r="P147" s="1">
        <f t="shared" si="11"/>
        <v>0.81</v>
      </c>
    </row>
    <row r="148" spans="1:16" x14ac:dyDescent="0.35">
      <c r="A148" t="s">
        <v>371</v>
      </c>
      <c r="B148" t="s">
        <v>372</v>
      </c>
      <c r="C148" t="str">
        <f t="shared" si="8"/>
        <v>Erica Davis</v>
      </c>
      <c r="D148" t="s">
        <v>20</v>
      </c>
      <c r="E148" t="str">
        <f t="shared" si="9"/>
        <v>Female</v>
      </c>
      <c r="F148" s="12">
        <v>54</v>
      </c>
      <c r="G148" t="s">
        <v>135</v>
      </c>
      <c r="H148" s="12" t="s">
        <v>136</v>
      </c>
      <c r="I148" t="s">
        <v>17</v>
      </c>
      <c r="J148" s="12">
        <v>4</v>
      </c>
      <c r="K148" s="3">
        <v>40</v>
      </c>
      <c r="L148" s="14">
        <f t="shared" si="10"/>
        <v>40</v>
      </c>
      <c r="M148" s="12">
        <v>1.4</v>
      </c>
      <c r="N148">
        <v>1</v>
      </c>
      <c r="O148" s="1">
        <v>0.74</v>
      </c>
      <c r="P148" s="1">
        <f t="shared" si="11"/>
        <v>0.74</v>
      </c>
    </row>
    <row r="149" spans="1:16" x14ac:dyDescent="0.35">
      <c r="A149" t="s">
        <v>373</v>
      </c>
      <c r="B149" t="s">
        <v>374</v>
      </c>
      <c r="C149" t="str">
        <f t="shared" si="8"/>
        <v>Wayne Gonzales</v>
      </c>
      <c r="D149" t="s">
        <v>27</v>
      </c>
      <c r="E149" t="str">
        <f t="shared" si="9"/>
        <v>Male</v>
      </c>
      <c r="F149" s="12">
        <v>36</v>
      </c>
      <c r="G149" t="s">
        <v>28</v>
      </c>
      <c r="H149" s="12" t="s">
        <v>29</v>
      </c>
      <c r="I149" t="s">
        <v>70</v>
      </c>
      <c r="J149" s="12">
        <v>7</v>
      </c>
      <c r="K149" s="3">
        <v>30</v>
      </c>
      <c r="L149" s="14">
        <f t="shared" si="10"/>
        <v>30</v>
      </c>
      <c r="M149" s="12">
        <v>0</v>
      </c>
      <c r="N149">
        <v>0</v>
      </c>
      <c r="O149" s="1">
        <v>0.88</v>
      </c>
      <c r="P149" s="1">
        <f t="shared" si="11"/>
        <v>0.88</v>
      </c>
    </row>
    <row r="150" spans="1:16" x14ac:dyDescent="0.35">
      <c r="A150" t="s">
        <v>375</v>
      </c>
      <c r="B150" t="s">
        <v>376</v>
      </c>
      <c r="C150" t="str">
        <f t="shared" si="8"/>
        <v>Gary Ballard</v>
      </c>
      <c r="D150" t="s">
        <v>27</v>
      </c>
      <c r="E150" t="str">
        <f t="shared" si="9"/>
        <v>Male</v>
      </c>
      <c r="F150" s="12">
        <v>25</v>
      </c>
      <c r="G150" t="s">
        <v>174</v>
      </c>
      <c r="H150" s="12" t="s">
        <v>69</v>
      </c>
      <c r="I150" t="s">
        <v>49</v>
      </c>
      <c r="J150" s="12">
        <v>11</v>
      </c>
      <c r="K150" s="3">
        <v>40</v>
      </c>
      <c r="L150" s="14">
        <f t="shared" si="10"/>
        <v>40</v>
      </c>
      <c r="M150" s="12">
        <v>0</v>
      </c>
      <c r="N150">
        <v>0</v>
      </c>
      <c r="O150" s="1">
        <v>0.9</v>
      </c>
      <c r="P150" s="1">
        <f t="shared" si="11"/>
        <v>0.9</v>
      </c>
    </row>
    <row r="151" spans="1:16" x14ac:dyDescent="0.35">
      <c r="A151" t="s">
        <v>377</v>
      </c>
      <c r="B151" t="s">
        <v>378</v>
      </c>
      <c r="C151" t="str">
        <f t="shared" si="8"/>
        <v>Maria Mcguire</v>
      </c>
      <c r="D151" t="s">
        <v>20</v>
      </c>
      <c r="E151" t="str">
        <f t="shared" si="9"/>
        <v>Female</v>
      </c>
      <c r="F151" s="12">
        <v>37</v>
      </c>
      <c r="G151" t="s">
        <v>120</v>
      </c>
      <c r="H151" s="12" t="s">
        <v>121</v>
      </c>
      <c r="I151" t="s">
        <v>49</v>
      </c>
      <c r="J151" s="12">
        <v>15</v>
      </c>
      <c r="K151" s="3">
        <v>40</v>
      </c>
      <c r="L151" s="14">
        <f t="shared" si="10"/>
        <v>40</v>
      </c>
      <c r="M151" s="12">
        <v>2.9</v>
      </c>
      <c r="N151">
        <v>0</v>
      </c>
      <c r="O151">
        <v>16</v>
      </c>
      <c r="P151" s="1">
        <f t="shared" si="11"/>
        <v>0.16</v>
      </c>
    </row>
    <row r="152" spans="1:16" x14ac:dyDescent="0.35">
      <c r="A152" t="s">
        <v>379</v>
      </c>
      <c r="B152" t="s">
        <v>380</v>
      </c>
      <c r="C152" t="str">
        <f t="shared" si="8"/>
        <v>Matthew Richards</v>
      </c>
      <c r="D152" t="s">
        <v>27</v>
      </c>
      <c r="E152" t="str">
        <f t="shared" si="9"/>
        <v>Male</v>
      </c>
      <c r="F152" s="12">
        <v>41</v>
      </c>
      <c r="G152" t="s">
        <v>60</v>
      </c>
      <c r="H152" s="12" t="s">
        <v>61</v>
      </c>
      <c r="I152" t="s">
        <v>49</v>
      </c>
      <c r="J152" s="12">
        <v>10</v>
      </c>
      <c r="K152" s="3" t="s">
        <v>53</v>
      </c>
      <c r="L152" s="14" t="str">
        <f t="shared" si="10"/>
        <v>$ 40</v>
      </c>
      <c r="M152" s="12">
        <v>0</v>
      </c>
      <c r="N152">
        <v>1</v>
      </c>
      <c r="O152">
        <v>16</v>
      </c>
      <c r="P152" s="1">
        <f t="shared" si="11"/>
        <v>0.16</v>
      </c>
    </row>
    <row r="153" spans="1:16" x14ac:dyDescent="0.35">
      <c r="A153" t="s">
        <v>381</v>
      </c>
      <c r="B153" t="s">
        <v>382</v>
      </c>
      <c r="C153" t="str">
        <f t="shared" si="8"/>
        <v>Patrick Malone</v>
      </c>
      <c r="D153" t="s">
        <v>27</v>
      </c>
      <c r="E153" t="str">
        <f t="shared" si="9"/>
        <v>Male</v>
      </c>
      <c r="F153" s="12">
        <v>29</v>
      </c>
      <c r="G153" t="s">
        <v>185</v>
      </c>
      <c r="H153" s="12" t="s">
        <v>69</v>
      </c>
      <c r="I153" t="s">
        <v>49</v>
      </c>
      <c r="J153" s="12">
        <v>11</v>
      </c>
      <c r="K153" s="3">
        <v>20</v>
      </c>
      <c r="L153" s="14">
        <f t="shared" si="10"/>
        <v>20</v>
      </c>
      <c r="M153" s="12">
        <v>2.7</v>
      </c>
      <c r="N153">
        <v>1</v>
      </c>
      <c r="O153" s="1">
        <v>0.93</v>
      </c>
      <c r="P153" s="1">
        <f t="shared" si="11"/>
        <v>0.93</v>
      </c>
    </row>
    <row r="154" spans="1:16" x14ac:dyDescent="0.35">
      <c r="A154" t="s">
        <v>383</v>
      </c>
      <c r="B154" t="s">
        <v>384</v>
      </c>
      <c r="C154" t="str">
        <f t="shared" si="8"/>
        <v>Cindy Martin</v>
      </c>
      <c r="D154" t="s">
        <v>38</v>
      </c>
      <c r="E154" t="str">
        <f t="shared" si="9"/>
        <v>Female</v>
      </c>
      <c r="F154" s="12">
        <v>55</v>
      </c>
      <c r="G154" t="s">
        <v>68</v>
      </c>
      <c r="H154" s="12" t="s">
        <v>69</v>
      </c>
      <c r="I154" t="s">
        <v>23</v>
      </c>
      <c r="J154" s="12">
        <v>12</v>
      </c>
      <c r="K154" s="3">
        <v>100</v>
      </c>
      <c r="L154" s="14">
        <f t="shared" si="10"/>
        <v>100</v>
      </c>
      <c r="M154" s="12">
        <v>1.8</v>
      </c>
      <c r="N154">
        <v>1</v>
      </c>
      <c r="O154">
        <v>16</v>
      </c>
      <c r="P154" s="1">
        <f t="shared" si="11"/>
        <v>0.16</v>
      </c>
    </row>
    <row r="155" spans="1:16" x14ac:dyDescent="0.35">
      <c r="A155" t="s">
        <v>385</v>
      </c>
      <c r="B155" t="s">
        <v>386</v>
      </c>
      <c r="C155" t="str">
        <f t="shared" si="8"/>
        <v>Anne Edwards</v>
      </c>
      <c r="D155" t="s">
        <v>74</v>
      </c>
      <c r="E155" t="str">
        <f t="shared" si="9"/>
        <v>Female</v>
      </c>
      <c r="F155" s="12">
        <v>38</v>
      </c>
      <c r="G155" t="s">
        <v>82</v>
      </c>
      <c r="H155" s="12" t="s">
        <v>83</v>
      </c>
      <c r="I155" t="s">
        <v>86</v>
      </c>
      <c r="J155" s="12">
        <v>20</v>
      </c>
      <c r="K155" s="3">
        <v>75</v>
      </c>
      <c r="L155" s="14">
        <f t="shared" si="10"/>
        <v>75</v>
      </c>
      <c r="M155" s="12">
        <v>1.1000000000000001</v>
      </c>
      <c r="N155">
        <v>1</v>
      </c>
      <c r="O155" s="1">
        <v>0.71</v>
      </c>
      <c r="P155" s="1">
        <f t="shared" si="11"/>
        <v>0.71</v>
      </c>
    </row>
    <row r="156" spans="1:16" x14ac:dyDescent="0.35">
      <c r="A156" t="s">
        <v>387</v>
      </c>
      <c r="B156" t="s">
        <v>388</v>
      </c>
      <c r="C156" t="str">
        <f t="shared" si="8"/>
        <v>Mitchell Martin</v>
      </c>
      <c r="D156" t="s">
        <v>94</v>
      </c>
      <c r="E156" t="str">
        <f t="shared" si="9"/>
        <v>Male</v>
      </c>
      <c r="F156" s="12">
        <v>47</v>
      </c>
      <c r="G156" t="s">
        <v>109</v>
      </c>
      <c r="H156" s="12" t="s">
        <v>110</v>
      </c>
      <c r="I156" t="s">
        <v>86</v>
      </c>
      <c r="J156" s="12">
        <v>29</v>
      </c>
      <c r="K156" s="3">
        <v>40</v>
      </c>
      <c r="L156" s="14">
        <f t="shared" si="10"/>
        <v>40</v>
      </c>
      <c r="M156" s="12">
        <v>4.3</v>
      </c>
      <c r="N156">
        <v>1</v>
      </c>
      <c r="O156" s="1">
        <v>0.95</v>
      </c>
      <c r="P156" s="1">
        <f t="shared" si="11"/>
        <v>0.95</v>
      </c>
    </row>
    <row r="157" spans="1:16" x14ac:dyDescent="0.35">
      <c r="A157" t="s">
        <v>389</v>
      </c>
      <c r="B157" t="s">
        <v>390</v>
      </c>
      <c r="C157" t="str">
        <f t="shared" si="8"/>
        <v>Mitchell Patrick</v>
      </c>
      <c r="D157" t="s">
        <v>27</v>
      </c>
      <c r="E157" t="str">
        <f t="shared" si="9"/>
        <v>Male</v>
      </c>
      <c r="F157" s="12">
        <v>60</v>
      </c>
      <c r="G157" t="s">
        <v>104</v>
      </c>
      <c r="H157" s="12" t="s">
        <v>105</v>
      </c>
      <c r="I157" t="s">
        <v>35</v>
      </c>
      <c r="J157" s="12">
        <v>15</v>
      </c>
      <c r="K157" s="3">
        <v>100</v>
      </c>
      <c r="L157" s="14">
        <f t="shared" si="10"/>
        <v>100</v>
      </c>
      <c r="M157" s="12">
        <v>1.5</v>
      </c>
      <c r="N157">
        <v>0</v>
      </c>
      <c r="O157">
        <v>80</v>
      </c>
      <c r="P157" s="1">
        <f t="shared" si="11"/>
        <v>0.8</v>
      </c>
    </row>
    <row r="158" spans="1:16" x14ac:dyDescent="0.35">
      <c r="A158" t="s">
        <v>391</v>
      </c>
      <c r="B158" t="s">
        <v>392</v>
      </c>
      <c r="C158" t="str">
        <f t="shared" si="8"/>
        <v>Rebecca Lyons</v>
      </c>
      <c r="D158" t="s">
        <v>20</v>
      </c>
      <c r="E158" t="str">
        <f t="shared" si="9"/>
        <v>Female</v>
      </c>
      <c r="F158" s="12">
        <v>43</v>
      </c>
      <c r="G158" t="s">
        <v>15</v>
      </c>
      <c r="H158" s="12" t="s">
        <v>16</v>
      </c>
      <c r="I158" t="s">
        <v>49</v>
      </c>
      <c r="J158" s="12">
        <v>9</v>
      </c>
      <c r="K158" s="3">
        <v>20</v>
      </c>
      <c r="L158" s="14">
        <f t="shared" si="10"/>
        <v>20</v>
      </c>
      <c r="M158" s="12">
        <v>2.2000000000000002</v>
      </c>
      <c r="N158">
        <v>0</v>
      </c>
      <c r="O158">
        <v>16</v>
      </c>
      <c r="P158" s="1">
        <f t="shared" si="11"/>
        <v>0.16</v>
      </c>
    </row>
    <row r="159" spans="1:16" x14ac:dyDescent="0.35">
      <c r="A159" t="s">
        <v>393</v>
      </c>
      <c r="B159" t="s">
        <v>394</v>
      </c>
      <c r="C159" t="str">
        <f t="shared" si="8"/>
        <v>Christian Lopez</v>
      </c>
      <c r="D159" t="s">
        <v>94</v>
      </c>
      <c r="E159" t="str">
        <f t="shared" si="9"/>
        <v>Male</v>
      </c>
      <c r="F159" s="12">
        <v>56</v>
      </c>
      <c r="G159" t="s">
        <v>149</v>
      </c>
      <c r="H159" s="12" t="s">
        <v>150</v>
      </c>
      <c r="I159" t="s">
        <v>49</v>
      </c>
      <c r="J159" s="12">
        <v>11</v>
      </c>
      <c r="K159" s="3">
        <v>100</v>
      </c>
      <c r="L159" s="14">
        <f t="shared" si="10"/>
        <v>100</v>
      </c>
      <c r="M159" s="12">
        <v>3.2</v>
      </c>
      <c r="N159">
        <v>0</v>
      </c>
      <c r="O159" s="1">
        <v>0.62</v>
      </c>
      <c r="P159" s="1">
        <f t="shared" si="11"/>
        <v>0.62</v>
      </c>
    </row>
    <row r="160" spans="1:16" x14ac:dyDescent="0.35">
      <c r="A160" t="s">
        <v>395</v>
      </c>
      <c r="B160" t="s">
        <v>396</v>
      </c>
      <c r="C160" t="str">
        <f t="shared" si="8"/>
        <v>Nathan Blair</v>
      </c>
      <c r="D160" t="s">
        <v>27</v>
      </c>
      <c r="E160" t="str">
        <f t="shared" si="9"/>
        <v>Male</v>
      </c>
      <c r="F160" s="12">
        <v>42</v>
      </c>
      <c r="G160" t="s">
        <v>120</v>
      </c>
      <c r="H160" s="12" t="s">
        <v>121</v>
      </c>
      <c r="I160" t="s">
        <v>86</v>
      </c>
      <c r="J160" s="12">
        <v>2</v>
      </c>
      <c r="K160" s="3">
        <v>50</v>
      </c>
      <c r="L160" s="14">
        <f t="shared" si="10"/>
        <v>50</v>
      </c>
      <c r="M160" s="12">
        <v>1.9</v>
      </c>
      <c r="N160">
        <v>0</v>
      </c>
      <c r="O160" s="1">
        <v>0.95</v>
      </c>
      <c r="P160" s="1">
        <f t="shared" si="11"/>
        <v>0.95</v>
      </c>
    </row>
    <row r="161" spans="1:16" x14ac:dyDescent="0.35">
      <c r="A161" t="s">
        <v>397</v>
      </c>
      <c r="B161" t="s">
        <v>398</v>
      </c>
      <c r="C161" t="str">
        <f t="shared" si="8"/>
        <v>Patricia Lopez</v>
      </c>
      <c r="D161" t="s">
        <v>74</v>
      </c>
      <c r="E161" t="str">
        <f t="shared" si="9"/>
        <v>Female</v>
      </c>
      <c r="F161" s="12">
        <v>20</v>
      </c>
      <c r="G161" t="s">
        <v>185</v>
      </c>
      <c r="H161" s="12" t="s">
        <v>69</v>
      </c>
      <c r="I161" t="s">
        <v>30</v>
      </c>
      <c r="J161" s="12">
        <v>11</v>
      </c>
      <c r="K161" s="3">
        <v>40</v>
      </c>
      <c r="L161" s="14">
        <f t="shared" si="10"/>
        <v>40</v>
      </c>
      <c r="M161" s="12">
        <v>2.5</v>
      </c>
      <c r="N161">
        <v>0</v>
      </c>
      <c r="O161" s="1">
        <v>0.79</v>
      </c>
      <c r="P161" s="1">
        <f t="shared" si="11"/>
        <v>0.79</v>
      </c>
    </row>
    <row r="162" spans="1:16" x14ac:dyDescent="0.35">
      <c r="A162" t="s">
        <v>399</v>
      </c>
      <c r="B162" t="s">
        <v>400</v>
      </c>
      <c r="C162" t="str">
        <f t="shared" si="8"/>
        <v>Michelle Wu</v>
      </c>
      <c r="D162" t="s">
        <v>38</v>
      </c>
      <c r="E162" t="str">
        <f t="shared" si="9"/>
        <v>Female</v>
      </c>
      <c r="F162" s="12">
        <v>47</v>
      </c>
      <c r="G162" t="s">
        <v>47</v>
      </c>
      <c r="H162" s="12" t="s">
        <v>48</v>
      </c>
      <c r="I162" t="s">
        <v>70</v>
      </c>
      <c r="J162" s="12">
        <v>12</v>
      </c>
      <c r="K162" s="3">
        <v>40</v>
      </c>
      <c r="L162" s="14">
        <f t="shared" si="10"/>
        <v>40</v>
      </c>
      <c r="M162" s="12">
        <v>4.5</v>
      </c>
      <c r="N162">
        <v>1</v>
      </c>
      <c r="O162" s="1">
        <v>0.62</v>
      </c>
      <c r="P162" s="1">
        <f t="shared" si="11"/>
        <v>0.62</v>
      </c>
    </row>
    <row r="163" spans="1:16" x14ac:dyDescent="0.35">
      <c r="A163" t="s">
        <v>401</v>
      </c>
      <c r="B163" t="s">
        <v>402</v>
      </c>
      <c r="C163" t="str">
        <f t="shared" si="8"/>
        <v>Donald Mitchell</v>
      </c>
      <c r="D163" t="s">
        <v>27</v>
      </c>
      <c r="E163" t="str">
        <f t="shared" si="9"/>
        <v>Male</v>
      </c>
      <c r="F163" s="12">
        <v>41</v>
      </c>
      <c r="G163" t="s">
        <v>68</v>
      </c>
      <c r="H163" s="12" t="s">
        <v>69</v>
      </c>
      <c r="I163" t="s">
        <v>49</v>
      </c>
      <c r="J163" s="12">
        <v>12</v>
      </c>
      <c r="K163" s="3">
        <v>30</v>
      </c>
      <c r="L163" s="14">
        <f t="shared" si="10"/>
        <v>30</v>
      </c>
      <c r="M163" s="12">
        <v>4.0999999999999996</v>
      </c>
      <c r="N163">
        <v>1</v>
      </c>
      <c r="O163" s="1">
        <v>0.68</v>
      </c>
      <c r="P163" s="1">
        <f t="shared" si="11"/>
        <v>0.68</v>
      </c>
    </row>
    <row r="164" spans="1:16" x14ac:dyDescent="0.35">
      <c r="A164" t="s">
        <v>403</v>
      </c>
      <c r="B164" t="s">
        <v>404</v>
      </c>
      <c r="C164" t="str">
        <f t="shared" si="8"/>
        <v>Sean Gordon</v>
      </c>
      <c r="D164" t="s">
        <v>27</v>
      </c>
      <c r="E164" t="str">
        <f t="shared" si="9"/>
        <v>Male</v>
      </c>
      <c r="F164" s="12">
        <v>56</v>
      </c>
      <c r="G164" t="s">
        <v>47</v>
      </c>
      <c r="H164" s="12" t="s">
        <v>48</v>
      </c>
      <c r="I164" t="s">
        <v>86</v>
      </c>
      <c r="J164" s="12">
        <v>15</v>
      </c>
      <c r="K164" s="3" t="s">
        <v>50</v>
      </c>
      <c r="L164" s="14" t="str">
        <f t="shared" si="10"/>
        <v>$ 75</v>
      </c>
      <c r="M164" s="12">
        <v>0</v>
      </c>
      <c r="N164">
        <v>1</v>
      </c>
      <c r="O164">
        <v>16</v>
      </c>
      <c r="P164" s="1">
        <f t="shared" si="11"/>
        <v>0.16</v>
      </c>
    </row>
    <row r="165" spans="1:16" x14ac:dyDescent="0.35">
      <c r="A165" t="s">
        <v>405</v>
      </c>
      <c r="B165" t="s">
        <v>406</v>
      </c>
      <c r="C165" t="str">
        <f t="shared" si="8"/>
        <v>Gregory Clarke</v>
      </c>
      <c r="D165" t="s">
        <v>94</v>
      </c>
      <c r="E165" t="str">
        <f t="shared" si="9"/>
        <v>Male</v>
      </c>
      <c r="F165" s="12">
        <v>59</v>
      </c>
      <c r="G165" t="s">
        <v>64</v>
      </c>
      <c r="H165" s="12" t="s">
        <v>22</v>
      </c>
      <c r="I165" t="s">
        <v>86</v>
      </c>
      <c r="J165" s="12">
        <v>29</v>
      </c>
      <c r="K165" s="3" t="s">
        <v>50</v>
      </c>
      <c r="L165" s="14" t="str">
        <f t="shared" si="10"/>
        <v>$ 75</v>
      </c>
      <c r="M165" s="12">
        <v>3</v>
      </c>
      <c r="N165">
        <v>0</v>
      </c>
      <c r="O165" s="1">
        <v>0.8</v>
      </c>
      <c r="P165" s="1">
        <f t="shared" si="11"/>
        <v>0.8</v>
      </c>
    </row>
    <row r="166" spans="1:16" x14ac:dyDescent="0.35">
      <c r="A166" t="s">
        <v>407</v>
      </c>
      <c r="B166" t="s">
        <v>408</v>
      </c>
      <c r="C166" t="str">
        <f t="shared" si="8"/>
        <v>Steven Whitney</v>
      </c>
      <c r="D166" t="s">
        <v>59</v>
      </c>
      <c r="E166" t="str">
        <f t="shared" si="9"/>
        <v>Male</v>
      </c>
      <c r="F166" s="12">
        <v>56</v>
      </c>
      <c r="G166" t="s">
        <v>82</v>
      </c>
      <c r="H166" s="12" t="s">
        <v>83</v>
      </c>
      <c r="I166" t="s">
        <v>75</v>
      </c>
      <c r="J166" s="12">
        <v>15</v>
      </c>
      <c r="K166" s="3">
        <v>40</v>
      </c>
      <c r="L166" s="14">
        <f t="shared" si="10"/>
        <v>40</v>
      </c>
      <c r="M166" s="12">
        <v>3.7</v>
      </c>
      <c r="N166">
        <v>1</v>
      </c>
      <c r="O166" s="1">
        <v>0.92</v>
      </c>
      <c r="P166" s="1">
        <f t="shared" si="11"/>
        <v>0.92</v>
      </c>
    </row>
    <row r="167" spans="1:16" x14ac:dyDescent="0.35">
      <c r="A167" t="s">
        <v>409</v>
      </c>
      <c r="B167" t="s">
        <v>410</v>
      </c>
      <c r="C167" t="str">
        <f t="shared" si="8"/>
        <v>Robin Acosta</v>
      </c>
      <c r="D167" t="s">
        <v>38</v>
      </c>
      <c r="E167" t="str">
        <f t="shared" si="9"/>
        <v>Female</v>
      </c>
      <c r="F167" s="12">
        <v>31</v>
      </c>
      <c r="G167" t="s">
        <v>149</v>
      </c>
      <c r="H167" s="12" t="s">
        <v>150</v>
      </c>
      <c r="I167" t="s">
        <v>35</v>
      </c>
      <c r="J167" s="12">
        <v>11</v>
      </c>
      <c r="K167" s="3" t="s">
        <v>50</v>
      </c>
      <c r="L167" s="14" t="str">
        <f t="shared" si="10"/>
        <v>$ 75</v>
      </c>
      <c r="M167" s="12">
        <v>1.3</v>
      </c>
      <c r="N167">
        <v>1</v>
      </c>
      <c r="O167" s="1">
        <v>0.65</v>
      </c>
      <c r="P167" s="1">
        <f t="shared" si="11"/>
        <v>0.65</v>
      </c>
    </row>
    <row r="168" spans="1:16" x14ac:dyDescent="0.35">
      <c r="A168" t="s">
        <v>411</v>
      </c>
      <c r="B168" t="s">
        <v>412</v>
      </c>
      <c r="C168" t="str">
        <f t="shared" si="8"/>
        <v>John Smith</v>
      </c>
      <c r="D168" t="s">
        <v>27</v>
      </c>
      <c r="E168" t="str">
        <f t="shared" si="9"/>
        <v>Male</v>
      </c>
      <c r="F168" s="12">
        <v>60</v>
      </c>
      <c r="G168" t="s">
        <v>109</v>
      </c>
      <c r="H168" s="12" t="s">
        <v>110</v>
      </c>
      <c r="I168" t="s">
        <v>23</v>
      </c>
      <c r="J168" s="12">
        <v>33</v>
      </c>
      <c r="K168" s="3">
        <v>40</v>
      </c>
      <c r="L168" s="14">
        <f t="shared" si="10"/>
        <v>40</v>
      </c>
      <c r="M168" s="12">
        <v>3.6</v>
      </c>
      <c r="N168">
        <v>1</v>
      </c>
      <c r="O168" s="1">
        <v>0.87</v>
      </c>
      <c r="P168" s="1">
        <f t="shared" si="11"/>
        <v>0.87</v>
      </c>
    </row>
    <row r="169" spans="1:16" x14ac:dyDescent="0.35">
      <c r="A169" t="s">
        <v>413</v>
      </c>
      <c r="B169" t="s">
        <v>414</v>
      </c>
      <c r="C169" t="str">
        <f t="shared" si="8"/>
        <v>Susan Baker</v>
      </c>
      <c r="D169" t="s">
        <v>20</v>
      </c>
      <c r="E169" t="str">
        <f t="shared" si="9"/>
        <v>Female</v>
      </c>
      <c r="F169" s="12">
        <v>31</v>
      </c>
      <c r="G169" t="s">
        <v>124</v>
      </c>
      <c r="H169" s="12" t="s">
        <v>22</v>
      </c>
      <c r="I169" t="s">
        <v>35</v>
      </c>
      <c r="J169" s="12">
        <v>10</v>
      </c>
      <c r="K169" s="3">
        <v>75</v>
      </c>
      <c r="L169" s="14">
        <f t="shared" si="10"/>
        <v>75</v>
      </c>
      <c r="M169" s="12">
        <v>0</v>
      </c>
      <c r="N169">
        <v>1</v>
      </c>
      <c r="O169" s="1">
        <v>0.7</v>
      </c>
      <c r="P169" s="1">
        <f t="shared" si="11"/>
        <v>0.7</v>
      </c>
    </row>
    <row r="170" spans="1:16" x14ac:dyDescent="0.35">
      <c r="A170" t="s">
        <v>415</v>
      </c>
      <c r="B170" t="s">
        <v>416</v>
      </c>
      <c r="C170" t="str">
        <f t="shared" si="8"/>
        <v>Anthony Larsen</v>
      </c>
      <c r="D170" t="s">
        <v>59</v>
      </c>
      <c r="E170" t="str">
        <f t="shared" si="9"/>
        <v>Male</v>
      </c>
      <c r="F170" s="12">
        <v>60</v>
      </c>
      <c r="G170" t="s">
        <v>68</v>
      </c>
      <c r="H170" s="12" t="s">
        <v>69</v>
      </c>
      <c r="I170" t="s">
        <v>75</v>
      </c>
      <c r="J170" s="12">
        <v>20</v>
      </c>
      <c r="K170" s="3">
        <v>40</v>
      </c>
      <c r="L170" s="14">
        <f t="shared" si="10"/>
        <v>40</v>
      </c>
      <c r="M170" s="12">
        <v>1.4</v>
      </c>
      <c r="N170">
        <v>1</v>
      </c>
      <c r="O170">
        <v>87</v>
      </c>
      <c r="P170" s="1">
        <f t="shared" si="11"/>
        <v>0.87</v>
      </c>
    </row>
    <row r="171" spans="1:16" x14ac:dyDescent="0.35">
      <c r="A171" t="s">
        <v>417</v>
      </c>
      <c r="B171" t="s">
        <v>418</v>
      </c>
      <c r="C171" t="str">
        <f t="shared" si="8"/>
        <v>Nicholas Carpenter</v>
      </c>
      <c r="D171" t="s">
        <v>59</v>
      </c>
      <c r="E171" t="str">
        <f t="shared" si="9"/>
        <v>Male</v>
      </c>
      <c r="F171" s="12">
        <v>46</v>
      </c>
      <c r="G171" t="s">
        <v>131</v>
      </c>
      <c r="H171" s="12" t="s">
        <v>132</v>
      </c>
      <c r="I171" t="s">
        <v>86</v>
      </c>
      <c r="J171" s="12">
        <v>23</v>
      </c>
      <c r="K171" s="3">
        <v>20</v>
      </c>
      <c r="L171" s="14">
        <f t="shared" si="10"/>
        <v>20</v>
      </c>
      <c r="M171" s="12">
        <v>2.9</v>
      </c>
      <c r="N171">
        <v>0</v>
      </c>
      <c r="O171" s="1">
        <v>0.72</v>
      </c>
      <c r="P171" s="1">
        <f t="shared" si="11"/>
        <v>0.72</v>
      </c>
    </row>
    <row r="172" spans="1:16" x14ac:dyDescent="0.35">
      <c r="A172" t="s">
        <v>419</v>
      </c>
      <c r="B172" t="s">
        <v>420</v>
      </c>
      <c r="C172" t="str">
        <f t="shared" si="8"/>
        <v>Debra Salazar</v>
      </c>
      <c r="D172" t="s">
        <v>38</v>
      </c>
      <c r="E172" t="str">
        <f t="shared" si="9"/>
        <v>Female</v>
      </c>
      <c r="F172" s="12">
        <v>41</v>
      </c>
      <c r="G172" t="s">
        <v>41</v>
      </c>
      <c r="H172" s="12" t="s">
        <v>42</v>
      </c>
      <c r="I172" t="s">
        <v>17</v>
      </c>
      <c r="J172" s="12">
        <v>11</v>
      </c>
      <c r="K172" s="3">
        <v>40</v>
      </c>
      <c r="L172" s="14">
        <f t="shared" si="10"/>
        <v>40</v>
      </c>
      <c r="M172" s="12">
        <v>2.8</v>
      </c>
      <c r="N172">
        <v>0</v>
      </c>
      <c r="O172" s="1">
        <v>0.8</v>
      </c>
      <c r="P172" s="1">
        <f t="shared" si="11"/>
        <v>0.8</v>
      </c>
    </row>
    <row r="173" spans="1:16" x14ac:dyDescent="0.35">
      <c r="A173" t="s">
        <v>421</v>
      </c>
      <c r="B173" t="s">
        <v>422</v>
      </c>
      <c r="C173" t="str">
        <f t="shared" si="8"/>
        <v>William Smith</v>
      </c>
      <c r="D173" t="s">
        <v>94</v>
      </c>
      <c r="E173" t="str">
        <f t="shared" si="9"/>
        <v>Male</v>
      </c>
      <c r="F173" s="12">
        <v>34</v>
      </c>
      <c r="G173" t="s">
        <v>82</v>
      </c>
      <c r="H173" s="12" t="s">
        <v>83</v>
      </c>
      <c r="I173" t="s">
        <v>70</v>
      </c>
      <c r="J173" s="12">
        <v>11</v>
      </c>
      <c r="K173" s="3">
        <v>20</v>
      </c>
      <c r="L173" s="14">
        <f t="shared" si="10"/>
        <v>20</v>
      </c>
      <c r="M173" s="12">
        <v>1.7</v>
      </c>
      <c r="N173">
        <v>0</v>
      </c>
      <c r="O173" s="1">
        <v>0.66</v>
      </c>
      <c r="P173" s="1">
        <f t="shared" si="11"/>
        <v>0.66</v>
      </c>
    </row>
    <row r="174" spans="1:16" x14ac:dyDescent="0.35">
      <c r="A174" t="s">
        <v>423</v>
      </c>
      <c r="B174" t="s">
        <v>424</v>
      </c>
      <c r="C174" t="str">
        <f t="shared" si="8"/>
        <v>Caroline Gross</v>
      </c>
      <c r="D174" t="s">
        <v>38</v>
      </c>
      <c r="E174" t="str">
        <f t="shared" si="9"/>
        <v>Female</v>
      </c>
      <c r="F174" s="12">
        <v>42</v>
      </c>
      <c r="G174" t="s">
        <v>41</v>
      </c>
      <c r="H174" s="12" t="s">
        <v>42</v>
      </c>
      <c r="I174" t="s">
        <v>30</v>
      </c>
      <c r="J174" s="12">
        <v>7</v>
      </c>
      <c r="K174" s="3" t="s">
        <v>53</v>
      </c>
      <c r="L174" s="14" t="str">
        <f t="shared" si="10"/>
        <v>$ 40</v>
      </c>
      <c r="M174" s="12">
        <v>0</v>
      </c>
      <c r="N174">
        <v>1</v>
      </c>
      <c r="O174">
        <v>16</v>
      </c>
      <c r="P174" s="1">
        <f t="shared" si="11"/>
        <v>0.16</v>
      </c>
    </row>
    <row r="175" spans="1:16" x14ac:dyDescent="0.35">
      <c r="A175" t="s">
        <v>425</v>
      </c>
      <c r="B175" t="s">
        <v>426</v>
      </c>
      <c r="C175" t="str">
        <f t="shared" si="8"/>
        <v>Jeremy Sawyer</v>
      </c>
      <c r="D175" t="s">
        <v>27</v>
      </c>
      <c r="E175" t="str">
        <f t="shared" si="9"/>
        <v>Male</v>
      </c>
      <c r="F175" s="12">
        <v>31</v>
      </c>
      <c r="G175" t="s">
        <v>64</v>
      </c>
      <c r="H175" s="12" t="s">
        <v>22</v>
      </c>
      <c r="I175" t="s">
        <v>49</v>
      </c>
      <c r="J175" s="12">
        <v>4</v>
      </c>
      <c r="K175" s="3" t="s">
        <v>50</v>
      </c>
      <c r="L175" s="14" t="str">
        <f t="shared" si="10"/>
        <v>$ 75</v>
      </c>
      <c r="M175" s="12">
        <v>1.1000000000000001</v>
      </c>
      <c r="N175">
        <v>1</v>
      </c>
      <c r="O175" s="1">
        <v>0.64</v>
      </c>
      <c r="P175" s="1">
        <f t="shared" si="11"/>
        <v>0.64</v>
      </c>
    </row>
    <row r="176" spans="1:16" x14ac:dyDescent="0.35">
      <c r="A176" t="s">
        <v>427</v>
      </c>
      <c r="B176" t="s">
        <v>428</v>
      </c>
      <c r="C176" t="str">
        <f t="shared" si="8"/>
        <v>Eduardo Burns</v>
      </c>
      <c r="D176" t="s">
        <v>27</v>
      </c>
      <c r="E176" t="str">
        <f t="shared" si="9"/>
        <v>Male</v>
      </c>
      <c r="F176" s="12">
        <v>29</v>
      </c>
      <c r="G176" t="s">
        <v>104</v>
      </c>
      <c r="H176" s="12" t="s">
        <v>105</v>
      </c>
      <c r="I176" t="s">
        <v>70</v>
      </c>
      <c r="J176" s="12">
        <v>9</v>
      </c>
      <c r="K176" s="3">
        <v>20</v>
      </c>
      <c r="L176" s="14">
        <f t="shared" si="10"/>
        <v>20</v>
      </c>
      <c r="M176" s="12">
        <v>3</v>
      </c>
      <c r="N176">
        <v>1</v>
      </c>
      <c r="O176" s="1">
        <v>0.68</v>
      </c>
      <c r="P176" s="1">
        <f t="shared" si="11"/>
        <v>0.68</v>
      </c>
    </row>
    <row r="177" spans="1:16" x14ac:dyDescent="0.35">
      <c r="A177" t="s">
        <v>429</v>
      </c>
      <c r="B177" t="s">
        <v>430</v>
      </c>
      <c r="C177" t="str">
        <f t="shared" si="8"/>
        <v>Amanda Jones</v>
      </c>
      <c r="D177" t="s">
        <v>38</v>
      </c>
      <c r="E177" t="str">
        <f t="shared" si="9"/>
        <v>Female</v>
      </c>
      <c r="F177" s="12">
        <v>57</v>
      </c>
      <c r="G177" t="s">
        <v>21</v>
      </c>
      <c r="H177" s="12" t="s">
        <v>22</v>
      </c>
      <c r="I177" t="s">
        <v>30</v>
      </c>
      <c r="J177" s="12">
        <v>17</v>
      </c>
      <c r="K177" s="3">
        <v>20</v>
      </c>
      <c r="L177" s="14">
        <f t="shared" si="10"/>
        <v>20</v>
      </c>
      <c r="M177" s="12">
        <v>3.6</v>
      </c>
      <c r="N177">
        <v>0</v>
      </c>
      <c r="O177" s="1">
        <v>0.63</v>
      </c>
      <c r="P177" s="1">
        <f t="shared" si="11"/>
        <v>0.63</v>
      </c>
    </row>
    <row r="178" spans="1:16" x14ac:dyDescent="0.35">
      <c r="A178" t="s">
        <v>431</v>
      </c>
      <c r="B178" t="s">
        <v>432</v>
      </c>
      <c r="C178" t="str">
        <f t="shared" si="8"/>
        <v>Frederick Ware</v>
      </c>
      <c r="D178" t="s">
        <v>59</v>
      </c>
      <c r="E178" t="str">
        <f t="shared" si="9"/>
        <v>Male</v>
      </c>
      <c r="F178" s="12">
        <v>47</v>
      </c>
      <c r="G178" t="s">
        <v>90</v>
      </c>
      <c r="H178" s="12" t="s">
        <v>91</v>
      </c>
      <c r="I178" t="s">
        <v>86</v>
      </c>
      <c r="J178" s="12">
        <v>8</v>
      </c>
      <c r="K178" s="3">
        <v>20</v>
      </c>
      <c r="L178" s="14">
        <f t="shared" si="10"/>
        <v>20</v>
      </c>
      <c r="M178" s="12">
        <v>4.5</v>
      </c>
      <c r="N178">
        <v>1</v>
      </c>
      <c r="O178" s="1">
        <v>0.72</v>
      </c>
      <c r="P178" s="1">
        <f t="shared" si="11"/>
        <v>0.72</v>
      </c>
    </row>
    <row r="179" spans="1:16" x14ac:dyDescent="0.35">
      <c r="A179" t="s">
        <v>433</v>
      </c>
      <c r="B179" t="s">
        <v>434</v>
      </c>
      <c r="C179" t="str">
        <f t="shared" si="8"/>
        <v>Michael Black</v>
      </c>
      <c r="D179" t="s">
        <v>59</v>
      </c>
      <c r="E179" t="str">
        <f t="shared" si="9"/>
        <v>Male</v>
      </c>
      <c r="F179" s="12">
        <v>47</v>
      </c>
      <c r="G179" t="s">
        <v>149</v>
      </c>
      <c r="H179" s="12" t="s">
        <v>150</v>
      </c>
      <c r="I179" t="s">
        <v>43</v>
      </c>
      <c r="J179" s="12">
        <v>14</v>
      </c>
      <c r="K179" s="3">
        <v>30</v>
      </c>
      <c r="L179" s="14">
        <f t="shared" si="10"/>
        <v>30</v>
      </c>
      <c r="M179" s="12">
        <v>0</v>
      </c>
      <c r="N179">
        <v>1</v>
      </c>
      <c r="O179" s="1">
        <v>0.86</v>
      </c>
      <c r="P179" s="1">
        <f t="shared" si="11"/>
        <v>0.86</v>
      </c>
    </row>
    <row r="180" spans="1:16" x14ac:dyDescent="0.35">
      <c r="A180" t="s">
        <v>435</v>
      </c>
      <c r="B180" t="s">
        <v>436</v>
      </c>
      <c r="C180" t="str">
        <f t="shared" si="8"/>
        <v>Patricia Sanders</v>
      </c>
      <c r="D180" t="s">
        <v>20</v>
      </c>
      <c r="E180" t="str">
        <f t="shared" si="9"/>
        <v>Female</v>
      </c>
      <c r="F180" s="12">
        <v>45</v>
      </c>
      <c r="G180" t="s">
        <v>131</v>
      </c>
      <c r="H180" s="12" t="s">
        <v>132</v>
      </c>
      <c r="I180" t="s">
        <v>30</v>
      </c>
      <c r="J180" s="12">
        <v>21</v>
      </c>
      <c r="K180" s="3" t="s">
        <v>106</v>
      </c>
      <c r="L180" s="14" t="str">
        <f t="shared" si="10"/>
        <v>$ 30</v>
      </c>
      <c r="M180" s="12">
        <v>1.5</v>
      </c>
      <c r="N180">
        <v>1</v>
      </c>
      <c r="O180" s="1">
        <v>0.73</v>
      </c>
      <c r="P180" s="1">
        <f t="shared" si="11"/>
        <v>0.73</v>
      </c>
    </row>
    <row r="181" spans="1:16" x14ac:dyDescent="0.35">
      <c r="A181" t="s">
        <v>437</v>
      </c>
      <c r="B181" t="s">
        <v>438</v>
      </c>
      <c r="C181" t="str">
        <f t="shared" si="8"/>
        <v>Marc Joseph</v>
      </c>
      <c r="D181" t="s">
        <v>27</v>
      </c>
      <c r="E181" t="str">
        <f t="shared" si="9"/>
        <v>Male</v>
      </c>
      <c r="F181" s="12">
        <v>24</v>
      </c>
      <c r="G181" t="s">
        <v>60</v>
      </c>
      <c r="H181" s="12" t="s">
        <v>61</v>
      </c>
      <c r="I181" t="s">
        <v>111</v>
      </c>
      <c r="J181" s="12">
        <v>1</v>
      </c>
      <c r="K181" s="3">
        <v>30</v>
      </c>
      <c r="L181" s="14">
        <f t="shared" si="10"/>
        <v>30</v>
      </c>
      <c r="M181" s="12">
        <v>3.7</v>
      </c>
      <c r="N181">
        <v>1</v>
      </c>
      <c r="O181" s="1">
        <v>0.95</v>
      </c>
      <c r="P181" s="1">
        <f t="shared" si="11"/>
        <v>0.95</v>
      </c>
    </row>
    <row r="182" spans="1:16" x14ac:dyDescent="0.35">
      <c r="A182" t="s">
        <v>439</v>
      </c>
      <c r="B182" t="s">
        <v>440</v>
      </c>
      <c r="C182" t="str">
        <f t="shared" si="8"/>
        <v>Vanessa White</v>
      </c>
      <c r="D182" t="s">
        <v>20</v>
      </c>
      <c r="E182" t="str">
        <f t="shared" si="9"/>
        <v>Female</v>
      </c>
      <c r="F182" s="12">
        <v>31</v>
      </c>
      <c r="G182" t="s">
        <v>68</v>
      </c>
      <c r="H182" s="12" t="s">
        <v>69</v>
      </c>
      <c r="I182" t="s">
        <v>23</v>
      </c>
      <c r="J182" s="12">
        <v>12</v>
      </c>
      <c r="K182" s="3">
        <v>20</v>
      </c>
      <c r="L182" s="14">
        <f t="shared" si="10"/>
        <v>20</v>
      </c>
      <c r="M182" s="12">
        <v>2.2999999999999998</v>
      </c>
      <c r="N182">
        <v>0</v>
      </c>
      <c r="O182" s="1">
        <v>0.9</v>
      </c>
      <c r="P182" s="1">
        <f t="shared" si="11"/>
        <v>0.9</v>
      </c>
    </row>
    <row r="183" spans="1:16" x14ac:dyDescent="0.35">
      <c r="A183" t="s">
        <v>441</v>
      </c>
      <c r="B183" t="s">
        <v>442</v>
      </c>
      <c r="C183" t="str">
        <f t="shared" si="8"/>
        <v>Jennifer Garcia</v>
      </c>
      <c r="D183" t="s">
        <v>38</v>
      </c>
      <c r="E183" t="str">
        <f t="shared" si="9"/>
        <v>Female</v>
      </c>
      <c r="F183" s="12">
        <v>20</v>
      </c>
      <c r="G183" t="s">
        <v>174</v>
      </c>
      <c r="H183" s="12" t="s">
        <v>69</v>
      </c>
      <c r="I183" t="s">
        <v>30</v>
      </c>
      <c r="J183" s="12">
        <v>2</v>
      </c>
      <c r="K183" s="3">
        <v>20</v>
      </c>
      <c r="L183" s="14">
        <f t="shared" si="10"/>
        <v>20</v>
      </c>
      <c r="M183" s="12">
        <v>2.8</v>
      </c>
      <c r="N183">
        <v>0</v>
      </c>
      <c r="O183" s="1">
        <v>0.78</v>
      </c>
      <c r="P183" s="1">
        <f t="shared" si="11"/>
        <v>0.78</v>
      </c>
    </row>
    <row r="184" spans="1:16" x14ac:dyDescent="0.35">
      <c r="A184" t="s">
        <v>443</v>
      </c>
      <c r="B184" t="s">
        <v>444</v>
      </c>
      <c r="C184" t="str">
        <f t="shared" si="8"/>
        <v>Michael Zavala</v>
      </c>
      <c r="D184" t="s">
        <v>59</v>
      </c>
      <c r="E184" t="str">
        <f t="shared" si="9"/>
        <v>Male</v>
      </c>
      <c r="F184" s="12">
        <v>38</v>
      </c>
      <c r="G184" t="s">
        <v>82</v>
      </c>
      <c r="H184" s="12" t="s">
        <v>83</v>
      </c>
      <c r="I184" t="s">
        <v>35</v>
      </c>
      <c r="J184" s="12">
        <v>3</v>
      </c>
      <c r="K184" s="3">
        <v>30</v>
      </c>
      <c r="L184" s="14">
        <f t="shared" si="10"/>
        <v>30</v>
      </c>
      <c r="M184" s="12">
        <v>3.5</v>
      </c>
      <c r="N184">
        <v>1</v>
      </c>
      <c r="O184" s="1">
        <v>0.97</v>
      </c>
      <c r="P184" s="1">
        <f t="shared" si="11"/>
        <v>0.97</v>
      </c>
    </row>
    <row r="185" spans="1:16" x14ac:dyDescent="0.35">
      <c r="A185" t="s">
        <v>445</v>
      </c>
      <c r="B185" t="s">
        <v>446</v>
      </c>
      <c r="C185" t="str">
        <f t="shared" si="8"/>
        <v>Kimberly Williams</v>
      </c>
      <c r="D185" t="s">
        <v>38</v>
      </c>
      <c r="E185" t="str">
        <f t="shared" si="9"/>
        <v>Female</v>
      </c>
      <c r="F185" s="12">
        <v>33</v>
      </c>
      <c r="G185" t="s">
        <v>28</v>
      </c>
      <c r="H185" s="12" t="s">
        <v>29</v>
      </c>
      <c r="I185" t="s">
        <v>70</v>
      </c>
      <c r="J185" s="12">
        <v>11</v>
      </c>
      <c r="K185" s="3">
        <v>40</v>
      </c>
      <c r="L185" s="14">
        <f t="shared" si="10"/>
        <v>40</v>
      </c>
      <c r="M185" s="12">
        <v>0</v>
      </c>
      <c r="N185">
        <v>1</v>
      </c>
      <c r="O185" s="1">
        <v>0.65</v>
      </c>
      <c r="P185" s="1">
        <f t="shared" si="11"/>
        <v>0.65</v>
      </c>
    </row>
    <row r="186" spans="1:16" x14ac:dyDescent="0.35">
      <c r="A186" t="s">
        <v>447</v>
      </c>
      <c r="B186" t="s">
        <v>448</v>
      </c>
      <c r="C186" t="str">
        <f t="shared" si="8"/>
        <v>Elizabeth Jenkins</v>
      </c>
      <c r="D186" t="s">
        <v>38</v>
      </c>
      <c r="E186" t="str">
        <f t="shared" si="9"/>
        <v>Female</v>
      </c>
      <c r="F186" s="12">
        <v>31</v>
      </c>
      <c r="G186" t="s">
        <v>21</v>
      </c>
      <c r="H186" s="12" t="s">
        <v>22</v>
      </c>
      <c r="I186" t="s">
        <v>35</v>
      </c>
      <c r="J186" s="12">
        <v>4</v>
      </c>
      <c r="K186" s="3">
        <v>40</v>
      </c>
      <c r="L186" s="14">
        <f t="shared" si="10"/>
        <v>40</v>
      </c>
      <c r="M186" s="12">
        <v>3.2</v>
      </c>
      <c r="N186">
        <v>1</v>
      </c>
      <c r="O186" s="1">
        <v>0.78</v>
      </c>
      <c r="P186" s="1">
        <f t="shared" si="11"/>
        <v>0.78</v>
      </c>
    </row>
    <row r="187" spans="1:16" x14ac:dyDescent="0.35">
      <c r="A187" t="s">
        <v>449</v>
      </c>
      <c r="B187" t="s">
        <v>450</v>
      </c>
      <c r="C187" t="str">
        <f t="shared" si="8"/>
        <v>Brandon Ford</v>
      </c>
      <c r="D187" t="s">
        <v>27</v>
      </c>
      <c r="E187" t="str">
        <f t="shared" si="9"/>
        <v>Male</v>
      </c>
      <c r="F187" s="12">
        <v>41</v>
      </c>
      <c r="G187" t="s">
        <v>185</v>
      </c>
      <c r="H187" s="12" t="s">
        <v>69</v>
      </c>
      <c r="I187" t="s">
        <v>111</v>
      </c>
      <c r="J187" s="12">
        <v>21</v>
      </c>
      <c r="K187" s="3">
        <v>50</v>
      </c>
      <c r="L187" s="14">
        <f t="shared" si="10"/>
        <v>50</v>
      </c>
      <c r="M187" s="12">
        <v>3.3</v>
      </c>
      <c r="N187">
        <v>1</v>
      </c>
      <c r="O187" s="1">
        <v>0.65</v>
      </c>
      <c r="P187" s="1">
        <f t="shared" si="11"/>
        <v>0.65</v>
      </c>
    </row>
    <row r="188" spans="1:16" x14ac:dyDescent="0.35">
      <c r="A188" t="s">
        <v>451</v>
      </c>
      <c r="B188" t="s">
        <v>452</v>
      </c>
      <c r="C188" t="str">
        <f t="shared" si="8"/>
        <v>Justin House</v>
      </c>
      <c r="D188" t="s">
        <v>59</v>
      </c>
      <c r="E188" t="str">
        <f t="shared" si="9"/>
        <v>Male</v>
      </c>
      <c r="F188" s="12">
        <v>54</v>
      </c>
      <c r="G188" t="s">
        <v>60</v>
      </c>
      <c r="H188" s="12" t="s">
        <v>61</v>
      </c>
      <c r="I188" t="s">
        <v>35</v>
      </c>
      <c r="J188" s="12">
        <v>11</v>
      </c>
      <c r="K188" s="3">
        <v>20</v>
      </c>
      <c r="L188" s="14">
        <f t="shared" si="10"/>
        <v>20</v>
      </c>
      <c r="M188" s="12">
        <v>4.9000000000000004</v>
      </c>
      <c r="N188">
        <v>1</v>
      </c>
      <c r="O188">
        <v>16</v>
      </c>
      <c r="P188" s="1">
        <f t="shared" si="11"/>
        <v>0.16</v>
      </c>
    </row>
    <row r="189" spans="1:16" x14ac:dyDescent="0.35">
      <c r="A189" t="s">
        <v>453</v>
      </c>
      <c r="B189" t="s">
        <v>454</v>
      </c>
      <c r="C189" t="str">
        <f t="shared" si="8"/>
        <v>Henry Mullen</v>
      </c>
      <c r="D189" t="s">
        <v>27</v>
      </c>
      <c r="E189" t="str">
        <f t="shared" si="9"/>
        <v>Male</v>
      </c>
      <c r="F189" s="12">
        <v>50</v>
      </c>
      <c r="G189" t="s">
        <v>174</v>
      </c>
      <c r="H189" s="12" t="s">
        <v>69</v>
      </c>
      <c r="I189" t="s">
        <v>49</v>
      </c>
      <c r="J189" s="12">
        <v>6</v>
      </c>
      <c r="K189" s="3">
        <v>30</v>
      </c>
      <c r="L189" s="14">
        <f t="shared" si="10"/>
        <v>30</v>
      </c>
      <c r="M189" s="12">
        <v>2.2000000000000002</v>
      </c>
      <c r="N189">
        <v>1</v>
      </c>
      <c r="O189" s="1">
        <v>0.95</v>
      </c>
      <c r="P189" s="1">
        <f t="shared" si="11"/>
        <v>0.95</v>
      </c>
    </row>
    <row r="190" spans="1:16" x14ac:dyDescent="0.35">
      <c r="A190" t="s">
        <v>455</v>
      </c>
      <c r="B190" t="s">
        <v>456</v>
      </c>
      <c r="C190" t="str">
        <f t="shared" si="8"/>
        <v>Jesse Cochran</v>
      </c>
      <c r="D190" t="s">
        <v>59</v>
      </c>
      <c r="E190" t="str">
        <f t="shared" si="9"/>
        <v>Male</v>
      </c>
      <c r="F190" s="12">
        <v>48</v>
      </c>
      <c r="G190" t="s">
        <v>104</v>
      </c>
      <c r="H190" s="12" t="s">
        <v>105</v>
      </c>
      <c r="I190" t="s">
        <v>111</v>
      </c>
      <c r="J190" s="12">
        <v>18</v>
      </c>
      <c r="K190" s="3" t="s">
        <v>53</v>
      </c>
      <c r="L190" s="14" t="str">
        <f t="shared" si="10"/>
        <v>$ 40</v>
      </c>
      <c r="M190" s="12">
        <v>3</v>
      </c>
      <c r="N190">
        <v>1</v>
      </c>
      <c r="O190" s="1">
        <v>0.88</v>
      </c>
      <c r="P190" s="1">
        <f t="shared" si="11"/>
        <v>0.88</v>
      </c>
    </row>
    <row r="191" spans="1:16" x14ac:dyDescent="0.35">
      <c r="A191" t="s">
        <v>457</v>
      </c>
      <c r="B191" t="s">
        <v>458</v>
      </c>
      <c r="C191" t="str">
        <f t="shared" si="8"/>
        <v>Melissa Rich</v>
      </c>
      <c r="D191" t="s">
        <v>38</v>
      </c>
      <c r="E191" t="str">
        <f t="shared" si="9"/>
        <v>Female</v>
      </c>
      <c r="F191" s="12">
        <v>49</v>
      </c>
      <c r="G191" t="s">
        <v>174</v>
      </c>
      <c r="H191" s="12" t="s">
        <v>69</v>
      </c>
      <c r="I191" t="s">
        <v>30</v>
      </c>
      <c r="J191" s="12">
        <v>11</v>
      </c>
      <c r="K191" s="3">
        <v>40</v>
      </c>
      <c r="L191" s="14">
        <f t="shared" si="10"/>
        <v>40</v>
      </c>
      <c r="M191" s="12">
        <v>1.8</v>
      </c>
      <c r="N191">
        <v>0</v>
      </c>
      <c r="O191">
        <v>16</v>
      </c>
      <c r="P191" s="1">
        <f t="shared" si="11"/>
        <v>0.16</v>
      </c>
    </row>
    <row r="192" spans="1:16" x14ac:dyDescent="0.35">
      <c r="A192" t="s">
        <v>459</v>
      </c>
      <c r="B192" t="s">
        <v>460</v>
      </c>
      <c r="C192" t="str">
        <f t="shared" si="8"/>
        <v>Patrick Dunlap</v>
      </c>
      <c r="D192" t="s">
        <v>94</v>
      </c>
      <c r="E192" t="str">
        <f t="shared" si="9"/>
        <v>Male</v>
      </c>
      <c r="F192" s="12">
        <v>21</v>
      </c>
      <c r="G192" t="s">
        <v>109</v>
      </c>
      <c r="H192" s="12" t="s">
        <v>110</v>
      </c>
      <c r="I192" t="s">
        <v>30</v>
      </c>
      <c r="J192" s="12">
        <v>1</v>
      </c>
      <c r="K192" s="3">
        <v>75</v>
      </c>
      <c r="L192" s="14">
        <f t="shared" si="10"/>
        <v>75</v>
      </c>
      <c r="M192" s="12">
        <v>4.5999999999999996</v>
      </c>
      <c r="N192">
        <v>0</v>
      </c>
      <c r="O192" s="1">
        <v>0.92</v>
      </c>
      <c r="P192" s="1">
        <f t="shared" si="11"/>
        <v>0.92</v>
      </c>
    </row>
    <row r="193" spans="1:16" x14ac:dyDescent="0.35">
      <c r="A193" t="s">
        <v>461</v>
      </c>
      <c r="B193" t="s">
        <v>462</v>
      </c>
      <c r="C193" t="str">
        <f t="shared" si="8"/>
        <v>Troy Carson</v>
      </c>
      <c r="D193" t="s">
        <v>27</v>
      </c>
      <c r="E193" t="str">
        <f t="shared" si="9"/>
        <v>Male</v>
      </c>
      <c r="F193" s="12">
        <v>58</v>
      </c>
      <c r="G193" t="s">
        <v>21</v>
      </c>
      <c r="H193" s="12" t="s">
        <v>22</v>
      </c>
      <c r="I193" t="s">
        <v>30</v>
      </c>
      <c r="J193" s="12">
        <v>20</v>
      </c>
      <c r="K193" s="3">
        <v>75</v>
      </c>
      <c r="L193" s="14">
        <f t="shared" si="10"/>
        <v>75</v>
      </c>
      <c r="M193" s="12">
        <v>2.8</v>
      </c>
      <c r="N193">
        <v>1</v>
      </c>
      <c r="O193" s="1">
        <v>0.75</v>
      </c>
      <c r="P193" s="1">
        <f t="shared" si="11"/>
        <v>0.75</v>
      </c>
    </row>
    <row r="194" spans="1:16" x14ac:dyDescent="0.35">
      <c r="A194" t="s">
        <v>463</v>
      </c>
      <c r="B194" t="s">
        <v>257</v>
      </c>
      <c r="C194" t="str">
        <f t="shared" si="8"/>
        <v>Matthew Smith</v>
      </c>
      <c r="D194" t="s">
        <v>59</v>
      </c>
      <c r="E194" t="str">
        <f t="shared" si="9"/>
        <v>Male</v>
      </c>
      <c r="F194" s="12">
        <v>41</v>
      </c>
      <c r="G194" t="s">
        <v>15</v>
      </c>
      <c r="H194" s="12" t="s">
        <v>16</v>
      </c>
      <c r="I194" t="s">
        <v>86</v>
      </c>
      <c r="J194" s="12">
        <v>11</v>
      </c>
      <c r="K194" s="3">
        <v>30</v>
      </c>
      <c r="L194" s="14">
        <f t="shared" si="10"/>
        <v>30</v>
      </c>
      <c r="M194" s="12">
        <v>1.4</v>
      </c>
      <c r="N194">
        <v>0</v>
      </c>
      <c r="O194" s="1">
        <v>0.74</v>
      </c>
      <c r="P194" s="1">
        <f t="shared" si="11"/>
        <v>0.74</v>
      </c>
    </row>
    <row r="195" spans="1:16" x14ac:dyDescent="0.35">
      <c r="A195" t="s">
        <v>464</v>
      </c>
      <c r="B195" t="s">
        <v>465</v>
      </c>
      <c r="C195" t="str">
        <f t="shared" ref="C195:C258" si="12">PROPER(B195)</f>
        <v>Jennifer Cherry</v>
      </c>
      <c r="D195" t="s">
        <v>38</v>
      </c>
      <c r="E195" t="str">
        <f t="shared" ref="E195:E258" si="13">PROPER(D195)</f>
        <v>Female</v>
      </c>
      <c r="F195" s="12">
        <v>58</v>
      </c>
      <c r="G195" t="s">
        <v>120</v>
      </c>
      <c r="H195" s="12" t="s">
        <v>121</v>
      </c>
      <c r="I195" t="s">
        <v>17</v>
      </c>
      <c r="J195" s="12">
        <v>25</v>
      </c>
      <c r="K195" s="3">
        <v>30</v>
      </c>
      <c r="L195" s="14">
        <f t="shared" ref="L195:L258" si="14">IF(K195="","",IF(LEFT(K195,3)="USD","$"&amp;MID(K195,4,LEN(K195)-3),K195))</f>
        <v>30</v>
      </c>
      <c r="M195" s="12">
        <v>4.2</v>
      </c>
      <c r="N195">
        <v>1</v>
      </c>
      <c r="O195" s="1">
        <v>0.71</v>
      </c>
      <c r="P195" s="1">
        <f t="shared" ref="P195:P258" si="15">IF(O195="","",IF(O195&lt;1,O195,O195/100))</f>
        <v>0.71</v>
      </c>
    </row>
    <row r="196" spans="1:16" x14ac:dyDescent="0.35">
      <c r="A196" t="s">
        <v>466</v>
      </c>
      <c r="B196" t="s">
        <v>467</v>
      </c>
      <c r="C196" t="str">
        <f t="shared" si="12"/>
        <v>Brandi Tucker</v>
      </c>
      <c r="D196" t="s">
        <v>38</v>
      </c>
      <c r="E196" t="str">
        <f t="shared" si="13"/>
        <v>Female</v>
      </c>
      <c r="F196" s="12">
        <v>50</v>
      </c>
      <c r="G196" t="s">
        <v>149</v>
      </c>
      <c r="H196" s="12" t="s">
        <v>150</v>
      </c>
      <c r="I196" t="s">
        <v>30</v>
      </c>
      <c r="J196" s="12">
        <v>20</v>
      </c>
      <c r="K196" s="3" t="s">
        <v>53</v>
      </c>
      <c r="L196" s="14" t="str">
        <f t="shared" si="14"/>
        <v>$ 40</v>
      </c>
      <c r="M196" s="12">
        <v>3.6</v>
      </c>
      <c r="N196">
        <v>1</v>
      </c>
      <c r="O196" s="1">
        <v>0.89</v>
      </c>
      <c r="P196" s="1">
        <f t="shared" si="15"/>
        <v>0.89</v>
      </c>
    </row>
    <row r="197" spans="1:16" x14ac:dyDescent="0.35">
      <c r="A197" t="s">
        <v>468</v>
      </c>
      <c r="B197" t="s">
        <v>469</v>
      </c>
      <c r="C197" t="str">
        <f t="shared" si="12"/>
        <v>Zachary Burke</v>
      </c>
      <c r="D197" t="s">
        <v>27</v>
      </c>
      <c r="E197" t="str">
        <f t="shared" si="13"/>
        <v>Male</v>
      </c>
      <c r="F197" s="12">
        <v>52</v>
      </c>
      <c r="G197" t="s">
        <v>47</v>
      </c>
      <c r="H197" s="12" t="s">
        <v>48</v>
      </c>
      <c r="I197" t="s">
        <v>35</v>
      </c>
      <c r="J197" s="12">
        <v>33</v>
      </c>
      <c r="K197" s="3">
        <v>100</v>
      </c>
      <c r="L197" s="14">
        <f t="shared" si="14"/>
        <v>100</v>
      </c>
      <c r="M197" s="12">
        <v>1.6</v>
      </c>
      <c r="N197">
        <v>1</v>
      </c>
      <c r="O197" s="1">
        <v>0.66</v>
      </c>
      <c r="P197" s="1">
        <f t="shared" si="15"/>
        <v>0.66</v>
      </c>
    </row>
    <row r="198" spans="1:16" x14ac:dyDescent="0.35">
      <c r="A198" t="s">
        <v>470</v>
      </c>
      <c r="B198" t="s">
        <v>471</v>
      </c>
      <c r="C198" t="str">
        <f t="shared" si="12"/>
        <v>Thomas Jones</v>
      </c>
      <c r="D198" t="s">
        <v>27</v>
      </c>
      <c r="E198" t="str">
        <f t="shared" si="13"/>
        <v>Male</v>
      </c>
      <c r="F198" s="12">
        <v>34</v>
      </c>
      <c r="G198" t="s">
        <v>41</v>
      </c>
      <c r="H198" s="12" t="s">
        <v>42</v>
      </c>
      <c r="I198" t="s">
        <v>49</v>
      </c>
      <c r="J198" s="12">
        <v>6</v>
      </c>
      <c r="K198" s="3">
        <v>100</v>
      </c>
      <c r="L198" s="14">
        <f t="shared" si="14"/>
        <v>100</v>
      </c>
      <c r="M198" s="12">
        <v>2</v>
      </c>
      <c r="N198">
        <v>1</v>
      </c>
      <c r="O198">
        <v>16</v>
      </c>
      <c r="P198" s="1">
        <f t="shared" si="15"/>
        <v>0.16</v>
      </c>
    </row>
    <row r="199" spans="1:16" x14ac:dyDescent="0.35">
      <c r="A199" t="s">
        <v>472</v>
      </c>
      <c r="B199" t="s">
        <v>473</v>
      </c>
      <c r="C199" t="str">
        <f t="shared" si="12"/>
        <v>Brian Dunn</v>
      </c>
      <c r="D199" t="s">
        <v>94</v>
      </c>
      <c r="E199" t="str">
        <f t="shared" si="13"/>
        <v>Male</v>
      </c>
      <c r="F199" s="12">
        <v>32</v>
      </c>
      <c r="G199" t="s">
        <v>131</v>
      </c>
      <c r="H199" s="12" t="s">
        <v>132</v>
      </c>
      <c r="I199" t="s">
        <v>111</v>
      </c>
      <c r="J199" s="12">
        <v>11</v>
      </c>
      <c r="K199" s="3">
        <v>40</v>
      </c>
      <c r="L199" s="14">
        <f t="shared" si="14"/>
        <v>40</v>
      </c>
      <c r="M199" s="12">
        <v>4.3</v>
      </c>
      <c r="N199">
        <v>1</v>
      </c>
      <c r="O199" s="1">
        <v>0.86</v>
      </c>
      <c r="P199" s="1">
        <f t="shared" si="15"/>
        <v>0.86</v>
      </c>
    </row>
    <row r="200" spans="1:16" x14ac:dyDescent="0.35">
      <c r="A200" t="s">
        <v>474</v>
      </c>
      <c r="B200" t="s">
        <v>475</v>
      </c>
      <c r="C200" t="str">
        <f t="shared" si="12"/>
        <v>Shirley Strickland</v>
      </c>
      <c r="D200" t="s">
        <v>38</v>
      </c>
      <c r="E200" t="str">
        <f t="shared" si="13"/>
        <v>Female</v>
      </c>
      <c r="F200" s="12">
        <v>50</v>
      </c>
      <c r="G200" t="s">
        <v>90</v>
      </c>
      <c r="H200" s="12" t="s">
        <v>91</v>
      </c>
      <c r="I200" t="s">
        <v>30</v>
      </c>
      <c r="J200" s="12">
        <v>28</v>
      </c>
      <c r="K200" s="3">
        <v>100</v>
      </c>
      <c r="L200" s="14">
        <f t="shared" si="14"/>
        <v>100</v>
      </c>
      <c r="M200" s="12">
        <v>4.9000000000000004</v>
      </c>
      <c r="N200">
        <v>1</v>
      </c>
      <c r="O200" s="1">
        <v>0.86</v>
      </c>
      <c r="P200" s="1">
        <f t="shared" si="15"/>
        <v>0.86</v>
      </c>
    </row>
    <row r="201" spans="1:16" x14ac:dyDescent="0.35">
      <c r="A201" t="s">
        <v>476</v>
      </c>
      <c r="B201" t="s">
        <v>477</v>
      </c>
      <c r="C201" t="str">
        <f t="shared" si="12"/>
        <v>Nicole Meyers</v>
      </c>
      <c r="D201" t="s">
        <v>38</v>
      </c>
      <c r="E201" t="str">
        <f t="shared" si="13"/>
        <v>Female</v>
      </c>
      <c r="F201" s="12">
        <v>39</v>
      </c>
      <c r="G201" t="s">
        <v>68</v>
      </c>
      <c r="H201" s="12" t="s">
        <v>69</v>
      </c>
      <c r="I201" t="s">
        <v>49</v>
      </c>
      <c r="J201" s="12">
        <v>11</v>
      </c>
      <c r="K201" s="3">
        <v>100</v>
      </c>
      <c r="L201" s="14">
        <f t="shared" si="14"/>
        <v>100</v>
      </c>
      <c r="M201" s="12">
        <v>3.5</v>
      </c>
      <c r="N201">
        <v>1</v>
      </c>
      <c r="O201" s="1">
        <v>0.82</v>
      </c>
      <c r="P201" s="1">
        <f t="shared" si="15"/>
        <v>0.82</v>
      </c>
    </row>
    <row r="202" spans="1:16" x14ac:dyDescent="0.35">
      <c r="A202" t="s">
        <v>478</v>
      </c>
      <c r="B202" t="s">
        <v>479</v>
      </c>
      <c r="C202" t="str">
        <f t="shared" si="12"/>
        <v>Jill Stephens</v>
      </c>
      <c r="D202" t="s">
        <v>38</v>
      </c>
      <c r="E202" t="str">
        <f t="shared" si="13"/>
        <v>Female</v>
      </c>
      <c r="F202" s="12">
        <v>25</v>
      </c>
      <c r="G202" t="s">
        <v>185</v>
      </c>
      <c r="H202" s="12" t="s">
        <v>69</v>
      </c>
      <c r="I202" t="s">
        <v>43</v>
      </c>
      <c r="J202" s="12">
        <v>2</v>
      </c>
      <c r="K202" s="3">
        <v>100</v>
      </c>
      <c r="L202" s="14">
        <f t="shared" si="14"/>
        <v>100</v>
      </c>
      <c r="M202" s="12">
        <v>2.5</v>
      </c>
      <c r="N202">
        <v>1</v>
      </c>
      <c r="O202">
        <v>87</v>
      </c>
      <c r="P202" s="1">
        <f t="shared" si="15"/>
        <v>0.87</v>
      </c>
    </row>
    <row r="203" spans="1:16" x14ac:dyDescent="0.35">
      <c r="A203" t="s">
        <v>480</v>
      </c>
      <c r="B203" t="s">
        <v>481</v>
      </c>
      <c r="C203" t="str">
        <f t="shared" si="12"/>
        <v>Heidi Miranda</v>
      </c>
      <c r="D203" t="s">
        <v>20</v>
      </c>
      <c r="E203" t="str">
        <f t="shared" si="13"/>
        <v>Female</v>
      </c>
      <c r="F203" s="12">
        <v>55</v>
      </c>
      <c r="G203" t="s">
        <v>170</v>
      </c>
      <c r="H203" s="12" t="s">
        <v>171</v>
      </c>
      <c r="I203" t="s">
        <v>111</v>
      </c>
      <c r="J203" s="12">
        <v>7</v>
      </c>
      <c r="K203" s="3">
        <v>100</v>
      </c>
      <c r="L203" s="14">
        <f t="shared" si="14"/>
        <v>100</v>
      </c>
      <c r="M203" s="12">
        <v>1.7</v>
      </c>
      <c r="N203">
        <v>1</v>
      </c>
      <c r="O203" s="1">
        <v>0.8</v>
      </c>
      <c r="P203" s="1">
        <f t="shared" si="15"/>
        <v>0.8</v>
      </c>
    </row>
    <row r="204" spans="1:16" x14ac:dyDescent="0.35">
      <c r="A204" t="s">
        <v>482</v>
      </c>
      <c r="B204" t="s">
        <v>483</v>
      </c>
      <c r="C204" t="str">
        <f t="shared" si="12"/>
        <v>Jesus Martinez</v>
      </c>
      <c r="D204" t="s">
        <v>27</v>
      </c>
      <c r="E204" t="str">
        <f t="shared" si="13"/>
        <v>Male</v>
      </c>
      <c r="F204" s="12">
        <v>42</v>
      </c>
      <c r="G204" t="s">
        <v>15</v>
      </c>
      <c r="H204" s="12" t="s">
        <v>16</v>
      </c>
      <c r="I204" t="s">
        <v>86</v>
      </c>
      <c r="J204" s="12">
        <v>10</v>
      </c>
      <c r="K204" s="3" t="s">
        <v>24</v>
      </c>
      <c r="L204" s="14" t="str">
        <f t="shared" si="14"/>
        <v>$ 100</v>
      </c>
      <c r="M204" s="12">
        <v>4.5999999999999996</v>
      </c>
      <c r="N204">
        <v>1</v>
      </c>
      <c r="O204" s="1">
        <v>0.71</v>
      </c>
      <c r="P204" s="1">
        <f t="shared" si="15"/>
        <v>0.71</v>
      </c>
    </row>
    <row r="205" spans="1:16" x14ac:dyDescent="0.35">
      <c r="A205" t="s">
        <v>484</v>
      </c>
      <c r="B205" t="s">
        <v>485</v>
      </c>
      <c r="C205" t="str">
        <f t="shared" si="12"/>
        <v>Adam Payne</v>
      </c>
      <c r="D205" t="s">
        <v>27</v>
      </c>
      <c r="E205" t="str">
        <f t="shared" si="13"/>
        <v>Male</v>
      </c>
      <c r="F205" s="12">
        <v>43</v>
      </c>
      <c r="G205" t="s">
        <v>120</v>
      </c>
      <c r="H205" s="12" t="s">
        <v>121</v>
      </c>
      <c r="I205" t="s">
        <v>23</v>
      </c>
      <c r="J205" s="12">
        <v>6</v>
      </c>
      <c r="K205" s="3">
        <v>50</v>
      </c>
      <c r="L205" s="14">
        <f t="shared" si="14"/>
        <v>50</v>
      </c>
      <c r="M205" s="12">
        <v>3</v>
      </c>
      <c r="N205">
        <v>0</v>
      </c>
      <c r="O205" s="1">
        <v>0.77</v>
      </c>
      <c r="P205" s="1">
        <f t="shared" si="15"/>
        <v>0.77</v>
      </c>
    </row>
    <row r="206" spans="1:16" x14ac:dyDescent="0.35">
      <c r="A206" t="s">
        <v>486</v>
      </c>
      <c r="B206" t="s">
        <v>487</v>
      </c>
      <c r="C206" t="str">
        <f t="shared" si="12"/>
        <v>Walter Williams</v>
      </c>
      <c r="D206" t="s">
        <v>27</v>
      </c>
      <c r="E206" t="str">
        <f t="shared" si="13"/>
        <v>Male</v>
      </c>
      <c r="F206" s="12">
        <v>54</v>
      </c>
      <c r="G206" t="s">
        <v>15</v>
      </c>
      <c r="H206" s="12" t="s">
        <v>16</v>
      </c>
      <c r="I206" t="s">
        <v>86</v>
      </c>
      <c r="J206" s="12">
        <v>29</v>
      </c>
      <c r="K206" s="3">
        <v>30</v>
      </c>
      <c r="L206" s="14">
        <f t="shared" si="14"/>
        <v>30</v>
      </c>
      <c r="M206" s="12">
        <v>1.7</v>
      </c>
      <c r="N206">
        <v>0</v>
      </c>
      <c r="O206">
        <v>68</v>
      </c>
      <c r="P206" s="1">
        <f t="shared" si="15"/>
        <v>0.68</v>
      </c>
    </row>
    <row r="207" spans="1:16" x14ac:dyDescent="0.35">
      <c r="A207" t="s">
        <v>488</v>
      </c>
      <c r="B207" t="s">
        <v>489</v>
      </c>
      <c r="C207" t="str">
        <f t="shared" si="12"/>
        <v>Shannon Farmer</v>
      </c>
      <c r="D207" t="s">
        <v>20</v>
      </c>
      <c r="E207" t="str">
        <f t="shared" si="13"/>
        <v>Female</v>
      </c>
      <c r="F207" s="12">
        <v>21</v>
      </c>
      <c r="G207" t="s">
        <v>135</v>
      </c>
      <c r="H207" s="12" t="s">
        <v>136</v>
      </c>
      <c r="I207" t="s">
        <v>30</v>
      </c>
      <c r="J207" s="12">
        <v>11</v>
      </c>
      <c r="K207" s="3">
        <v>20</v>
      </c>
      <c r="L207" s="14">
        <f t="shared" si="14"/>
        <v>20</v>
      </c>
      <c r="M207" s="12">
        <v>1.8</v>
      </c>
      <c r="N207">
        <v>0</v>
      </c>
      <c r="O207" s="1">
        <v>0.91</v>
      </c>
      <c r="P207" s="1">
        <f t="shared" si="15"/>
        <v>0.91</v>
      </c>
    </row>
    <row r="208" spans="1:16" x14ac:dyDescent="0.35">
      <c r="A208" t="s">
        <v>490</v>
      </c>
      <c r="B208" t="s">
        <v>491</v>
      </c>
      <c r="C208" t="str">
        <f t="shared" si="12"/>
        <v>Peter Reyes</v>
      </c>
      <c r="D208" t="s">
        <v>27</v>
      </c>
      <c r="E208" t="str">
        <f t="shared" si="13"/>
        <v>Male</v>
      </c>
      <c r="F208" s="12">
        <v>46</v>
      </c>
      <c r="G208" t="s">
        <v>124</v>
      </c>
      <c r="H208" s="12" t="s">
        <v>22</v>
      </c>
      <c r="I208" t="s">
        <v>70</v>
      </c>
      <c r="J208" s="12">
        <v>5</v>
      </c>
      <c r="K208" s="3">
        <v>20</v>
      </c>
      <c r="L208" s="14">
        <f t="shared" si="14"/>
        <v>20</v>
      </c>
      <c r="M208" s="12">
        <v>2.2000000000000002</v>
      </c>
      <c r="N208">
        <v>0</v>
      </c>
      <c r="O208" s="1">
        <v>0.75</v>
      </c>
      <c r="P208" s="1">
        <f t="shared" si="15"/>
        <v>0.75</v>
      </c>
    </row>
    <row r="209" spans="1:16" x14ac:dyDescent="0.35">
      <c r="A209" t="s">
        <v>492</v>
      </c>
      <c r="B209" t="s">
        <v>493</v>
      </c>
      <c r="C209" t="str">
        <f t="shared" si="12"/>
        <v>Kristen Knight</v>
      </c>
      <c r="D209" t="s">
        <v>38</v>
      </c>
      <c r="E209" t="str">
        <f t="shared" si="13"/>
        <v>Female</v>
      </c>
      <c r="F209" s="12">
        <v>30</v>
      </c>
      <c r="G209" t="s">
        <v>185</v>
      </c>
      <c r="H209" s="12" t="s">
        <v>69</v>
      </c>
      <c r="I209" t="s">
        <v>17</v>
      </c>
      <c r="J209" s="12">
        <v>11</v>
      </c>
      <c r="K209" s="3">
        <v>40</v>
      </c>
      <c r="L209" s="14">
        <f t="shared" si="14"/>
        <v>40</v>
      </c>
      <c r="M209" s="12">
        <v>1</v>
      </c>
      <c r="N209">
        <v>0</v>
      </c>
      <c r="O209" s="1">
        <v>0.9</v>
      </c>
      <c r="P209" s="1">
        <f t="shared" si="15"/>
        <v>0.9</v>
      </c>
    </row>
    <row r="210" spans="1:16" x14ac:dyDescent="0.35">
      <c r="A210" t="s">
        <v>494</v>
      </c>
      <c r="B210" t="s">
        <v>495</v>
      </c>
      <c r="C210" t="str">
        <f t="shared" si="12"/>
        <v>William Moore Jr.</v>
      </c>
      <c r="D210" t="s">
        <v>27</v>
      </c>
      <c r="E210" t="str">
        <f t="shared" si="13"/>
        <v>Male</v>
      </c>
      <c r="F210" s="12">
        <v>36</v>
      </c>
      <c r="G210" t="s">
        <v>170</v>
      </c>
      <c r="H210" s="12" t="s">
        <v>171</v>
      </c>
      <c r="I210" t="s">
        <v>111</v>
      </c>
      <c r="J210" s="12">
        <v>11</v>
      </c>
      <c r="K210" s="3">
        <v>75</v>
      </c>
      <c r="L210" s="14">
        <f t="shared" si="14"/>
        <v>75</v>
      </c>
      <c r="M210" s="12">
        <v>3.2</v>
      </c>
      <c r="N210">
        <v>0</v>
      </c>
      <c r="O210">
        <v>93</v>
      </c>
      <c r="P210" s="1">
        <f t="shared" si="15"/>
        <v>0.93</v>
      </c>
    </row>
    <row r="211" spans="1:16" x14ac:dyDescent="0.35">
      <c r="A211" t="s">
        <v>496</v>
      </c>
      <c r="B211" t="s">
        <v>497</v>
      </c>
      <c r="C211" t="str">
        <f t="shared" si="12"/>
        <v>Jennifer Rowe</v>
      </c>
      <c r="D211" t="s">
        <v>74</v>
      </c>
      <c r="E211" t="str">
        <f t="shared" si="13"/>
        <v>Female</v>
      </c>
      <c r="F211" s="12">
        <v>47</v>
      </c>
      <c r="G211" t="s">
        <v>28</v>
      </c>
      <c r="H211" s="12" t="s">
        <v>29</v>
      </c>
      <c r="I211" t="s">
        <v>49</v>
      </c>
      <c r="J211" s="12">
        <v>15</v>
      </c>
      <c r="K211" s="3">
        <v>40</v>
      </c>
      <c r="L211" s="14">
        <f t="shared" si="14"/>
        <v>40</v>
      </c>
      <c r="M211" s="12">
        <v>2.1</v>
      </c>
      <c r="N211">
        <v>1</v>
      </c>
      <c r="O211" s="1">
        <v>0.94</v>
      </c>
      <c r="P211" s="1">
        <f t="shared" si="15"/>
        <v>0.94</v>
      </c>
    </row>
    <row r="212" spans="1:16" x14ac:dyDescent="0.35">
      <c r="A212" t="s">
        <v>498</v>
      </c>
      <c r="B212" t="s">
        <v>499</v>
      </c>
      <c r="C212" t="str">
        <f t="shared" si="12"/>
        <v>Mikayla Henry</v>
      </c>
      <c r="D212" t="s">
        <v>38</v>
      </c>
      <c r="E212" t="str">
        <f t="shared" si="13"/>
        <v>Female</v>
      </c>
      <c r="F212" s="12">
        <v>43</v>
      </c>
      <c r="G212" t="s">
        <v>124</v>
      </c>
      <c r="H212" s="12" t="s">
        <v>22</v>
      </c>
      <c r="I212" t="s">
        <v>23</v>
      </c>
      <c r="J212" s="12">
        <v>1</v>
      </c>
      <c r="K212" s="3" t="s">
        <v>95</v>
      </c>
      <c r="L212" s="14" t="str">
        <f t="shared" si="14"/>
        <v>$ 50</v>
      </c>
      <c r="M212" s="12">
        <v>4.5999999999999996</v>
      </c>
      <c r="N212">
        <v>1</v>
      </c>
      <c r="O212">
        <v>64</v>
      </c>
      <c r="P212" s="1">
        <f t="shared" si="15"/>
        <v>0.64</v>
      </c>
    </row>
    <row r="213" spans="1:16" x14ac:dyDescent="0.35">
      <c r="A213" t="s">
        <v>500</v>
      </c>
      <c r="B213" t="s">
        <v>501</v>
      </c>
      <c r="C213" t="str">
        <f t="shared" si="12"/>
        <v>Jacob Kerr</v>
      </c>
      <c r="D213" t="s">
        <v>27</v>
      </c>
      <c r="E213" t="str">
        <f t="shared" si="13"/>
        <v>Male</v>
      </c>
      <c r="F213" s="12">
        <v>57</v>
      </c>
      <c r="G213" t="s">
        <v>109</v>
      </c>
      <c r="H213" s="12" t="s">
        <v>110</v>
      </c>
      <c r="I213" t="s">
        <v>75</v>
      </c>
      <c r="J213" s="12">
        <v>8</v>
      </c>
      <c r="K213" s="3">
        <v>20</v>
      </c>
      <c r="L213" s="14">
        <f t="shared" si="14"/>
        <v>20</v>
      </c>
      <c r="M213" s="12">
        <v>0</v>
      </c>
      <c r="N213">
        <v>1</v>
      </c>
      <c r="O213" s="1">
        <v>0.84</v>
      </c>
      <c r="P213" s="1">
        <f t="shared" si="15"/>
        <v>0.84</v>
      </c>
    </row>
    <row r="214" spans="1:16" x14ac:dyDescent="0.35">
      <c r="A214" t="s">
        <v>502</v>
      </c>
      <c r="B214" t="s">
        <v>503</v>
      </c>
      <c r="C214" t="str">
        <f t="shared" si="12"/>
        <v>Ryan Johnson</v>
      </c>
      <c r="D214" t="s">
        <v>27</v>
      </c>
      <c r="E214" t="str">
        <f t="shared" si="13"/>
        <v>Male</v>
      </c>
      <c r="F214" s="12">
        <v>52</v>
      </c>
      <c r="G214" t="s">
        <v>15</v>
      </c>
      <c r="H214" s="12" t="s">
        <v>16</v>
      </c>
      <c r="I214" t="s">
        <v>111</v>
      </c>
      <c r="J214" s="12">
        <v>30</v>
      </c>
      <c r="K214" s="3">
        <v>20</v>
      </c>
      <c r="L214" s="14">
        <f t="shared" si="14"/>
        <v>20</v>
      </c>
      <c r="M214" s="12">
        <v>2.8</v>
      </c>
      <c r="N214">
        <v>1</v>
      </c>
      <c r="O214" s="1">
        <v>0.87</v>
      </c>
      <c r="P214" s="1">
        <f t="shared" si="15"/>
        <v>0.87</v>
      </c>
    </row>
    <row r="215" spans="1:16" x14ac:dyDescent="0.35">
      <c r="A215" t="s">
        <v>504</v>
      </c>
      <c r="B215" t="s">
        <v>505</v>
      </c>
      <c r="C215" t="str">
        <f t="shared" si="12"/>
        <v>Michael Ruiz</v>
      </c>
      <c r="D215" t="s">
        <v>59</v>
      </c>
      <c r="E215" t="str">
        <f t="shared" si="13"/>
        <v>Male</v>
      </c>
      <c r="F215" s="12">
        <v>41</v>
      </c>
      <c r="G215" t="s">
        <v>28</v>
      </c>
      <c r="H215" s="12" t="s">
        <v>29</v>
      </c>
      <c r="I215" t="s">
        <v>17</v>
      </c>
      <c r="J215" s="12">
        <v>8</v>
      </c>
      <c r="K215" s="3">
        <v>40</v>
      </c>
      <c r="L215" s="14">
        <f t="shared" si="14"/>
        <v>40</v>
      </c>
      <c r="M215" s="12">
        <v>0</v>
      </c>
      <c r="N215">
        <v>0</v>
      </c>
      <c r="O215" s="1">
        <v>0.64</v>
      </c>
      <c r="P215" s="1">
        <f t="shared" si="15"/>
        <v>0.64</v>
      </c>
    </row>
    <row r="216" spans="1:16" x14ac:dyDescent="0.35">
      <c r="A216" t="s">
        <v>506</v>
      </c>
      <c r="B216" t="s">
        <v>507</v>
      </c>
      <c r="C216" t="str">
        <f t="shared" si="12"/>
        <v>Monica Roberts</v>
      </c>
      <c r="D216" t="s">
        <v>38</v>
      </c>
      <c r="E216" t="str">
        <f t="shared" si="13"/>
        <v>Female</v>
      </c>
      <c r="F216" s="12">
        <v>22</v>
      </c>
      <c r="G216" t="s">
        <v>47</v>
      </c>
      <c r="H216" s="12" t="s">
        <v>48</v>
      </c>
      <c r="I216" t="s">
        <v>111</v>
      </c>
      <c r="J216" s="12">
        <v>11</v>
      </c>
      <c r="K216" s="3">
        <v>100</v>
      </c>
      <c r="L216" s="14">
        <f t="shared" si="14"/>
        <v>100</v>
      </c>
      <c r="M216" s="12">
        <v>2.7</v>
      </c>
      <c r="N216">
        <v>1</v>
      </c>
      <c r="O216" s="1">
        <v>0.64</v>
      </c>
      <c r="P216" s="1">
        <f t="shared" si="15"/>
        <v>0.64</v>
      </c>
    </row>
    <row r="217" spans="1:16" x14ac:dyDescent="0.35">
      <c r="A217" t="s">
        <v>508</v>
      </c>
      <c r="B217" t="s">
        <v>509</v>
      </c>
      <c r="C217" t="str">
        <f t="shared" si="12"/>
        <v>Danny Brown</v>
      </c>
      <c r="D217" t="s">
        <v>27</v>
      </c>
      <c r="E217" t="str">
        <f t="shared" si="13"/>
        <v>Male</v>
      </c>
      <c r="F217" s="12">
        <v>41</v>
      </c>
      <c r="G217" t="s">
        <v>90</v>
      </c>
      <c r="H217" s="12" t="s">
        <v>91</v>
      </c>
      <c r="I217" t="s">
        <v>111</v>
      </c>
      <c r="J217" s="12">
        <v>12</v>
      </c>
      <c r="K217" s="3">
        <v>20</v>
      </c>
      <c r="L217" s="14">
        <f t="shared" si="14"/>
        <v>20</v>
      </c>
      <c r="M217" s="12">
        <v>0</v>
      </c>
      <c r="N217">
        <v>1</v>
      </c>
      <c r="O217" s="1">
        <v>0.8</v>
      </c>
      <c r="P217" s="1">
        <f t="shared" si="15"/>
        <v>0.8</v>
      </c>
    </row>
    <row r="218" spans="1:16" x14ac:dyDescent="0.35">
      <c r="A218" t="s">
        <v>510</v>
      </c>
      <c r="B218" t="s">
        <v>511</v>
      </c>
      <c r="C218" t="str">
        <f t="shared" si="12"/>
        <v>Karen Larsen</v>
      </c>
      <c r="D218" t="s">
        <v>38</v>
      </c>
      <c r="E218" t="str">
        <f t="shared" si="13"/>
        <v>Female</v>
      </c>
      <c r="F218" s="12">
        <v>58</v>
      </c>
      <c r="G218" t="s">
        <v>185</v>
      </c>
      <c r="H218" s="12" t="s">
        <v>69</v>
      </c>
      <c r="I218" t="s">
        <v>23</v>
      </c>
      <c r="J218" s="12">
        <v>4</v>
      </c>
      <c r="K218" s="3">
        <v>50</v>
      </c>
      <c r="L218" s="14">
        <f t="shared" si="14"/>
        <v>50</v>
      </c>
      <c r="M218" s="12">
        <v>3.1</v>
      </c>
      <c r="N218">
        <v>0</v>
      </c>
      <c r="O218" s="1">
        <v>0.9</v>
      </c>
      <c r="P218" s="1">
        <f t="shared" si="15"/>
        <v>0.9</v>
      </c>
    </row>
    <row r="219" spans="1:16" x14ac:dyDescent="0.35">
      <c r="A219" t="s">
        <v>512</v>
      </c>
      <c r="B219" t="s">
        <v>513</v>
      </c>
      <c r="C219" t="str">
        <f t="shared" si="12"/>
        <v>Robert Evans</v>
      </c>
      <c r="D219" t="s">
        <v>27</v>
      </c>
      <c r="E219" t="str">
        <f t="shared" si="13"/>
        <v>Male</v>
      </c>
      <c r="F219" s="12">
        <v>39</v>
      </c>
      <c r="G219" t="s">
        <v>109</v>
      </c>
      <c r="H219" s="12" t="s">
        <v>110</v>
      </c>
      <c r="I219" t="s">
        <v>35</v>
      </c>
      <c r="J219" s="12">
        <v>14</v>
      </c>
      <c r="K219" s="3" t="s">
        <v>24</v>
      </c>
      <c r="L219" s="14" t="str">
        <f t="shared" si="14"/>
        <v>$ 100</v>
      </c>
      <c r="M219" s="12">
        <v>0</v>
      </c>
      <c r="N219">
        <v>1</v>
      </c>
      <c r="O219" s="1">
        <v>0.92</v>
      </c>
      <c r="P219" s="1">
        <f t="shared" si="15"/>
        <v>0.92</v>
      </c>
    </row>
    <row r="220" spans="1:16" x14ac:dyDescent="0.35">
      <c r="A220" t="s">
        <v>514</v>
      </c>
      <c r="B220" t="s">
        <v>515</v>
      </c>
      <c r="C220" t="str">
        <f t="shared" si="12"/>
        <v>Sean Poole</v>
      </c>
      <c r="D220" t="s">
        <v>27</v>
      </c>
      <c r="E220" t="str">
        <f t="shared" si="13"/>
        <v>Male</v>
      </c>
      <c r="F220" s="12">
        <v>32</v>
      </c>
      <c r="G220" t="s">
        <v>47</v>
      </c>
      <c r="H220" s="12" t="s">
        <v>48</v>
      </c>
      <c r="I220" t="s">
        <v>30</v>
      </c>
      <c r="J220" s="12">
        <v>14</v>
      </c>
      <c r="K220" s="3">
        <v>40</v>
      </c>
      <c r="L220" s="14">
        <f t="shared" si="14"/>
        <v>40</v>
      </c>
      <c r="M220" s="12">
        <v>3</v>
      </c>
      <c r="N220">
        <v>0</v>
      </c>
      <c r="O220" s="1">
        <v>0.96</v>
      </c>
      <c r="P220" s="1">
        <f t="shared" si="15"/>
        <v>0.96</v>
      </c>
    </row>
    <row r="221" spans="1:16" x14ac:dyDescent="0.35">
      <c r="A221" t="s">
        <v>516</v>
      </c>
      <c r="B221" t="s">
        <v>517</v>
      </c>
      <c r="C221" t="str">
        <f t="shared" si="12"/>
        <v>Richard Quinn</v>
      </c>
      <c r="D221" t="s">
        <v>27</v>
      </c>
      <c r="E221" t="str">
        <f t="shared" si="13"/>
        <v>Male</v>
      </c>
      <c r="F221" s="12">
        <v>37</v>
      </c>
      <c r="G221" t="s">
        <v>124</v>
      </c>
      <c r="H221" s="12" t="s">
        <v>22</v>
      </c>
      <c r="I221" t="s">
        <v>70</v>
      </c>
      <c r="J221" s="12">
        <v>2</v>
      </c>
      <c r="K221" s="3">
        <v>30</v>
      </c>
      <c r="L221" s="14">
        <f t="shared" si="14"/>
        <v>30</v>
      </c>
      <c r="M221" s="12">
        <v>2.2999999999999998</v>
      </c>
      <c r="N221">
        <v>1</v>
      </c>
      <c r="O221">
        <v>16</v>
      </c>
      <c r="P221" s="1">
        <f t="shared" si="15"/>
        <v>0.16</v>
      </c>
    </row>
    <row r="222" spans="1:16" x14ac:dyDescent="0.35">
      <c r="A222" t="s">
        <v>518</v>
      </c>
      <c r="B222" t="s">
        <v>519</v>
      </c>
      <c r="C222" t="str">
        <f t="shared" si="12"/>
        <v>Jennifer Gonzalez</v>
      </c>
      <c r="D222" t="s">
        <v>20</v>
      </c>
      <c r="E222" t="str">
        <f t="shared" si="13"/>
        <v>Female</v>
      </c>
      <c r="F222" s="12">
        <v>21</v>
      </c>
      <c r="G222" t="s">
        <v>170</v>
      </c>
      <c r="H222" s="12" t="s">
        <v>171</v>
      </c>
      <c r="I222" t="s">
        <v>75</v>
      </c>
      <c r="J222" s="12">
        <v>2</v>
      </c>
      <c r="K222" s="3">
        <v>100</v>
      </c>
      <c r="L222" s="14">
        <f t="shared" si="14"/>
        <v>100</v>
      </c>
      <c r="M222" s="12">
        <v>2.4</v>
      </c>
      <c r="N222">
        <v>1</v>
      </c>
      <c r="O222">
        <v>16</v>
      </c>
      <c r="P222" s="1">
        <f t="shared" si="15"/>
        <v>0.16</v>
      </c>
    </row>
    <row r="223" spans="1:16" x14ac:dyDescent="0.35">
      <c r="A223" t="s">
        <v>520</v>
      </c>
      <c r="B223" t="s">
        <v>521</v>
      </c>
      <c r="C223" t="str">
        <f t="shared" si="12"/>
        <v>James Skinner</v>
      </c>
      <c r="D223" t="s">
        <v>59</v>
      </c>
      <c r="E223" t="str">
        <f t="shared" si="13"/>
        <v>Male</v>
      </c>
      <c r="F223" s="12">
        <v>41</v>
      </c>
      <c r="G223" t="s">
        <v>109</v>
      </c>
      <c r="H223" s="12" t="s">
        <v>110</v>
      </c>
      <c r="I223" t="s">
        <v>111</v>
      </c>
      <c r="J223" s="12">
        <v>4</v>
      </c>
      <c r="K223" s="3">
        <v>75</v>
      </c>
      <c r="L223" s="14">
        <f t="shared" si="14"/>
        <v>75</v>
      </c>
      <c r="M223" s="12">
        <v>2.6</v>
      </c>
      <c r="N223">
        <v>1</v>
      </c>
      <c r="O223" s="1">
        <v>0.85</v>
      </c>
      <c r="P223" s="1">
        <f t="shared" si="15"/>
        <v>0.85</v>
      </c>
    </row>
    <row r="224" spans="1:16" x14ac:dyDescent="0.35">
      <c r="A224" t="s">
        <v>522</v>
      </c>
      <c r="B224" t="s">
        <v>523</v>
      </c>
      <c r="C224" t="str">
        <f t="shared" si="12"/>
        <v>Michelle Hill</v>
      </c>
      <c r="D224" t="s">
        <v>38</v>
      </c>
      <c r="E224" t="str">
        <f t="shared" si="13"/>
        <v>Female</v>
      </c>
      <c r="F224" s="12">
        <v>21</v>
      </c>
      <c r="G224" t="s">
        <v>124</v>
      </c>
      <c r="H224" s="12" t="s">
        <v>22</v>
      </c>
      <c r="I224" t="s">
        <v>43</v>
      </c>
      <c r="J224" s="12">
        <v>11</v>
      </c>
      <c r="K224" s="3" t="s">
        <v>53</v>
      </c>
      <c r="L224" s="14" t="str">
        <f t="shared" si="14"/>
        <v>$ 40</v>
      </c>
      <c r="M224" s="12">
        <v>1.1000000000000001</v>
      </c>
      <c r="N224">
        <v>0</v>
      </c>
      <c r="O224" s="1">
        <v>0.79</v>
      </c>
      <c r="P224" s="1">
        <f t="shared" si="15"/>
        <v>0.79</v>
      </c>
    </row>
    <row r="225" spans="1:16" x14ac:dyDescent="0.35">
      <c r="A225" t="s">
        <v>524</v>
      </c>
      <c r="B225" t="s">
        <v>525</v>
      </c>
      <c r="C225" t="str">
        <f t="shared" si="12"/>
        <v>Jacqueline Williams</v>
      </c>
      <c r="D225" t="s">
        <v>38</v>
      </c>
      <c r="E225" t="str">
        <f t="shared" si="13"/>
        <v>Female</v>
      </c>
      <c r="F225" s="12">
        <v>58</v>
      </c>
      <c r="G225" t="s">
        <v>170</v>
      </c>
      <c r="H225" s="12" t="s">
        <v>171</v>
      </c>
      <c r="I225" t="s">
        <v>111</v>
      </c>
      <c r="J225" s="12">
        <v>9</v>
      </c>
      <c r="K225" s="3">
        <v>30</v>
      </c>
      <c r="L225" s="14">
        <f t="shared" si="14"/>
        <v>30</v>
      </c>
      <c r="M225" s="12">
        <v>0</v>
      </c>
      <c r="N225">
        <v>1</v>
      </c>
      <c r="O225" s="1">
        <v>0.65</v>
      </c>
      <c r="P225" s="1">
        <f t="shared" si="15"/>
        <v>0.65</v>
      </c>
    </row>
    <row r="226" spans="1:16" x14ac:dyDescent="0.35">
      <c r="A226" t="s">
        <v>526</v>
      </c>
      <c r="B226" t="s">
        <v>527</v>
      </c>
      <c r="C226" t="str">
        <f t="shared" si="12"/>
        <v>Darrell Johnson</v>
      </c>
      <c r="D226" t="s">
        <v>94</v>
      </c>
      <c r="E226" t="str">
        <f t="shared" si="13"/>
        <v>Male</v>
      </c>
      <c r="F226" s="12">
        <v>60</v>
      </c>
      <c r="G226" t="s">
        <v>124</v>
      </c>
      <c r="H226" s="12" t="s">
        <v>22</v>
      </c>
      <c r="I226" t="s">
        <v>111</v>
      </c>
      <c r="J226" s="12">
        <v>3</v>
      </c>
      <c r="K226" s="3">
        <v>40</v>
      </c>
      <c r="L226" s="14">
        <f t="shared" si="14"/>
        <v>40</v>
      </c>
      <c r="M226" s="12">
        <v>4.7</v>
      </c>
      <c r="N226">
        <v>0</v>
      </c>
      <c r="O226" s="1">
        <v>0.63</v>
      </c>
      <c r="P226" s="1">
        <f t="shared" si="15"/>
        <v>0.63</v>
      </c>
    </row>
    <row r="227" spans="1:16" x14ac:dyDescent="0.35">
      <c r="A227" t="s">
        <v>528</v>
      </c>
      <c r="B227" t="s">
        <v>529</v>
      </c>
      <c r="C227" t="str">
        <f t="shared" si="12"/>
        <v>Ryan Crawford</v>
      </c>
      <c r="D227" t="s">
        <v>27</v>
      </c>
      <c r="E227" t="str">
        <f t="shared" si="13"/>
        <v>Male</v>
      </c>
      <c r="F227" s="12">
        <v>27</v>
      </c>
      <c r="G227" t="s">
        <v>149</v>
      </c>
      <c r="H227" s="12" t="s">
        <v>150</v>
      </c>
      <c r="I227" t="s">
        <v>35</v>
      </c>
      <c r="J227" s="12">
        <v>2</v>
      </c>
      <c r="K227" s="3">
        <v>40</v>
      </c>
      <c r="L227" s="14">
        <f t="shared" si="14"/>
        <v>40</v>
      </c>
      <c r="M227" s="12">
        <v>1.2</v>
      </c>
      <c r="N227">
        <v>0</v>
      </c>
      <c r="O227">
        <v>16</v>
      </c>
      <c r="P227" s="1">
        <f t="shared" si="15"/>
        <v>0.16</v>
      </c>
    </row>
    <row r="228" spans="1:16" x14ac:dyDescent="0.35">
      <c r="A228" t="s">
        <v>530</v>
      </c>
      <c r="B228" t="s">
        <v>531</v>
      </c>
      <c r="C228" t="str">
        <f t="shared" si="12"/>
        <v>Chelsea Barber</v>
      </c>
      <c r="D228" t="s">
        <v>38</v>
      </c>
      <c r="E228" t="str">
        <f t="shared" si="13"/>
        <v>Female</v>
      </c>
      <c r="F228" s="12">
        <v>29</v>
      </c>
      <c r="G228" t="s">
        <v>28</v>
      </c>
      <c r="H228" s="12" t="s">
        <v>29</v>
      </c>
      <c r="I228" t="s">
        <v>111</v>
      </c>
      <c r="J228" s="12">
        <v>10</v>
      </c>
      <c r="K228" s="3" t="s">
        <v>53</v>
      </c>
      <c r="L228" s="14" t="str">
        <f t="shared" si="14"/>
        <v>$ 40</v>
      </c>
      <c r="M228" s="12">
        <v>1.2</v>
      </c>
      <c r="N228">
        <v>0</v>
      </c>
      <c r="O228" s="1">
        <v>0.78</v>
      </c>
      <c r="P228" s="1">
        <f t="shared" si="15"/>
        <v>0.78</v>
      </c>
    </row>
    <row r="229" spans="1:16" x14ac:dyDescent="0.35">
      <c r="A229" t="s">
        <v>532</v>
      </c>
      <c r="B229" t="s">
        <v>533</v>
      </c>
      <c r="C229" t="str">
        <f t="shared" si="12"/>
        <v>Elaine Martinez</v>
      </c>
      <c r="D229" t="s">
        <v>74</v>
      </c>
      <c r="E229" t="str">
        <f t="shared" si="13"/>
        <v>Female</v>
      </c>
      <c r="F229" s="12">
        <v>54</v>
      </c>
      <c r="G229" t="s">
        <v>124</v>
      </c>
      <c r="H229" s="12" t="s">
        <v>22</v>
      </c>
      <c r="I229" t="s">
        <v>30</v>
      </c>
      <c r="J229" s="12">
        <v>33</v>
      </c>
      <c r="K229" s="3">
        <v>75</v>
      </c>
      <c r="L229" s="14">
        <f t="shared" si="14"/>
        <v>75</v>
      </c>
      <c r="M229" s="12">
        <v>0</v>
      </c>
      <c r="N229">
        <v>1</v>
      </c>
      <c r="O229" s="1">
        <v>0.62</v>
      </c>
      <c r="P229" s="1">
        <f t="shared" si="15"/>
        <v>0.62</v>
      </c>
    </row>
    <row r="230" spans="1:16" x14ac:dyDescent="0.35">
      <c r="A230" t="s">
        <v>534</v>
      </c>
      <c r="B230" t="s">
        <v>535</v>
      </c>
      <c r="C230" t="str">
        <f t="shared" si="12"/>
        <v>Joseph Kent</v>
      </c>
      <c r="D230" t="s">
        <v>27</v>
      </c>
      <c r="E230" t="str">
        <f t="shared" si="13"/>
        <v>Male</v>
      </c>
      <c r="F230" s="12">
        <v>52</v>
      </c>
      <c r="G230" t="s">
        <v>174</v>
      </c>
      <c r="H230" s="12" t="s">
        <v>69</v>
      </c>
      <c r="I230" t="s">
        <v>111</v>
      </c>
      <c r="J230" s="12">
        <v>12</v>
      </c>
      <c r="K230" s="3">
        <v>40</v>
      </c>
      <c r="L230" s="14">
        <f t="shared" si="14"/>
        <v>40</v>
      </c>
      <c r="M230" s="12">
        <v>1.2</v>
      </c>
      <c r="N230">
        <v>0</v>
      </c>
      <c r="O230" s="1">
        <v>0.76</v>
      </c>
      <c r="P230" s="1">
        <f t="shared" si="15"/>
        <v>0.76</v>
      </c>
    </row>
    <row r="231" spans="1:16" x14ac:dyDescent="0.35">
      <c r="A231" t="s">
        <v>536</v>
      </c>
      <c r="B231" t="s">
        <v>537</v>
      </c>
      <c r="C231" t="str">
        <f t="shared" si="12"/>
        <v>Megan Welch</v>
      </c>
      <c r="D231" t="s">
        <v>20</v>
      </c>
      <c r="E231" t="str">
        <f t="shared" si="13"/>
        <v>Female</v>
      </c>
      <c r="F231" s="12">
        <v>55</v>
      </c>
      <c r="G231" t="s">
        <v>47</v>
      </c>
      <c r="H231" s="12" t="s">
        <v>48</v>
      </c>
      <c r="I231" t="s">
        <v>17</v>
      </c>
      <c r="J231" s="12">
        <v>18</v>
      </c>
      <c r="K231" s="3">
        <v>100</v>
      </c>
      <c r="L231" s="14">
        <f t="shared" si="14"/>
        <v>100</v>
      </c>
      <c r="M231" s="12">
        <v>2.9</v>
      </c>
      <c r="N231">
        <v>0</v>
      </c>
      <c r="O231">
        <v>97</v>
      </c>
      <c r="P231" s="1">
        <f t="shared" si="15"/>
        <v>0.97</v>
      </c>
    </row>
    <row r="232" spans="1:16" x14ac:dyDescent="0.35">
      <c r="A232" t="s">
        <v>538</v>
      </c>
      <c r="B232" t="s">
        <v>539</v>
      </c>
      <c r="C232" t="str">
        <f t="shared" si="12"/>
        <v>Stephen Ramirez</v>
      </c>
      <c r="D232" t="s">
        <v>27</v>
      </c>
      <c r="E232" t="str">
        <f t="shared" si="13"/>
        <v>Male</v>
      </c>
      <c r="F232" s="12">
        <v>37</v>
      </c>
      <c r="G232" t="s">
        <v>104</v>
      </c>
      <c r="H232" s="12" t="s">
        <v>105</v>
      </c>
      <c r="I232" t="s">
        <v>17</v>
      </c>
      <c r="J232" s="12">
        <v>4</v>
      </c>
      <c r="K232" s="3">
        <v>40</v>
      </c>
      <c r="L232" s="14">
        <f t="shared" si="14"/>
        <v>40</v>
      </c>
      <c r="M232" s="12">
        <v>3</v>
      </c>
      <c r="N232">
        <v>0</v>
      </c>
      <c r="O232">
        <v>16</v>
      </c>
      <c r="P232" s="1">
        <f t="shared" si="15"/>
        <v>0.16</v>
      </c>
    </row>
    <row r="233" spans="1:16" x14ac:dyDescent="0.35">
      <c r="A233" t="s">
        <v>540</v>
      </c>
      <c r="B233" t="s">
        <v>541</v>
      </c>
      <c r="C233" t="str">
        <f t="shared" si="12"/>
        <v>Chloe Gray</v>
      </c>
      <c r="D233" t="s">
        <v>38</v>
      </c>
      <c r="E233" t="str">
        <f t="shared" si="13"/>
        <v>Female</v>
      </c>
      <c r="F233" s="12">
        <v>34</v>
      </c>
      <c r="G233" t="s">
        <v>135</v>
      </c>
      <c r="H233" s="12" t="s">
        <v>136</v>
      </c>
      <c r="I233" t="s">
        <v>49</v>
      </c>
      <c r="J233" s="12">
        <v>11</v>
      </c>
      <c r="K233" s="3">
        <v>50</v>
      </c>
      <c r="L233" s="14">
        <f t="shared" si="14"/>
        <v>50</v>
      </c>
      <c r="M233" s="12">
        <v>3.9</v>
      </c>
      <c r="N233">
        <v>1</v>
      </c>
      <c r="O233" s="1">
        <v>0.82</v>
      </c>
      <c r="P233" s="1">
        <f t="shared" si="15"/>
        <v>0.82</v>
      </c>
    </row>
    <row r="234" spans="1:16" x14ac:dyDescent="0.35">
      <c r="A234" t="s">
        <v>542</v>
      </c>
      <c r="B234" t="s">
        <v>543</v>
      </c>
      <c r="C234" t="str">
        <f t="shared" si="12"/>
        <v>Michael Williams Jr.</v>
      </c>
      <c r="D234" t="s">
        <v>27</v>
      </c>
      <c r="E234" t="str">
        <f t="shared" si="13"/>
        <v>Male</v>
      </c>
      <c r="F234" s="12">
        <v>20</v>
      </c>
      <c r="G234" t="s">
        <v>131</v>
      </c>
      <c r="H234" s="12" t="s">
        <v>132</v>
      </c>
      <c r="I234" t="s">
        <v>49</v>
      </c>
      <c r="J234" s="12">
        <v>1</v>
      </c>
      <c r="K234" s="3">
        <v>50</v>
      </c>
      <c r="L234" s="14">
        <f t="shared" si="14"/>
        <v>50</v>
      </c>
      <c r="M234" s="12">
        <v>3.1</v>
      </c>
      <c r="N234">
        <v>1</v>
      </c>
      <c r="O234" s="1">
        <v>0.71</v>
      </c>
      <c r="P234" s="1">
        <f t="shared" si="15"/>
        <v>0.71</v>
      </c>
    </row>
    <row r="235" spans="1:16" x14ac:dyDescent="0.35">
      <c r="A235" t="s">
        <v>544</v>
      </c>
      <c r="B235" t="s">
        <v>545</v>
      </c>
      <c r="C235" t="str">
        <f t="shared" si="12"/>
        <v>Matthew Martin</v>
      </c>
      <c r="D235" t="s">
        <v>27</v>
      </c>
      <c r="E235" t="str">
        <f t="shared" si="13"/>
        <v>Male</v>
      </c>
      <c r="F235" s="12">
        <v>22</v>
      </c>
      <c r="G235" t="s">
        <v>174</v>
      </c>
      <c r="H235" s="12" t="s">
        <v>69</v>
      </c>
      <c r="I235" t="s">
        <v>70</v>
      </c>
      <c r="J235" s="12">
        <v>2</v>
      </c>
      <c r="K235" s="3">
        <v>40</v>
      </c>
      <c r="L235" s="14">
        <f t="shared" si="14"/>
        <v>40</v>
      </c>
      <c r="M235" s="12">
        <v>0</v>
      </c>
      <c r="N235">
        <v>1</v>
      </c>
      <c r="O235">
        <v>16</v>
      </c>
      <c r="P235" s="1">
        <f t="shared" si="15"/>
        <v>0.16</v>
      </c>
    </row>
    <row r="236" spans="1:16" x14ac:dyDescent="0.35">
      <c r="A236" t="s">
        <v>546</v>
      </c>
      <c r="B236" t="s">
        <v>547</v>
      </c>
      <c r="C236" t="str">
        <f t="shared" si="12"/>
        <v>Julia Murphy</v>
      </c>
      <c r="D236" t="s">
        <v>38</v>
      </c>
      <c r="E236" t="str">
        <f t="shared" si="13"/>
        <v>Female</v>
      </c>
      <c r="F236" s="12">
        <v>23</v>
      </c>
      <c r="G236" t="s">
        <v>109</v>
      </c>
      <c r="H236" s="12" t="s">
        <v>110</v>
      </c>
      <c r="I236" t="s">
        <v>30</v>
      </c>
      <c r="J236" s="12">
        <v>2</v>
      </c>
      <c r="K236" s="3">
        <v>50</v>
      </c>
      <c r="L236" s="14">
        <f t="shared" si="14"/>
        <v>50</v>
      </c>
      <c r="M236" s="12">
        <v>3.2</v>
      </c>
      <c r="N236">
        <v>1</v>
      </c>
      <c r="O236">
        <v>16</v>
      </c>
      <c r="P236" s="1">
        <f t="shared" si="15"/>
        <v>0.16</v>
      </c>
    </row>
    <row r="237" spans="1:16" x14ac:dyDescent="0.35">
      <c r="A237" t="s">
        <v>548</v>
      </c>
      <c r="B237" t="s">
        <v>549</v>
      </c>
      <c r="C237" t="str">
        <f t="shared" si="12"/>
        <v>Anna Evans</v>
      </c>
      <c r="D237" t="s">
        <v>38</v>
      </c>
      <c r="E237" t="str">
        <f t="shared" si="13"/>
        <v>Female</v>
      </c>
      <c r="F237" s="12">
        <v>53</v>
      </c>
      <c r="G237" t="s">
        <v>109</v>
      </c>
      <c r="H237" s="12" t="s">
        <v>110</v>
      </c>
      <c r="I237" t="s">
        <v>17</v>
      </c>
      <c r="J237" s="12">
        <v>34</v>
      </c>
      <c r="K237" s="3">
        <v>30</v>
      </c>
      <c r="L237" s="14">
        <f t="shared" si="14"/>
        <v>30</v>
      </c>
      <c r="M237" s="12">
        <v>3</v>
      </c>
      <c r="N237">
        <v>1</v>
      </c>
      <c r="O237">
        <v>16</v>
      </c>
      <c r="P237" s="1">
        <f t="shared" si="15"/>
        <v>0.16</v>
      </c>
    </row>
    <row r="238" spans="1:16" x14ac:dyDescent="0.35">
      <c r="A238" t="s">
        <v>550</v>
      </c>
      <c r="B238" t="s">
        <v>551</v>
      </c>
      <c r="C238" t="str">
        <f t="shared" si="12"/>
        <v>Brenda Fleming</v>
      </c>
      <c r="D238" t="s">
        <v>38</v>
      </c>
      <c r="E238" t="str">
        <f t="shared" si="13"/>
        <v>Female</v>
      </c>
      <c r="F238" s="12">
        <v>56</v>
      </c>
      <c r="G238" t="s">
        <v>109</v>
      </c>
      <c r="H238" s="12" t="s">
        <v>110</v>
      </c>
      <c r="I238" t="s">
        <v>30</v>
      </c>
      <c r="J238" s="12">
        <v>27</v>
      </c>
      <c r="K238" s="3">
        <v>100</v>
      </c>
      <c r="L238" s="14">
        <f t="shared" si="14"/>
        <v>100</v>
      </c>
      <c r="M238" s="12">
        <v>4.7</v>
      </c>
      <c r="N238">
        <v>1</v>
      </c>
      <c r="O238" s="1">
        <v>0.69</v>
      </c>
      <c r="P238" s="1">
        <f t="shared" si="15"/>
        <v>0.69</v>
      </c>
    </row>
    <row r="239" spans="1:16" x14ac:dyDescent="0.35">
      <c r="A239" t="s">
        <v>552</v>
      </c>
      <c r="B239" t="s">
        <v>553</v>
      </c>
      <c r="C239" t="str">
        <f t="shared" si="12"/>
        <v>Daniel Harrington</v>
      </c>
      <c r="D239" t="s">
        <v>27</v>
      </c>
      <c r="E239" t="str">
        <f t="shared" si="13"/>
        <v>Male</v>
      </c>
      <c r="F239" s="12">
        <v>27</v>
      </c>
      <c r="G239" t="s">
        <v>124</v>
      </c>
      <c r="H239" s="12" t="s">
        <v>22</v>
      </c>
      <c r="I239" t="s">
        <v>43</v>
      </c>
      <c r="J239" s="12">
        <v>4</v>
      </c>
      <c r="K239" s="3">
        <v>75</v>
      </c>
      <c r="L239" s="14">
        <f t="shared" si="14"/>
        <v>75</v>
      </c>
      <c r="M239" s="12">
        <v>5</v>
      </c>
      <c r="N239">
        <v>0</v>
      </c>
      <c r="O239" s="1">
        <v>0.88</v>
      </c>
      <c r="P239" s="1">
        <f t="shared" si="15"/>
        <v>0.88</v>
      </c>
    </row>
    <row r="240" spans="1:16" x14ac:dyDescent="0.35">
      <c r="A240" t="s">
        <v>554</v>
      </c>
      <c r="B240" t="s">
        <v>555</v>
      </c>
      <c r="C240" t="str">
        <f t="shared" si="12"/>
        <v>Daniel Barnett</v>
      </c>
      <c r="D240" t="s">
        <v>94</v>
      </c>
      <c r="E240" t="str">
        <f t="shared" si="13"/>
        <v>Male</v>
      </c>
      <c r="F240" s="12">
        <v>34</v>
      </c>
      <c r="G240" t="s">
        <v>15</v>
      </c>
      <c r="H240" s="12" t="s">
        <v>16</v>
      </c>
      <c r="I240" t="s">
        <v>23</v>
      </c>
      <c r="J240" s="12">
        <v>11</v>
      </c>
      <c r="K240" s="3" t="s">
        <v>53</v>
      </c>
      <c r="L240" s="14" t="str">
        <f t="shared" si="14"/>
        <v>$ 40</v>
      </c>
      <c r="M240" s="12">
        <v>3</v>
      </c>
      <c r="N240">
        <v>0</v>
      </c>
      <c r="O240" s="1">
        <v>0.67</v>
      </c>
      <c r="P240" s="1">
        <f t="shared" si="15"/>
        <v>0.67</v>
      </c>
    </row>
    <row r="241" spans="1:16" x14ac:dyDescent="0.35">
      <c r="A241" t="s">
        <v>556</v>
      </c>
      <c r="B241" t="s">
        <v>557</v>
      </c>
      <c r="C241" t="str">
        <f t="shared" si="12"/>
        <v>Mark Cummings</v>
      </c>
      <c r="D241" t="s">
        <v>27</v>
      </c>
      <c r="E241" t="str">
        <f t="shared" si="13"/>
        <v>Male</v>
      </c>
      <c r="F241" s="12">
        <v>29</v>
      </c>
      <c r="G241" t="s">
        <v>56</v>
      </c>
      <c r="H241" s="12" t="s">
        <v>22</v>
      </c>
      <c r="I241" t="s">
        <v>35</v>
      </c>
      <c r="J241" s="12">
        <v>4</v>
      </c>
      <c r="K241" s="3" t="s">
        <v>95</v>
      </c>
      <c r="L241" s="14" t="str">
        <f t="shared" si="14"/>
        <v>$ 50</v>
      </c>
      <c r="M241" s="12">
        <v>4</v>
      </c>
      <c r="N241">
        <v>0</v>
      </c>
      <c r="O241">
        <v>16</v>
      </c>
      <c r="P241" s="1">
        <f t="shared" si="15"/>
        <v>0.16</v>
      </c>
    </row>
    <row r="242" spans="1:16" x14ac:dyDescent="0.35">
      <c r="A242" t="s">
        <v>558</v>
      </c>
      <c r="B242" t="s">
        <v>559</v>
      </c>
      <c r="C242" t="str">
        <f t="shared" si="12"/>
        <v>Christopher Guerra</v>
      </c>
      <c r="D242" t="s">
        <v>27</v>
      </c>
      <c r="E242" t="str">
        <f t="shared" si="13"/>
        <v>Male</v>
      </c>
      <c r="F242" s="12">
        <v>34</v>
      </c>
      <c r="G242" t="s">
        <v>90</v>
      </c>
      <c r="H242" s="12" t="s">
        <v>91</v>
      </c>
      <c r="I242" t="s">
        <v>43</v>
      </c>
      <c r="J242" s="12">
        <v>11</v>
      </c>
      <c r="K242" s="3">
        <v>40</v>
      </c>
      <c r="L242" s="14">
        <f t="shared" si="14"/>
        <v>40</v>
      </c>
      <c r="M242" s="12">
        <v>1.2</v>
      </c>
      <c r="N242">
        <v>1</v>
      </c>
      <c r="O242">
        <v>16</v>
      </c>
      <c r="P242" s="1">
        <f t="shared" si="15"/>
        <v>0.16</v>
      </c>
    </row>
    <row r="243" spans="1:16" x14ac:dyDescent="0.35">
      <c r="A243" t="s">
        <v>560</v>
      </c>
      <c r="B243" t="s">
        <v>561</v>
      </c>
      <c r="C243" t="str">
        <f t="shared" si="12"/>
        <v>Sarah Ho</v>
      </c>
      <c r="D243" t="s">
        <v>38</v>
      </c>
      <c r="E243" t="str">
        <f t="shared" si="13"/>
        <v>Female</v>
      </c>
      <c r="F243" s="12">
        <v>32</v>
      </c>
      <c r="G243" t="s">
        <v>174</v>
      </c>
      <c r="H243" s="12" t="s">
        <v>69</v>
      </c>
      <c r="I243" t="s">
        <v>43</v>
      </c>
      <c r="J243" s="12">
        <v>1</v>
      </c>
      <c r="K243" s="3">
        <v>100</v>
      </c>
      <c r="L243" s="14">
        <f t="shared" si="14"/>
        <v>100</v>
      </c>
      <c r="M243" s="12">
        <v>4.7</v>
      </c>
      <c r="N243">
        <v>0</v>
      </c>
      <c r="O243" s="1">
        <v>0.67</v>
      </c>
      <c r="P243" s="1">
        <f t="shared" si="15"/>
        <v>0.67</v>
      </c>
    </row>
    <row r="244" spans="1:16" x14ac:dyDescent="0.35">
      <c r="A244" t="s">
        <v>562</v>
      </c>
      <c r="B244" t="s">
        <v>563</v>
      </c>
      <c r="C244" t="str">
        <f t="shared" si="12"/>
        <v>Veronica Thomas</v>
      </c>
      <c r="D244" t="s">
        <v>38</v>
      </c>
      <c r="E244" t="str">
        <f t="shared" si="13"/>
        <v>Female</v>
      </c>
      <c r="F244" s="12">
        <v>21</v>
      </c>
      <c r="G244" t="s">
        <v>149</v>
      </c>
      <c r="H244" s="12" t="s">
        <v>150</v>
      </c>
      <c r="I244" t="s">
        <v>111</v>
      </c>
      <c r="J244" s="12">
        <v>2</v>
      </c>
      <c r="K244" s="3">
        <v>20</v>
      </c>
      <c r="L244" s="14">
        <f t="shared" si="14"/>
        <v>20</v>
      </c>
      <c r="M244" s="12">
        <v>2.4</v>
      </c>
      <c r="N244">
        <v>1</v>
      </c>
      <c r="O244" s="1">
        <v>0.86</v>
      </c>
      <c r="P244" s="1">
        <f t="shared" si="15"/>
        <v>0.86</v>
      </c>
    </row>
    <row r="245" spans="1:16" x14ac:dyDescent="0.35">
      <c r="A245" t="s">
        <v>564</v>
      </c>
      <c r="B245" t="s">
        <v>565</v>
      </c>
      <c r="C245" t="str">
        <f t="shared" si="12"/>
        <v>Mitchell Watson</v>
      </c>
      <c r="D245" t="s">
        <v>59</v>
      </c>
      <c r="E245" t="str">
        <f t="shared" si="13"/>
        <v>Male</v>
      </c>
      <c r="F245" s="12">
        <v>20</v>
      </c>
      <c r="G245" t="s">
        <v>174</v>
      </c>
      <c r="H245" s="12" t="s">
        <v>69</v>
      </c>
      <c r="I245" t="s">
        <v>30</v>
      </c>
      <c r="J245" s="12">
        <v>2</v>
      </c>
      <c r="K245" s="3">
        <v>40</v>
      </c>
      <c r="L245" s="14">
        <f t="shared" si="14"/>
        <v>40</v>
      </c>
      <c r="M245" s="12">
        <v>1.1000000000000001</v>
      </c>
      <c r="N245">
        <v>0</v>
      </c>
      <c r="O245" s="1">
        <v>0.69</v>
      </c>
      <c r="P245" s="1">
        <f t="shared" si="15"/>
        <v>0.69</v>
      </c>
    </row>
    <row r="246" spans="1:16" x14ac:dyDescent="0.35">
      <c r="A246" t="s">
        <v>566</v>
      </c>
      <c r="B246" t="s">
        <v>567</v>
      </c>
      <c r="C246" t="str">
        <f t="shared" si="12"/>
        <v>Monica Murphy</v>
      </c>
      <c r="D246" t="s">
        <v>20</v>
      </c>
      <c r="E246" t="str">
        <f t="shared" si="13"/>
        <v>Female</v>
      </c>
      <c r="F246" s="12">
        <v>35</v>
      </c>
      <c r="G246" t="s">
        <v>56</v>
      </c>
      <c r="H246" s="12" t="s">
        <v>22</v>
      </c>
      <c r="I246" t="s">
        <v>23</v>
      </c>
      <c r="J246" s="12">
        <v>10</v>
      </c>
      <c r="K246" s="3">
        <v>50</v>
      </c>
      <c r="L246" s="14">
        <f t="shared" si="14"/>
        <v>50</v>
      </c>
      <c r="M246" s="12">
        <v>1.4</v>
      </c>
      <c r="N246">
        <v>1</v>
      </c>
      <c r="O246" s="1">
        <v>0.85</v>
      </c>
      <c r="P246" s="1">
        <f t="shared" si="15"/>
        <v>0.85</v>
      </c>
    </row>
    <row r="247" spans="1:16" x14ac:dyDescent="0.35">
      <c r="A247" t="s">
        <v>568</v>
      </c>
      <c r="B247" t="s">
        <v>569</v>
      </c>
      <c r="C247" t="str">
        <f t="shared" si="12"/>
        <v>Kristen Williams</v>
      </c>
      <c r="D247" t="s">
        <v>38</v>
      </c>
      <c r="E247" t="str">
        <f t="shared" si="13"/>
        <v>Female</v>
      </c>
      <c r="F247" s="12">
        <v>47</v>
      </c>
      <c r="G247" t="s">
        <v>56</v>
      </c>
      <c r="H247" s="12" t="s">
        <v>22</v>
      </c>
      <c r="I247" t="s">
        <v>70</v>
      </c>
      <c r="J247" s="12">
        <v>18</v>
      </c>
      <c r="K247" s="3">
        <v>40</v>
      </c>
      <c r="L247" s="14">
        <f t="shared" si="14"/>
        <v>40</v>
      </c>
      <c r="M247" s="12">
        <v>3.4</v>
      </c>
      <c r="N247">
        <v>0</v>
      </c>
      <c r="O247">
        <v>60</v>
      </c>
      <c r="P247" s="1">
        <f t="shared" si="15"/>
        <v>0.6</v>
      </c>
    </row>
    <row r="248" spans="1:16" x14ac:dyDescent="0.35">
      <c r="A248" t="s">
        <v>570</v>
      </c>
      <c r="B248" t="s">
        <v>571</v>
      </c>
      <c r="C248" t="str">
        <f t="shared" si="12"/>
        <v>Nicole Wright</v>
      </c>
      <c r="D248" t="s">
        <v>38</v>
      </c>
      <c r="E248" t="str">
        <f t="shared" si="13"/>
        <v>Female</v>
      </c>
      <c r="F248" s="12">
        <v>41</v>
      </c>
      <c r="G248" t="s">
        <v>60</v>
      </c>
      <c r="H248" s="12" t="s">
        <v>61</v>
      </c>
      <c r="I248" t="s">
        <v>17</v>
      </c>
      <c r="J248" s="12">
        <v>4</v>
      </c>
      <c r="K248" s="3">
        <v>40</v>
      </c>
      <c r="L248" s="14">
        <f t="shared" si="14"/>
        <v>40</v>
      </c>
      <c r="M248" s="12">
        <v>2.7</v>
      </c>
      <c r="N248">
        <v>1</v>
      </c>
      <c r="O248">
        <v>70</v>
      </c>
      <c r="P248" s="1">
        <f t="shared" si="15"/>
        <v>0.7</v>
      </c>
    </row>
    <row r="249" spans="1:16" x14ac:dyDescent="0.35">
      <c r="A249" t="s">
        <v>572</v>
      </c>
      <c r="B249" t="s">
        <v>573</v>
      </c>
      <c r="C249" t="str">
        <f t="shared" si="12"/>
        <v>Andrew Ruiz</v>
      </c>
      <c r="D249" t="s">
        <v>27</v>
      </c>
      <c r="E249" t="str">
        <f t="shared" si="13"/>
        <v>Male</v>
      </c>
      <c r="F249" s="12">
        <v>58</v>
      </c>
      <c r="G249" t="s">
        <v>68</v>
      </c>
      <c r="H249" s="12" t="s">
        <v>69</v>
      </c>
      <c r="I249" t="s">
        <v>35</v>
      </c>
      <c r="J249" s="12">
        <v>23</v>
      </c>
      <c r="K249" s="3">
        <v>40</v>
      </c>
      <c r="L249" s="14">
        <f t="shared" si="14"/>
        <v>40</v>
      </c>
      <c r="M249" s="12">
        <v>4.9000000000000004</v>
      </c>
      <c r="N249">
        <v>0</v>
      </c>
      <c r="O249">
        <v>16</v>
      </c>
      <c r="P249" s="1">
        <f t="shared" si="15"/>
        <v>0.16</v>
      </c>
    </row>
    <row r="250" spans="1:16" x14ac:dyDescent="0.35">
      <c r="A250" t="s">
        <v>574</v>
      </c>
      <c r="B250" t="s">
        <v>575</v>
      </c>
      <c r="C250" t="str">
        <f t="shared" si="12"/>
        <v>Zachary Jackson</v>
      </c>
      <c r="D250" t="s">
        <v>27</v>
      </c>
      <c r="E250" t="str">
        <f t="shared" si="13"/>
        <v>Male</v>
      </c>
      <c r="F250" s="12">
        <v>34</v>
      </c>
      <c r="G250" t="s">
        <v>170</v>
      </c>
      <c r="H250" s="12" t="s">
        <v>171</v>
      </c>
      <c r="I250" t="s">
        <v>49</v>
      </c>
      <c r="J250" s="12">
        <v>6</v>
      </c>
      <c r="K250" s="3">
        <v>75</v>
      </c>
      <c r="L250" s="14">
        <f t="shared" si="14"/>
        <v>75</v>
      </c>
      <c r="M250" s="12">
        <v>1.9</v>
      </c>
      <c r="N250">
        <v>1</v>
      </c>
      <c r="O250" s="1">
        <v>0.81</v>
      </c>
      <c r="P250" s="1">
        <f t="shared" si="15"/>
        <v>0.81</v>
      </c>
    </row>
    <row r="251" spans="1:16" x14ac:dyDescent="0.35">
      <c r="A251" t="s">
        <v>576</v>
      </c>
      <c r="B251" t="s">
        <v>577</v>
      </c>
      <c r="C251" t="str">
        <f t="shared" si="12"/>
        <v>Stephanie Carter</v>
      </c>
      <c r="D251" t="s">
        <v>38</v>
      </c>
      <c r="E251" t="str">
        <f t="shared" si="13"/>
        <v>Female</v>
      </c>
      <c r="F251" s="12">
        <v>50</v>
      </c>
      <c r="G251" t="s">
        <v>90</v>
      </c>
      <c r="H251" s="12" t="s">
        <v>91</v>
      </c>
      <c r="I251" t="s">
        <v>23</v>
      </c>
      <c r="J251" s="12">
        <v>5</v>
      </c>
      <c r="K251" s="3">
        <v>100</v>
      </c>
      <c r="L251" s="14">
        <f t="shared" si="14"/>
        <v>100</v>
      </c>
      <c r="M251" s="12">
        <v>3</v>
      </c>
      <c r="N251">
        <v>1</v>
      </c>
      <c r="O251">
        <v>16</v>
      </c>
      <c r="P251" s="1">
        <f t="shared" si="15"/>
        <v>0.16</v>
      </c>
    </row>
    <row r="252" spans="1:16" x14ac:dyDescent="0.35">
      <c r="A252" t="s">
        <v>578</v>
      </c>
      <c r="B252" t="s">
        <v>579</v>
      </c>
      <c r="C252" t="str">
        <f t="shared" si="12"/>
        <v>Amy Olson</v>
      </c>
      <c r="D252" t="s">
        <v>38</v>
      </c>
      <c r="E252" t="str">
        <f t="shared" si="13"/>
        <v>Female</v>
      </c>
      <c r="F252" s="12">
        <v>42</v>
      </c>
      <c r="G252" t="s">
        <v>174</v>
      </c>
      <c r="H252" s="12" t="s">
        <v>69</v>
      </c>
      <c r="I252" t="s">
        <v>86</v>
      </c>
      <c r="J252" s="12">
        <v>19</v>
      </c>
      <c r="K252" s="3" t="s">
        <v>50</v>
      </c>
      <c r="L252" s="14" t="str">
        <f t="shared" si="14"/>
        <v>$ 75</v>
      </c>
      <c r="M252" s="12">
        <v>4.5999999999999996</v>
      </c>
      <c r="N252">
        <v>0</v>
      </c>
      <c r="O252" s="1">
        <v>0.78</v>
      </c>
      <c r="P252" s="1">
        <f t="shared" si="15"/>
        <v>0.78</v>
      </c>
    </row>
    <row r="253" spans="1:16" x14ac:dyDescent="0.35">
      <c r="A253" t="s">
        <v>580</v>
      </c>
      <c r="B253" t="s">
        <v>581</v>
      </c>
      <c r="C253" t="str">
        <f t="shared" si="12"/>
        <v>Fred Stark</v>
      </c>
      <c r="D253" t="s">
        <v>27</v>
      </c>
      <c r="E253" t="str">
        <f t="shared" si="13"/>
        <v>Male</v>
      </c>
      <c r="F253" s="12">
        <v>43</v>
      </c>
      <c r="G253" t="s">
        <v>28</v>
      </c>
      <c r="H253" s="12" t="s">
        <v>29</v>
      </c>
      <c r="I253" t="s">
        <v>70</v>
      </c>
      <c r="J253" s="12">
        <v>6</v>
      </c>
      <c r="K253" s="3">
        <v>50</v>
      </c>
      <c r="L253" s="14">
        <f t="shared" si="14"/>
        <v>50</v>
      </c>
      <c r="M253" s="12">
        <v>0</v>
      </c>
      <c r="N253">
        <v>0</v>
      </c>
      <c r="O253">
        <v>81</v>
      </c>
      <c r="P253" s="1">
        <f t="shared" si="15"/>
        <v>0.81</v>
      </c>
    </row>
    <row r="254" spans="1:16" x14ac:dyDescent="0.35">
      <c r="A254" t="s">
        <v>582</v>
      </c>
      <c r="B254" t="s">
        <v>583</v>
      </c>
      <c r="C254" t="str">
        <f t="shared" si="12"/>
        <v>Jacob Gill</v>
      </c>
      <c r="D254" t="s">
        <v>94</v>
      </c>
      <c r="E254" t="str">
        <f t="shared" si="13"/>
        <v>Male</v>
      </c>
      <c r="F254" s="12">
        <v>34</v>
      </c>
      <c r="G254" t="s">
        <v>28</v>
      </c>
      <c r="H254" s="12" t="s">
        <v>29</v>
      </c>
      <c r="I254" t="s">
        <v>49</v>
      </c>
      <c r="J254" s="12">
        <v>8</v>
      </c>
      <c r="K254" s="3">
        <v>75</v>
      </c>
      <c r="L254" s="14">
        <f t="shared" si="14"/>
        <v>75</v>
      </c>
      <c r="M254" s="12">
        <v>1.8</v>
      </c>
      <c r="N254">
        <v>1</v>
      </c>
      <c r="O254" s="1">
        <v>0.71</v>
      </c>
      <c r="P254" s="1">
        <f t="shared" si="15"/>
        <v>0.71</v>
      </c>
    </row>
    <row r="255" spans="1:16" x14ac:dyDescent="0.35">
      <c r="A255" t="s">
        <v>584</v>
      </c>
      <c r="B255" t="s">
        <v>585</v>
      </c>
      <c r="C255" t="str">
        <f t="shared" si="12"/>
        <v>Anthony Nichols</v>
      </c>
      <c r="D255" t="s">
        <v>94</v>
      </c>
      <c r="E255" t="str">
        <f t="shared" si="13"/>
        <v>Male</v>
      </c>
      <c r="F255" s="12">
        <v>24</v>
      </c>
      <c r="G255" t="s">
        <v>185</v>
      </c>
      <c r="H255" s="12" t="s">
        <v>69</v>
      </c>
      <c r="I255" t="s">
        <v>23</v>
      </c>
      <c r="J255" s="12">
        <v>3</v>
      </c>
      <c r="K255" s="3">
        <v>75</v>
      </c>
      <c r="L255" s="14">
        <f t="shared" si="14"/>
        <v>75</v>
      </c>
      <c r="M255" s="12">
        <v>2</v>
      </c>
      <c r="N255">
        <v>0</v>
      </c>
      <c r="O255">
        <v>16</v>
      </c>
      <c r="P255" s="1">
        <f t="shared" si="15"/>
        <v>0.16</v>
      </c>
    </row>
    <row r="256" spans="1:16" x14ac:dyDescent="0.35">
      <c r="A256" t="s">
        <v>586</v>
      </c>
      <c r="B256" t="s">
        <v>587</v>
      </c>
      <c r="C256" t="str">
        <f t="shared" si="12"/>
        <v>William Knapp</v>
      </c>
      <c r="D256" t="s">
        <v>27</v>
      </c>
      <c r="E256" t="str">
        <f t="shared" si="13"/>
        <v>Male</v>
      </c>
      <c r="F256" s="12">
        <v>48</v>
      </c>
      <c r="G256" t="s">
        <v>149</v>
      </c>
      <c r="H256" s="12" t="s">
        <v>150</v>
      </c>
      <c r="I256" t="s">
        <v>70</v>
      </c>
      <c r="J256" s="12">
        <v>8</v>
      </c>
      <c r="K256" s="3">
        <v>30</v>
      </c>
      <c r="L256" s="14">
        <f t="shared" si="14"/>
        <v>30</v>
      </c>
      <c r="M256" s="12">
        <v>5</v>
      </c>
      <c r="N256">
        <v>1</v>
      </c>
      <c r="O256" s="1">
        <v>0.99</v>
      </c>
      <c r="P256" s="1">
        <f t="shared" si="15"/>
        <v>0.99</v>
      </c>
    </row>
    <row r="257" spans="1:16" x14ac:dyDescent="0.35">
      <c r="A257" t="s">
        <v>588</v>
      </c>
      <c r="B257" t="s">
        <v>589</v>
      </c>
      <c r="C257" t="str">
        <f t="shared" si="12"/>
        <v>Elizabeth Walker</v>
      </c>
      <c r="D257" t="s">
        <v>38</v>
      </c>
      <c r="E257" t="str">
        <f t="shared" si="13"/>
        <v>Female</v>
      </c>
      <c r="F257" s="12">
        <v>39</v>
      </c>
      <c r="G257" t="s">
        <v>109</v>
      </c>
      <c r="H257" s="12" t="s">
        <v>110</v>
      </c>
      <c r="I257" t="s">
        <v>49</v>
      </c>
      <c r="J257" s="12">
        <v>12</v>
      </c>
      <c r="K257" s="3">
        <v>20</v>
      </c>
      <c r="L257" s="14">
        <f t="shared" si="14"/>
        <v>20</v>
      </c>
      <c r="M257" s="12">
        <v>3.2</v>
      </c>
      <c r="N257">
        <v>1</v>
      </c>
      <c r="O257" s="1">
        <v>0.66</v>
      </c>
      <c r="P257" s="1">
        <f t="shared" si="15"/>
        <v>0.66</v>
      </c>
    </row>
    <row r="258" spans="1:16" x14ac:dyDescent="0.35">
      <c r="A258" t="s">
        <v>590</v>
      </c>
      <c r="B258" t="s">
        <v>591</v>
      </c>
      <c r="C258" t="str">
        <f t="shared" si="12"/>
        <v>Brenda Reeves</v>
      </c>
      <c r="D258" t="s">
        <v>38</v>
      </c>
      <c r="E258" t="str">
        <f t="shared" si="13"/>
        <v>Female</v>
      </c>
      <c r="F258" s="12">
        <v>57</v>
      </c>
      <c r="G258" t="s">
        <v>21</v>
      </c>
      <c r="H258" s="12" t="s">
        <v>22</v>
      </c>
      <c r="I258" t="s">
        <v>17</v>
      </c>
      <c r="J258" s="12">
        <v>30</v>
      </c>
      <c r="K258" s="3">
        <v>30</v>
      </c>
      <c r="L258" s="14">
        <f t="shared" si="14"/>
        <v>30</v>
      </c>
      <c r="M258" s="12">
        <v>2.4</v>
      </c>
      <c r="N258">
        <v>1</v>
      </c>
      <c r="O258" s="1">
        <v>0.8</v>
      </c>
      <c r="P258" s="1">
        <f t="shared" si="15"/>
        <v>0.8</v>
      </c>
    </row>
    <row r="259" spans="1:16" x14ac:dyDescent="0.35">
      <c r="A259" t="s">
        <v>592</v>
      </c>
      <c r="B259" t="s">
        <v>593</v>
      </c>
      <c r="C259" t="str">
        <f t="shared" ref="C259:C322" si="16">PROPER(B259)</f>
        <v>Carrie Little</v>
      </c>
      <c r="D259" t="s">
        <v>20</v>
      </c>
      <c r="E259" t="str">
        <f t="shared" ref="E259:E322" si="17">PROPER(D259)</f>
        <v>Female</v>
      </c>
      <c r="F259" s="12">
        <v>44</v>
      </c>
      <c r="G259" t="s">
        <v>124</v>
      </c>
      <c r="H259" s="12" t="s">
        <v>22</v>
      </c>
      <c r="I259" t="s">
        <v>35</v>
      </c>
      <c r="J259" s="12">
        <v>21</v>
      </c>
      <c r="K259" s="3">
        <v>100</v>
      </c>
      <c r="L259" s="14">
        <f t="shared" ref="L259:L322" si="18">IF(K259="","",IF(LEFT(K259,3)="USD","$"&amp;MID(K259,4,LEN(K259)-3),K259))</f>
        <v>100</v>
      </c>
      <c r="M259" s="12">
        <v>2.9</v>
      </c>
      <c r="N259">
        <v>0</v>
      </c>
      <c r="O259" s="1">
        <v>0.83</v>
      </c>
      <c r="P259" s="1">
        <f t="shared" ref="P259:P322" si="19">IF(O259="","",IF(O259&lt;1,O259,O259/100))</f>
        <v>0.83</v>
      </c>
    </row>
    <row r="260" spans="1:16" x14ac:dyDescent="0.35">
      <c r="A260" t="s">
        <v>594</v>
      </c>
      <c r="B260" t="s">
        <v>595</v>
      </c>
      <c r="C260" t="str">
        <f t="shared" si="16"/>
        <v>Steven Jackson</v>
      </c>
      <c r="D260" t="s">
        <v>27</v>
      </c>
      <c r="E260" t="str">
        <f t="shared" si="17"/>
        <v>Male</v>
      </c>
      <c r="F260" s="12">
        <v>37</v>
      </c>
      <c r="G260" t="s">
        <v>104</v>
      </c>
      <c r="H260" s="12" t="s">
        <v>105</v>
      </c>
      <c r="I260" t="s">
        <v>70</v>
      </c>
      <c r="J260" s="12">
        <v>17</v>
      </c>
      <c r="K260" s="3" t="s">
        <v>308</v>
      </c>
      <c r="L260" s="14" t="str">
        <f t="shared" si="18"/>
        <v>$ 20</v>
      </c>
      <c r="M260" s="12">
        <v>0</v>
      </c>
      <c r="N260">
        <v>1</v>
      </c>
      <c r="O260">
        <v>87</v>
      </c>
      <c r="P260" s="1">
        <f t="shared" si="19"/>
        <v>0.87</v>
      </c>
    </row>
    <row r="261" spans="1:16" x14ac:dyDescent="0.35">
      <c r="A261" t="s">
        <v>596</v>
      </c>
      <c r="B261" t="s">
        <v>597</v>
      </c>
      <c r="C261" t="str">
        <f t="shared" si="16"/>
        <v>Mark Perry</v>
      </c>
      <c r="D261" t="s">
        <v>94</v>
      </c>
      <c r="E261" t="str">
        <f t="shared" si="17"/>
        <v>Male</v>
      </c>
      <c r="F261" s="12">
        <v>50</v>
      </c>
      <c r="G261" t="s">
        <v>60</v>
      </c>
      <c r="H261" s="12" t="s">
        <v>61</v>
      </c>
      <c r="I261" t="s">
        <v>49</v>
      </c>
      <c r="J261" s="12">
        <v>9</v>
      </c>
      <c r="K261" s="3">
        <v>30</v>
      </c>
      <c r="L261" s="14">
        <f t="shared" si="18"/>
        <v>30</v>
      </c>
      <c r="M261" s="12">
        <v>3</v>
      </c>
      <c r="N261">
        <v>0</v>
      </c>
      <c r="O261">
        <v>76</v>
      </c>
      <c r="P261" s="1">
        <f t="shared" si="19"/>
        <v>0.76</v>
      </c>
    </row>
    <row r="262" spans="1:16" x14ac:dyDescent="0.35">
      <c r="A262" t="s">
        <v>598</v>
      </c>
      <c r="B262" t="s">
        <v>599</v>
      </c>
      <c r="C262" t="str">
        <f t="shared" si="16"/>
        <v>Cameron Spencer</v>
      </c>
      <c r="D262" t="s">
        <v>94</v>
      </c>
      <c r="E262" t="str">
        <f t="shared" si="17"/>
        <v>Male</v>
      </c>
      <c r="F262" s="12">
        <v>50</v>
      </c>
      <c r="G262" t="s">
        <v>185</v>
      </c>
      <c r="H262" s="12" t="s">
        <v>69</v>
      </c>
      <c r="I262" t="s">
        <v>70</v>
      </c>
      <c r="J262" s="12">
        <v>2</v>
      </c>
      <c r="K262" s="3">
        <v>50</v>
      </c>
      <c r="L262" s="14">
        <f t="shared" si="18"/>
        <v>50</v>
      </c>
      <c r="M262" s="12">
        <v>1.6</v>
      </c>
      <c r="N262">
        <v>1</v>
      </c>
      <c r="O262" s="1">
        <v>0.89</v>
      </c>
      <c r="P262" s="1">
        <f t="shared" si="19"/>
        <v>0.89</v>
      </c>
    </row>
    <row r="263" spans="1:16" x14ac:dyDescent="0.35">
      <c r="A263" t="s">
        <v>600</v>
      </c>
      <c r="B263" t="s">
        <v>601</v>
      </c>
      <c r="C263" t="str">
        <f t="shared" si="16"/>
        <v>Jennifer Holmes</v>
      </c>
      <c r="D263" t="s">
        <v>74</v>
      </c>
      <c r="E263" t="str">
        <f t="shared" si="17"/>
        <v>Female</v>
      </c>
      <c r="F263" s="12">
        <v>28</v>
      </c>
      <c r="G263" t="s">
        <v>131</v>
      </c>
      <c r="H263" s="12" t="s">
        <v>132</v>
      </c>
      <c r="I263" t="s">
        <v>30</v>
      </c>
      <c r="J263" s="12">
        <v>1</v>
      </c>
      <c r="K263" s="3">
        <v>20</v>
      </c>
      <c r="L263" s="14">
        <f t="shared" si="18"/>
        <v>20</v>
      </c>
      <c r="M263" s="12">
        <v>3.6</v>
      </c>
      <c r="N263">
        <v>1</v>
      </c>
      <c r="O263" s="1">
        <v>0.94</v>
      </c>
      <c r="P263" s="1">
        <f t="shared" si="19"/>
        <v>0.94</v>
      </c>
    </row>
    <row r="264" spans="1:16" x14ac:dyDescent="0.35">
      <c r="A264" t="s">
        <v>602</v>
      </c>
      <c r="B264" t="s">
        <v>603</v>
      </c>
      <c r="C264" t="str">
        <f t="shared" si="16"/>
        <v>Jacob Joseph</v>
      </c>
      <c r="D264" t="s">
        <v>94</v>
      </c>
      <c r="E264" t="str">
        <f t="shared" si="17"/>
        <v>Male</v>
      </c>
      <c r="F264" s="12">
        <v>48</v>
      </c>
      <c r="G264" t="s">
        <v>15</v>
      </c>
      <c r="H264" s="12" t="s">
        <v>16</v>
      </c>
      <c r="I264" t="s">
        <v>35</v>
      </c>
      <c r="J264" s="12">
        <v>23</v>
      </c>
      <c r="K264" s="3">
        <v>40</v>
      </c>
      <c r="L264" s="14">
        <f t="shared" si="18"/>
        <v>40</v>
      </c>
      <c r="M264" s="12">
        <v>2.1</v>
      </c>
      <c r="N264">
        <v>0</v>
      </c>
      <c r="O264" s="1">
        <v>0.68</v>
      </c>
      <c r="P264" s="1">
        <f t="shared" si="19"/>
        <v>0.68</v>
      </c>
    </row>
    <row r="265" spans="1:16" x14ac:dyDescent="0.35">
      <c r="A265" t="s">
        <v>604</v>
      </c>
      <c r="B265" t="s">
        <v>605</v>
      </c>
      <c r="C265" t="str">
        <f t="shared" si="16"/>
        <v>Jeffery Tucker</v>
      </c>
      <c r="D265" t="s">
        <v>94</v>
      </c>
      <c r="E265" t="str">
        <f t="shared" si="17"/>
        <v>Male</v>
      </c>
      <c r="F265" s="12">
        <v>42</v>
      </c>
      <c r="G265" t="s">
        <v>28</v>
      </c>
      <c r="H265" s="12" t="s">
        <v>29</v>
      </c>
      <c r="I265" t="s">
        <v>86</v>
      </c>
      <c r="J265" s="12">
        <v>8</v>
      </c>
      <c r="K265" s="3">
        <v>30</v>
      </c>
      <c r="L265" s="14">
        <f t="shared" si="18"/>
        <v>30</v>
      </c>
      <c r="M265" s="12">
        <v>3.6</v>
      </c>
      <c r="N265">
        <v>1</v>
      </c>
      <c r="O265" s="1">
        <v>0.96</v>
      </c>
      <c r="P265" s="1">
        <f t="shared" si="19"/>
        <v>0.96</v>
      </c>
    </row>
    <row r="266" spans="1:16" x14ac:dyDescent="0.35">
      <c r="A266" t="s">
        <v>606</v>
      </c>
      <c r="B266" t="s">
        <v>607</v>
      </c>
      <c r="C266" t="str">
        <f t="shared" si="16"/>
        <v>Jacqueline Drake</v>
      </c>
      <c r="D266" t="s">
        <v>74</v>
      </c>
      <c r="E266" t="str">
        <f t="shared" si="17"/>
        <v>Female</v>
      </c>
      <c r="F266" s="12">
        <v>37</v>
      </c>
      <c r="G266" t="s">
        <v>124</v>
      </c>
      <c r="H266" s="12" t="s">
        <v>22</v>
      </c>
      <c r="I266" t="s">
        <v>49</v>
      </c>
      <c r="J266" s="12">
        <v>6</v>
      </c>
      <c r="K266" s="3">
        <v>20</v>
      </c>
      <c r="L266" s="14">
        <f t="shared" si="18"/>
        <v>20</v>
      </c>
      <c r="M266" s="12">
        <v>2.7</v>
      </c>
      <c r="N266">
        <v>1</v>
      </c>
      <c r="O266" s="1">
        <v>0.91</v>
      </c>
      <c r="P266" s="1">
        <f t="shared" si="19"/>
        <v>0.91</v>
      </c>
    </row>
    <row r="267" spans="1:16" x14ac:dyDescent="0.35">
      <c r="A267" t="s">
        <v>608</v>
      </c>
      <c r="B267" t="s">
        <v>609</v>
      </c>
      <c r="C267" t="str">
        <f t="shared" si="16"/>
        <v>Brian Bautista</v>
      </c>
      <c r="D267" t="s">
        <v>94</v>
      </c>
      <c r="E267" t="str">
        <f t="shared" si="17"/>
        <v>Male</v>
      </c>
      <c r="F267" s="12">
        <v>21</v>
      </c>
      <c r="G267" t="s">
        <v>90</v>
      </c>
      <c r="H267" s="12" t="s">
        <v>91</v>
      </c>
      <c r="I267" t="s">
        <v>17</v>
      </c>
      <c r="J267" s="12">
        <v>1</v>
      </c>
      <c r="K267" s="3">
        <v>100</v>
      </c>
      <c r="L267" s="14">
        <f t="shared" si="18"/>
        <v>100</v>
      </c>
      <c r="M267" s="12">
        <v>2.1</v>
      </c>
      <c r="N267">
        <v>1</v>
      </c>
      <c r="O267" s="1">
        <v>0.92</v>
      </c>
      <c r="P267" s="1">
        <f t="shared" si="19"/>
        <v>0.92</v>
      </c>
    </row>
    <row r="268" spans="1:16" x14ac:dyDescent="0.35">
      <c r="A268" t="s">
        <v>610</v>
      </c>
      <c r="B268" t="s">
        <v>611</v>
      </c>
      <c r="C268" t="str">
        <f t="shared" si="16"/>
        <v>Dakota Wells</v>
      </c>
      <c r="D268" t="s">
        <v>59</v>
      </c>
      <c r="E268" t="str">
        <f t="shared" si="17"/>
        <v>Male</v>
      </c>
      <c r="F268" s="12">
        <v>50</v>
      </c>
      <c r="G268" t="s">
        <v>109</v>
      </c>
      <c r="H268" s="12" t="s">
        <v>110</v>
      </c>
      <c r="I268" t="s">
        <v>35</v>
      </c>
      <c r="J268" s="12">
        <v>19</v>
      </c>
      <c r="K268" s="3">
        <v>40</v>
      </c>
      <c r="L268" s="14">
        <f t="shared" si="18"/>
        <v>40</v>
      </c>
      <c r="M268" s="12">
        <v>4.9000000000000004</v>
      </c>
      <c r="N268">
        <v>1</v>
      </c>
      <c r="O268" s="1">
        <v>0.82</v>
      </c>
      <c r="P268" s="1">
        <f t="shared" si="19"/>
        <v>0.82</v>
      </c>
    </row>
    <row r="269" spans="1:16" x14ac:dyDescent="0.35">
      <c r="A269" t="s">
        <v>612</v>
      </c>
      <c r="B269" t="s">
        <v>613</v>
      </c>
      <c r="C269" t="str">
        <f t="shared" si="16"/>
        <v>Julie White</v>
      </c>
      <c r="D269" t="s">
        <v>38</v>
      </c>
      <c r="E269" t="str">
        <f t="shared" si="17"/>
        <v>Female</v>
      </c>
      <c r="F269" s="12">
        <v>22</v>
      </c>
      <c r="G269" t="s">
        <v>68</v>
      </c>
      <c r="H269" s="12" t="s">
        <v>69</v>
      </c>
      <c r="I269" t="s">
        <v>43</v>
      </c>
      <c r="J269" s="12">
        <v>2</v>
      </c>
      <c r="K269" s="3">
        <v>30</v>
      </c>
      <c r="L269" s="14">
        <f t="shared" si="18"/>
        <v>30</v>
      </c>
      <c r="M269" s="12">
        <v>2.1</v>
      </c>
      <c r="N269">
        <v>1</v>
      </c>
      <c r="O269">
        <v>16</v>
      </c>
      <c r="P269" s="1">
        <f t="shared" si="19"/>
        <v>0.16</v>
      </c>
    </row>
    <row r="270" spans="1:16" x14ac:dyDescent="0.35">
      <c r="A270" t="s">
        <v>614</v>
      </c>
      <c r="B270" t="s">
        <v>615</v>
      </c>
      <c r="C270" t="str">
        <f t="shared" si="16"/>
        <v>Barbara Keith</v>
      </c>
      <c r="D270" t="s">
        <v>74</v>
      </c>
      <c r="E270" t="str">
        <f t="shared" si="17"/>
        <v>Female</v>
      </c>
      <c r="F270" s="12">
        <v>39</v>
      </c>
      <c r="G270" t="s">
        <v>82</v>
      </c>
      <c r="H270" s="12" t="s">
        <v>83</v>
      </c>
      <c r="I270" t="s">
        <v>35</v>
      </c>
      <c r="J270" s="12">
        <v>21</v>
      </c>
      <c r="K270" s="3">
        <v>100</v>
      </c>
      <c r="L270" s="14">
        <f t="shared" si="18"/>
        <v>100</v>
      </c>
      <c r="M270" s="12">
        <v>0</v>
      </c>
      <c r="N270">
        <v>1</v>
      </c>
      <c r="O270" s="1">
        <v>0.91</v>
      </c>
      <c r="P270" s="1">
        <f t="shared" si="19"/>
        <v>0.91</v>
      </c>
    </row>
    <row r="271" spans="1:16" x14ac:dyDescent="0.35">
      <c r="A271" t="s">
        <v>616</v>
      </c>
      <c r="B271" t="s">
        <v>617</v>
      </c>
      <c r="C271" t="str">
        <f t="shared" si="16"/>
        <v>Heather Camacho</v>
      </c>
      <c r="D271" t="s">
        <v>74</v>
      </c>
      <c r="E271" t="str">
        <f t="shared" si="17"/>
        <v>Female</v>
      </c>
      <c r="F271" s="12">
        <v>25</v>
      </c>
      <c r="G271" t="s">
        <v>82</v>
      </c>
      <c r="H271" s="12" t="s">
        <v>83</v>
      </c>
      <c r="I271" t="s">
        <v>111</v>
      </c>
      <c r="J271" s="12">
        <v>3</v>
      </c>
      <c r="K271" s="3">
        <v>50</v>
      </c>
      <c r="L271" s="14">
        <f t="shared" si="18"/>
        <v>50</v>
      </c>
      <c r="M271" s="12">
        <v>2.8</v>
      </c>
      <c r="N271">
        <v>1</v>
      </c>
      <c r="O271">
        <v>86</v>
      </c>
      <c r="P271" s="1">
        <f t="shared" si="19"/>
        <v>0.86</v>
      </c>
    </row>
    <row r="272" spans="1:16" x14ac:dyDescent="0.35">
      <c r="A272" t="s">
        <v>618</v>
      </c>
      <c r="B272" t="s">
        <v>619</v>
      </c>
      <c r="C272" t="str">
        <f t="shared" si="16"/>
        <v>Melanie Harris</v>
      </c>
      <c r="D272" t="s">
        <v>20</v>
      </c>
      <c r="E272" t="str">
        <f t="shared" si="17"/>
        <v>Female</v>
      </c>
      <c r="F272" s="12">
        <v>47</v>
      </c>
      <c r="G272" t="s">
        <v>149</v>
      </c>
      <c r="H272" s="12" t="s">
        <v>150</v>
      </c>
      <c r="I272" t="s">
        <v>23</v>
      </c>
      <c r="J272" s="12">
        <v>14</v>
      </c>
      <c r="K272" s="3">
        <v>40</v>
      </c>
      <c r="L272" s="14">
        <f t="shared" si="18"/>
        <v>40</v>
      </c>
      <c r="M272" s="12">
        <v>3</v>
      </c>
      <c r="N272">
        <v>0</v>
      </c>
      <c r="O272" s="1">
        <v>0.69</v>
      </c>
      <c r="P272" s="1">
        <f t="shared" si="19"/>
        <v>0.69</v>
      </c>
    </row>
    <row r="273" spans="1:16" x14ac:dyDescent="0.35">
      <c r="A273" t="s">
        <v>620</v>
      </c>
      <c r="B273" t="s">
        <v>621</v>
      </c>
      <c r="C273" t="str">
        <f t="shared" si="16"/>
        <v>Jacqueline Peterson</v>
      </c>
      <c r="D273" t="s">
        <v>38</v>
      </c>
      <c r="E273" t="str">
        <f t="shared" si="17"/>
        <v>Female</v>
      </c>
      <c r="F273" s="12">
        <v>35</v>
      </c>
      <c r="G273" t="s">
        <v>149</v>
      </c>
      <c r="H273" s="12" t="s">
        <v>150</v>
      </c>
      <c r="I273" t="s">
        <v>70</v>
      </c>
      <c r="J273" s="12">
        <v>10</v>
      </c>
      <c r="K273" s="3" t="s">
        <v>24</v>
      </c>
      <c r="L273" s="14" t="str">
        <f t="shared" si="18"/>
        <v>$ 100</v>
      </c>
      <c r="M273" s="12">
        <v>4.7</v>
      </c>
      <c r="N273">
        <v>1</v>
      </c>
      <c r="O273" s="1">
        <v>0.84</v>
      </c>
      <c r="P273" s="1">
        <f t="shared" si="19"/>
        <v>0.84</v>
      </c>
    </row>
    <row r="274" spans="1:16" x14ac:dyDescent="0.35">
      <c r="A274" t="s">
        <v>622</v>
      </c>
      <c r="B274" t="s">
        <v>623</v>
      </c>
      <c r="C274" t="str">
        <f t="shared" si="16"/>
        <v>Nancy Long</v>
      </c>
      <c r="D274" t="s">
        <v>38</v>
      </c>
      <c r="E274" t="str">
        <f t="shared" si="17"/>
        <v>Female</v>
      </c>
      <c r="F274" s="12">
        <v>41</v>
      </c>
      <c r="G274" t="s">
        <v>64</v>
      </c>
      <c r="H274" s="12" t="s">
        <v>22</v>
      </c>
      <c r="I274" t="s">
        <v>75</v>
      </c>
      <c r="J274" s="12">
        <v>5</v>
      </c>
      <c r="K274" s="3">
        <v>100</v>
      </c>
      <c r="L274" s="14">
        <f t="shared" si="18"/>
        <v>100</v>
      </c>
      <c r="M274" s="12">
        <v>1.3</v>
      </c>
      <c r="N274">
        <v>0</v>
      </c>
      <c r="O274" s="1">
        <v>0.6</v>
      </c>
      <c r="P274" s="1">
        <f t="shared" si="19"/>
        <v>0.6</v>
      </c>
    </row>
    <row r="275" spans="1:16" x14ac:dyDescent="0.35">
      <c r="A275" t="s">
        <v>624</v>
      </c>
      <c r="B275" t="s">
        <v>625</v>
      </c>
      <c r="C275" t="str">
        <f t="shared" si="16"/>
        <v>Mr. Juan Mitchell</v>
      </c>
      <c r="D275" t="s">
        <v>27</v>
      </c>
      <c r="E275" t="str">
        <f t="shared" si="17"/>
        <v>Male</v>
      </c>
      <c r="F275" s="12">
        <v>35</v>
      </c>
      <c r="G275" t="s">
        <v>41</v>
      </c>
      <c r="H275" s="12" t="s">
        <v>42</v>
      </c>
      <c r="I275" t="s">
        <v>17</v>
      </c>
      <c r="J275" s="12">
        <v>6</v>
      </c>
      <c r="K275" s="3" t="s">
        <v>50</v>
      </c>
      <c r="L275" s="14" t="str">
        <f t="shared" si="18"/>
        <v>$ 75</v>
      </c>
      <c r="M275" s="12">
        <v>1.6</v>
      </c>
      <c r="N275">
        <v>1</v>
      </c>
      <c r="O275" s="1">
        <v>0.97</v>
      </c>
      <c r="P275" s="1">
        <f t="shared" si="19"/>
        <v>0.97</v>
      </c>
    </row>
    <row r="276" spans="1:16" x14ac:dyDescent="0.35">
      <c r="A276" t="s">
        <v>626</v>
      </c>
      <c r="B276" t="s">
        <v>627</v>
      </c>
      <c r="C276" t="str">
        <f t="shared" si="16"/>
        <v>William Gaines</v>
      </c>
      <c r="D276" t="s">
        <v>94</v>
      </c>
      <c r="E276" t="str">
        <f t="shared" si="17"/>
        <v>Male</v>
      </c>
      <c r="F276" s="12">
        <v>59</v>
      </c>
      <c r="G276" t="s">
        <v>131</v>
      </c>
      <c r="H276" s="12" t="s">
        <v>132</v>
      </c>
      <c r="I276" t="s">
        <v>35</v>
      </c>
      <c r="J276" s="12">
        <v>21</v>
      </c>
      <c r="K276" s="3">
        <v>100</v>
      </c>
      <c r="L276" s="14">
        <f t="shared" si="18"/>
        <v>100</v>
      </c>
      <c r="M276" s="12">
        <v>0</v>
      </c>
      <c r="N276">
        <v>1</v>
      </c>
      <c r="O276" s="1">
        <v>0.7</v>
      </c>
      <c r="P276" s="1">
        <f t="shared" si="19"/>
        <v>0.7</v>
      </c>
    </row>
    <row r="277" spans="1:16" x14ac:dyDescent="0.35">
      <c r="A277" t="s">
        <v>628</v>
      </c>
      <c r="B277" t="s">
        <v>629</v>
      </c>
      <c r="C277" t="str">
        <f t="shared" si="16"/>
        <v>Haley Yates</v>
      </c>
      <c r="D277" t="s">
        <v>20</v>
      </c>
      <c r="E277" t="str">
        <f t="shared" si="17"/>
        <v>Female</v>
      </c>
      <c r="F277" s="12">
        <v>26</v>
      </c>
      <c r="G277" t="s">
        <v>170</v>
      </c>
      <c r="H277" s="12" t="s">
        <v>171</v>
      </c>
      <c r="I277" t="s">
        <v>70</v>
      </c>
      <c r="J277" s="12">
        <v>4</v>
      </c>
      <c r="K277" s="3" t="s">
        <v>24</v>
      </c>
      <c r="L277" s="14" t="str">
        <f t="shared" si="18"/>
        <v>$ 100</v>
      </c>
      <c r="M277" s="12">
        <v>3.6</v>
      </c>
      <c r="N277">
        <v>1</v>
      </c>
      <c r="O277" s="1">
        <v>0.81</v>
      </c>
      <c r="P277" s="1">
        <f t="shared" si="19"/>
        <v>0.81</v>
      </c>
    </row>
    <row r="278" spans="1:16" x14ac:dyDescent="0.35">
      <c r="A278" t="s">
        <v>630</v>
      </c>
      <c r="B278" t="s">
        <v>631</v>
      </c>
      <c r="C278" t="str">
        <f t="shared" si="16"/>
        <v>Richard Mcguire</v>
      </c>
      <c r="D278" t="s">
        <v>59</v>
      </c>
      <c r="E278" t="str">
        <f t="shared" si="17"/>
        <v>Male</v>
      </c>
      <c r="F278" s="12">
        <v>44</v>
      </c>
      <c r="G278" t="s">
        <v>120</v>
      </c>
      <c r="H278" s="12" t="s">
        <v>121</v>
      </c>
      <c r="I278" t="s">
        <v>111</v>
      </c>
      <c r="J278" s="12">
        <v>18</v>
      </c>
      <c r="K278" s="3">
        <v>20</v>
      </c>
      <c r="L278" s="14">
        <f t="shared" si="18"/>
        <v>20</v>
      </c>
      <c r="M278" s="12">
        <v>4.7</v>
      </c>
      <c r="N278">
        <v>1</v>
      </c>
      <c r="O278" s="1">
        <v>0.88</v>
      </c>
      <c r="P278" s="1">
        <f t="shared" si="19"/>
        <v>0.88</v>
      </c>
    </row>
    <row r="279" spans="1:16" x14ac:dyDescent="0.35">
      <c r="A279" t="s">
        <v>632</v>
      </c>
      <c r="B279" t="s">
        <v>633</v>
      </c>
      <c r="C279" t="str">
        <f t="shared" si="16"/>
        <v>Stephanie Fisher</v>
      </c>
      <c r="D279" t="s">
        <v>74</v>
      </c>
      <c r="E279" t="str">
        <f t="shared" si="17"/>
        <v>Female</v>
      </c>
      <c r="F279" s="12">
        <v>31</v>
      </c>
      <c r="G279" t="s">
        <v>149</v>
      </c>
      <c r="H279" s="12" t="s">
        <v>150</v>
      </c>
      <c r="I279" t="s">
        <v>70</v>
      </c>
      <c r="J279" s="12">
        <v>12</v>
      </c>
      <c r="K279" s="3">
        <v>40</v>
      </c>
      <c r="L279" s="14">
        <f t="shared" si="18"/>
        <v>40</v>
      </c>
      <c r="M279" s="12">
        <v>3</v>
      </c>
      <c r="N279">
        <v>1</v>
      </c>
      <c r="O279" s="1">
        <v>1</v>
      </c>
      <c r="P279" s="1">
        <f t="shared" si="19"/>
        <v>0.01</v>
      </c>
    </row>
    <row r="280" spans="1:16" x14ac:dyDescent="0.35">
      <c r="A280" t="s">
        <v>634</v>
      </c>
      <c r="B280" t="s">
        <v>635</v>
      </c>
      <c r="C280" t="str">
        <f t="shared" si="16"/>
        <v>Anthony Goodwin Dds</v>
      </c>
      <c r="D280" t="s">
        <v>27</v>
      </c>
      <c r="E280" t="str">
        <f t="shared" si="17"/>
        <v>Male</v>
      </c>
      <c r="F280" s="12">
        <v>60</v>
      </c>
      <c r="G280" t="s">
        <v>60</v>
      </c>
      <c r="H280" s="12" t="s">
        <v>61</v>
      </c>
      <c r="I280" t="s">
        <v>49</v>
      </c>
      <c r="J280" s="12">
        <v>6</v>
      </c>
      <c r="K280" s="3">
        <v>40</v>
      </c>
      <c r="L280" s="14">
        <f t="shared" si="18"/>
        <v>40</v>
      </c>
      <c r="M280" s="12">
        <v>3.2</v>
      </c>
      <c r="N280">
        <v>0</v>
      </c>
      <c r="O280">
        <v>95</v>
      </c>
      <c r="P280" s="1">
        <f t="shared" si="19"/>
        <v>0.95</v>
      </c>
    </row>
    <row r="281" spans="1:16" x14ac:dyDescent="0.35">
      <c r="A281" t="s">
        <v>636</v>
      </c>
      <c r="B281" t="s">
        <v>637</v>
      </c>
      <c r="C281" t="str">
        <f t="shared" si="16"/>
        <v>Meagan Walters</v>
      </c>
      <c r="D281" t="s">
        <v>38</v>
      </c>
      <c r="E281" t="str">
        <f t="shared" si="17"/>
        <v>Female</v>
      </c>
      <c r="F281" s="12">
        <v>23</v>
      </c>
      <c r="G281" t="s">
        <v>64</v>
      </c>
      <c r="H281" s="12" t="s">
        <v>22</v>
      </c>
      <c r="I281" t="s">
        <v>17</v>
      </c>
      <c r="J281" s="12">
        <v>4</v>
      </c>
      <c r="K281" s="3" t="s">
        <v>308</v>
      </c>
      <c r="L281" s="14" t="str">
        <f t="shared" si="18"/>
        <v>$ 20</v>
      </c>
      <c r="M281" s="12">
        <v>3</v>
      </c>
      <c r="N281">
        <v>0</v>
      </c>
      <c r="O281" s="1">
        <v>0.71</v>
      </c>
      <c r="P281" s="1">
        <f t="shared" si="19"/>
        <v>0.71</v>
      </c>
    </row>
    <row r="282" spans="1:16" x14ac:dyDescent="0.35">
      <c r="A282" t="s">
        <v>638</v>
      </c>
      <c r="B282" t="s">
        <v>639</v>
      </c>
      <c r="C282" t="str">
        <f t="shared" si="16"/>
        <v>David Powell</v>
      </c>
      <c r="D282" t="s">
        <v>27</v>
      </c>
      <c r="E282" t="str">
        <f t="shared" si="17"/>
        <v>Male</v>
      </c>
      <c r="F282" s="12">
        <v>42</v>
      </c>
      <c r="G282" t="s">
        <v>47</v>
      </c>
      <c r="H282" s="12" t="s">
        <v>48</v>
      </c>
      <c r="I282" t="s">
        <v>70</v>
      </c>
      <c r="J282" s="12">
        <v>13</v>
      </c>
      <c r="K282" s="3">
        <v>20</v>
      </c>
      <c r="L282" s="14">
        <f t="shared" si="18"/>
        <v>20</v>
      </c>
      <c r="M282" s="12">
        <v>4.7</v>
      </c>
      <c r="N282">
        <v>0</v>
      </c>
      <c r="O282" s="1">
        <v>0.85</v>
      </c>
      <c r="P282" s="1">
        <f t="shared" si="19"/>
        <v>0.85</v>
      </c>
    </row>
    <row r="283" spans="1:16" x14ac:dyDescent="0.35">
      <c r="A283" t="s">
        <v>640</v>
      </c>
      <c r="B283" t="s">
        <v>641</v>
      </c>
      <c r="C283" t="str">
        <f t="shared" si="16"/>
        <v>Kelly Jones</v>
      </c>
      <c r="D283" t="s">
        <v>38</v>
      </c>
      <c r="E283" t="str">
        <f t="shared" si="17"/>
        <v>Female</v>
      </c>
      <c r="F283" s="12">
        <v>48</v>
      </c>
      <c r="G283" t="s">
        <v>90</v>
      </c>
      <c r="H283" s="12" t="s">
        <v>91</v>
      </c>
      <c r="I283" t="s">
        <v>23</v>
      </c>
      <c r="J283" s="12">
        <v>6</v>
      </c>
      <c r="K283" s="3">
        <v>30</v>
      </c>
      <c r="L283" s="14">
        <f t="shared" si="18"/>
        <v>30</v>
      </c>
      <c r="M283" s="12">
        <v>3</v>
      </c>
      <c r="N283">
        <v>0</v>
      </c>
      <c r="O283" s="1">
        <v>0.96</v>
      </c>
      <c r="P283" s="1">
        <f t="shared" si="19"/>
        <v>0.96</v>
      </c>
    </row>
    <row r="284" spans="1:16" x14ac:dyDescent="0.35">
      <c r="A284" t="s">
        <v>642</v>
      </c>
      <c r="B284" t="s">
        <v>643</v>
      </c>
      <c r="C284" t="str">
        <f t="shared" si="16"/>
        <v>Dr. Michael Aguilar</v>
      </c>
      <c r="D284" t="s">
        <v>27</v>
      </c>
      <c r="E284" t="str">
        <f t="shared" si="17"/>
        <v>Male</v>
      </c>
      <c r="F284" s="12">
        <v>42</v>
      </c>
      <c r="G284" t="s">
        <v>41</v>
      </c>
      <c r="H284" s="12" t="s">
        <v>42</v>
      </c>
      <c r="I284" t="s">
        <v>30</v>
      </c>
      <c r="J284" s="12">
        <v>10</v>
      </c>
      <c r="K284" s="3" t="s">
        <v>308</v>
      </c>
      <c r="L284" s="14" t="str">
        <f t="shared" si="18"/>
        <v>$ 20</v>
      </c>
      <c r="M284" s="12">
        <v>2.4</v>
      </c>
      <c r="N284">
        <v>1</v>
      </c>
      <c r="O284" s="1">
        <v>0.92</v>
      </c>
      <c r="P284" s="1">
        <f t="shared" si="19"/>
        <v>0.92</v>
      </c>
    </row>
    <row r="285" spans="1:16" x14ac:dyDescent="0.35">
      <c r="A285" t="s">
        <v>644</v>
      </c>
      <c r="B285" t="s">
        <v>645</v>
      </c>
      <c r="C285" t="str">
        <f t="shared" si="16"/>
        <v>Alex Novak</v>
      </c>
      <c r="D285" t="s">
        <v>27</v>
      </c>
      <c r="E285" t="str">
        <f t="shared" si="17"/>
        <v>Male</v>
      </c>
      <c r="F285" s="12">
        <v>52</v>
      </c>
      <c r="G285" t="s">
        <v>109</v>
      </c>
      <c r="H285" s="12" t="s">
        <v>110</v>
      </c>
      <c r="I285" t="s">
        <v>75</v>
      </c>
      <c r="J285" s="12">
        <v>20</v>
      </c>
      <c r="K285" s="3">
        <v>50</v>
      </c>
      <c r="L285" s="14">
        <f t="shared" si="18"/>
        <v>50</v>
      </c>
      <c r="M285" s="12">
        <v>3</v>
      </c>
      <c r="N285">
        <v>0</v>
      </c>
      <c r="O285" s="1">
        <v>0.79</v>
      </c>
      <c r="P285" s="1">
        <f t="shared" si="19"/>
        <v>0.79</v>
      </c>
    </row>
    <row r="286" spans="1:16" x14ac:dyDescent="0.35">
      <c r="A286" t="s">
        <v>646</v>
      </c>
      <c r="B286" t="s">
        <v>647</v>
      </c>
      <c r="C286" t="str">
        <f t="shared" si="16"/>
        <v>Ann Contreras</v>
      </c>
      <c r="D286" t="s">
        <v>38</v>
      </c>
      <c r="E286" t="str">
        <f t="shared" si="17"/>
        <v>Female</v>
      </c>
      <c r="F286" s="12">
        <v>55</v>
      </c>
      <c r="G286" t="s">
        <v>82</v>
      </c>
      <c r="H286" s="12" t="s">
        <v>83</v>
      </c>
      <c r="I286" t="s">
        <v>35</v>
      </c>
      <c r="J286" s="12">
        <v>20</v>
      </c>
      <c r="K286" s="3">
        <v>75</v>
      </c>
      <c r="L286" s="14">
        <f t="shared" si="18"/>
        <v>75</v>
      </c>
      <c r="M286" s="12">
        <v>2.9</v>
      </c>
      <c r="N286">
        <v>0</v>
      </c>
      <c r="O286">
        <v>16</v>
      </c>
      <c r="P286" s="1">
        <f t="shared" si="19"/>
        <v>0.16</v>
      </c>
    </row>
    <row r="287" spans="1:16" x14ac:dyDescent="0.35">
      <c r="A287" t="s">
        <v>648</v>
      </c>
      <c r="B287" t="s">
        <v>649</v>
      </c>
      <c r="C287" t="str">
        <f t="shared" si="16"/>
        <v>Mary Reed</v>
      </c>
      <c r="D287" t="s">
        <v>38</v>
      </c>
      <c r="E287" t="str">
        <f t="shared" si="17"/>
        <v>Female</v>
      </c>
      <c r="F287" s="12">
        <v>58</v>
      </c>
      <c r="G287" t="s">
        <v>149</v>
      </c>
      <c r="H287" s="12" t="s">
        <v>150</v>
      </c>
      <c r="I287" t="s">
        <v>75</v>
      </c>
      <c r="J287" s="12">
        <v>11</v>
      </c>
      <c r="K287" s="3">
        <v>50</v>
      </c>
      <c r="L287" s="14">
        <f t="shared" si="18"/>
        <v>50</v>
      </c>
      <c r="M287" s="12">
        <v>0</v>
      </c>
      <c r="N287">
        <v>0</v>
      </c>
      <c r="O287">
        <v>16</v>
      </c>
      <c r="P287" s="1">
        <f t="shared" si="19"/>
        <v>0.16</v>
      </c>
    </row>
    <row r="288" spans="1:16" x14ac:dyDescent="0.35">
      <c r="A288" t="s">
        <v>650</v>
      </c>
      <c r="B288" t="s">
        <v>651</v>
      </c>
      <c r="C288" t="str">
        <f t="shared" si="16"/>
        <v>Lauren Ross</v>
      </c>
      <c r="D288" t="s">
        <v>20</v>
      </c>
      <c r="E288" t="str">
        <f t="shared" si="17"/>
        <v>Female</v>
      </c>
      <c r="F288" s="12">
        <v>46</v>
      </c>
      <c r="G288" t="s">
        <v>109</v>
      </c>
      <c r="H288" s="12" t="s">
        <v>110</v>
      </c>
      <c r="I288" t="s">
        <v>111</v>
      </c>
      <c r="J288" s="12">
        <v>12</v>
      </c>
      <c r="K288" s="3">
        <v>20</v>
      </c>
      <c r="L288" s="14">
        <f t="shared" si="18"/>
        <v>20</v>
      </c>
      <c r="M288" s="12">
        <v>0</v>
      </c>
      <c r="N288">
        <v>0</v>
      </c>
      <c r="O288" s="1">
        <v>0.89</v>
      </c>
      <c r="P288" s="1">
        <f t="shared" si="19"/>
        <v>0.89</v>
      </c>
    </row>
    <row r="289" spans="1:16" x14ac:dyDescent="0.35">
      <c r="A289" t="s">
        <v>652</v>
      </c>
      <c r="B289" t="s">
        <v>653</v>
      </c>
      <c r="C289" t="str">
        <f t="shared" si="16"/>
        <v>Candice Wise</v>
      </c>
      <c r="D289" t="s">
        <v>20</v>
      </c>
      <c r="E289" t="str">
        <f t="shared" si="17"/>
        <v>Female</v>
      </c>
      <c r="F289" s="12">
        <v>45</v>
      </c>
      <c r="G289" t="s">
        <v>185</v>
      </c>
      <c r="H289" s="12" t="s">
        <v>69</v>
      </c>
      <c r="I289" t="s">
        <v>111</v>
      </c>
      <c r="J289" s="12">
        <v>1</v>
      </c>
      <c r="K289" s="3">
        <v>100</v>
      </c>
      <c r="L289" s="14">
        <f t="shared" si="18"/>
        <v>100</v>
      </c>
      <c r="M289" s="12">
        <v>1.5</v>
      </c>
      <c r="N289">
        <v>1</v>
      </c>
      <c r="O289" s="1">
        <v>1</v>
      </c>
      <c r="P289" s="1">
        <f t="shared" si="19"/>
        <v>0.01</v>
      </c>
    </row>
    <row r="290" spans="1:16" x14ac:dyDescent="0.35">
      <c r="A290" t="s">
        <v>654</v>
      </c>
      <c r="B290" t="s">
        <v>655</v>
      </c>
      <c r="C290" t="str">
        <f t="shared" si="16"/>
        <v>Joyce Humphrey</v>
      </c>
      <c r="D290" t="s">
        <v>20</v>
      </c>
      <c r="E290" t="str">
        <f t="shared" si="17"/>
        <v>Female</v>
      </c>
      <c r="F290" s="12">
        <v>56</v>
      </c>
      <c r="G290" t="s">
        <v>90</v>
      </c>
      <c r="H290" s="12" t="s">
        <v>91</v>
      </c>
      <c r="I290" t="s">
        <v>111</v>
      </c>
      <c r="J290" s="12">
        <v>2</v>
      </c>
      <c r="K290" s="3">
        <v>30</v>
      </c>
      <c r="L290" s="14">
        <f t="shared" si="18"/>
        <v>30</v>
      </c>
      <c r="M290" s="12">
        <v>1.9</v>
      </c>
      <c r="N290">
        <v>1</v>
      </c>
      <c r="O290" s="1">
        <v>0.81</v>
      </c>
      <c r="P290" s="1">
        <f t="shared" si="19"/>
        <v>0.81</v>
      </c>
    </row>
    <row r="291" spans="1:16" x14ac:dyDescent="0.35">
      <c r="A291" t="s">
        <v>656</v>
      </c>
      <c r="B291" t="s">
        <v>657</v>
      </c>
      <c r="C291" t="str">
        <f t="shared" si="16"/>
        <v>James Carr</v>
      </c>
      <c r="D291" t="s">
        <v>27</v>
      </c>
      <c r="E291" t="str">
        <f t="shared" si="17"/>
        <v>Male</v>
      </c>
      <c r="F291" s="12">
        <v>44</v>
      </c>
      <c r="G291" t="s">
        <v>64</v>
      </c>
      <c r="H291" s="12" t="s">
        <v>22</v>
      </c>
      <c r="I291" t="s">
        <v>17</v>
      </c>
      <c r="J291" s="12">
        <v>13</v>
      </c>
      <c r="K291" s="3">
        <v>100</v>
      </c>
      <c r="L291" s="14">
        <f t="shared" si="18"/>
        <v>100</v>
      </c>
      <c r="M291" s="12">
        <v>3.1</v>
      </c>
      <c r="N291">
        <v>1</v>
      </c>
      <c r="O291">
        <v>95</v>
      </c>
      <c r="P291" s="1">
        <f t="shared" si="19"/>
        <v>0.95</v>
      </c>
    </row>
    <row r="292" spans="1:16" x14ac:dyDescent="0.35">
      <c r="A292" t="s">
        <v>658</v>
      </c>
      <c r="B292" t="s">
        <v>659</v>
      </c>
      <c r="C292" t="str">
        <f t="shared" si="16"/>
        <v>Joseph Mendoza</v>
      </c>
      <c r="D292" t="s">
        <v>94</v>
      </c>
      <c r="E292" t="str">
        <f t="shared" si="17"/>
        <v>Male</v>
      </c>
      <c r="F292" s="12">
        <v>46</v>
      </c>
      <c r="G292" t="s">
        <v>47</v>
      </c>
      <c r="H292" s="12" t="s">
        <v>48</v>
      </c>
      <c r="I292" t="s">
        <v>70</v>
      </c>
      <c r="J292" s="12">
        <v>11</v>
      </c>
      <c r="K292" s="3">
        <v>40</v>
      </c>
      <c r="L292" s="14">
        <f t="shared" si="18"/>
        <v>40</v>
      </c>
      <c r="M292" s="12">
        <v>1.8</v>
      </c>
      <c r="N292">
        <v>0</v>
      </c>
      <c r="O292" s="1">
        <v>0.88</v>
      </c>
      <c r="P292" s="1">
        <f t="shared" si="19"/>
        <v>0.88</v>
      </c>
    </row>
    <row r="293" spans="1:16" x14ac:dyDescent="0.35">
      <c r="A293" t="s">
        <v>660</v>
      </c>
      <c r="B293" t="s">
        <v>661</v>
      </c>
      <c r="C293" t="str">
        <f t="shared" si="16"/>
        <v>Cathy Baldwin</v>
      </c>
      <c r="D293" t="s">
        <v>74</v>
      </c>
      <c r="E293" t="str">
        <f t="shared" si="17"/>
        <v>Female</v>
      </c>
      <c r="F293" s="12">
        <v>27</v>
      </c>
      <c r="G293" t="s">
        <v>82</v>
      </c>
      <c r="H293" s="12" t="s">
        <v>83</v>
      </c>
      <c r="I293" t="s">
        <v>35</v>
      </c>
      <c r="J293" s="12">
        <v>7</v>
      </c>
      <c r="K293" s="3">
        <v>30</v>
      </c>
      <c r="L293" s="14">
        <f t="shared" si="18"/>
        <v>30</v>
      </c>
      <c r="M293" s="12">
        <v>2.4</v>
      </c>
      <c r="N293">
        <v>1</v>
      </c>
      <c r="O293" s="1">
        <v>0.66</v>
      </c>
      <c r="P293" s="1">
        <f t="shared" si="19"/>
        <v>0.66</v>
      </c>
    </row>
    <row r="294" spans="1:16" x14ac:dyDescent="0.35">
      <c r="A294" t="s">
        <v>662</v>
      </c>
      <c r="B294" t="s">
        <v>663</v>
      </c>
      <c r="C294" t="str">
        <f t="shared" si="16"/>
        <v>Christine Hart</v>
      </c>
      <c r="D294" t="s">
        <v>20</v>
      </c>
      <c r="E294" t="str">
        <f t="shared" si="17"/>
        <v>Female</v>
      </c>
      <c r="F294" s="12">
        <v>49</v>
      </c>
      <c r="G294" t="s">
        <v>90</v>
      </c>
      <c r="H294" s="12" t="s">
        <v>91</v>
      </c>
      <c r="I294" t="s">
        <v>17</v>
      </c>
      <c r="J294" s="12">
        <v>13</v>
      </c>
      <c r="K294" s="3">
        <v>100</v>
      </c>
      <c r="L294" s="14">
        <f t="shared" si="18"/>
        <v>100</v>
      </c>
      <c r="M294" s="12">
        <v>4.2</v>
      </c>
      <c r="N294">
        <v>1</v>
      </c>
      <c r="O294" s="1">
        <v>0.84</v>
      </c>
      <c r="P294" s="1">
        <f t="shared" si="19"/>
        <v>0.84</v>
      </c>
    </row>
    <row r="295" spans="1:16" x14ac:dyDescent="0.35">
      <c r="A295" t="s">
        <v>664</v>
      </c>
      <c r="B295" t="s">
        <v>665</v>
      </c>
      <c r="C295" t="str">
        <f t="shared" si="16"/>
        <v>Mike Stanley</v>
      </c>
      <c r="D295" t="s">
        <v>94</v>
      </c>
      <c r="E295" t="str">
        <f t="shared" si="17"/>
        <v>Male</v>
      </c>
      <c r="F295" s="12">
        <v>53</v>
      </c>
      <c r="G295" t="s">
        <v>174</v>
      </c>
      <c r="H295" s="12" t="s">
        <v>69</v>
      </c>
      <c r="I295" t="s">
        <v>35</v>
      </c>
      <c r="J295" s="12">
        <v>21</v>
      </c>
      <c r="K295" s="3">
        <v>50</v>
      </c>
      <c r="L295" s="14">
        <f t="shared" si="18"/>
        <v>50</v>
      </c>
      <c r="M295" s="12">
        <v>1.4</v>
      </c>
      <c r="N295">
        <v>0</v>
      </c>
      <c r="O295">
        <v>16</v>
      </c>
      <c r="P295" s="1">
        <f t="shared" si="19"/>
        <v>0.16</v>
      </c>
    </row>
    <row r="296" spans="1:16" x14ac:dyDescent="0.35">
      <c r="A296" t="s">
        <v>666</v>
      </c>
      <c r="B296" t="s">
        <v>667</v>
      </c>
      <c r="C296" t="str">
        <f t="shared" si="16"/>
        <v>Jeffrey Edwards</v>
      </c>
      <c r="D296" t="s">
        <v>94</v>
      </c>
      <c r="E296" t="str">
        <f t="shared" si="17"/>
        <v>Male</v>
      </c>
      <c r="F296" s="12">
        <v>56</v>
      </c>
      <c r="G296" t="s">
        <v>21</v>
      </c>
      <c r="H296" s="12" t="s">
        <v>22</v>
      </c>
      <c r="I296" t="s">
        <v>35</v>
      </c>
      <c r="J296" s="12">
        <v>19</v>
      </c>
      <c r="K296" s="3">
        <v>40</v>
      </c>
      <c r="L296" s="14">
        <f t="shared" si="18"/>
        <v>40</v>
      </c>
      <c r="M296" s="12">
        <v>1.2</v>
      </c>
      <c r="N296">
        <v>1</v>
      </c>
      <c r="O296" s="1">
        <v>0.82</v>
      </c>
      <c r="P296" s="1">
        <f t="shared" si="19"/>
        <v>0.82</v>
      </c>
    </row>
    <row r="297" spans="1:16" x14ac:dyDescent="0.35">
      <c r="A297" t="s">
        <v>668</v>
      </c>
      <c r="B297" t="s">
        <v>669</v>
      </c>
      <c r="C297" t="str">
        <f t="shared" si="16"/>
        <v>Amy Lee</v>
      </c>
      <c r="D297" t="s">
        <v>20</v>
      </c>
      <c r="E297" t="str">
        <f t="shared" si="17"/>
        <v>Female</v>
      </c>
      <c r="F297" s="12">
        <v>56</v>
      </c>
      <c r="G297" t="s">
        <v>64</v>
      </c>
      <c r="H297" s="12" t="s">
        <v>22</v>
      </c>
      <c r="I297" t="s">
        <v>86</v>
      </c>
      <c r="J297" s="12">
        <v>34</v>
      </c>
      <c r="K297" s="3">
        <v>40</v>
      </c>
      <c r="L297" s="14">
        <f t="shared" si="18"/>
        <v>40</v>
      </c>
      <c r="M297" s="12">
        <v>2.1</v>
      </c>
      <c r="N297">
        <v>1</v>
      </c>
      <c r="O297" s="1">
        <v>0.84</v>
      </c>
      <c r="P297" s="1">
        <f t="shared" si="19"/>
        <v>0.84</v>
      </c>
    </row>
    <row r="298" spans="1:16" x14ac:dyDescent="0.35">
      <c r="A298" t="s">
        <v>670</v>
      </c>
      <c r="B298" t="s">
        <v>671</v>
      </c>
      <c r="C298" t="str">
        <f t="shared" si="16"/>
        <v>Mark Thompson</v>
      </c>
      <c r="D298" t="s">
        <v>59</v>
      </c>
      <c r="E298" t="str">
        <f t="shared" si="17"/>
        <v>Male</v>
      </c>
      <c r="F298" s="12">
        <v>38</v>
      </c>
      <c r="G298" t="s">
        <v>149</v>
      </c>
      <c r="H298" s="12" t="s">
        <v>150</v>
      </c>
      <c r="I298" t="s">
        <v>49</v>
      </c>
      <c r="J298" s="12">
        <v>3</v>
      </c>
      <c r="K298" s="3">
        <v>100</v>
      </c>
      <c r="L298" s="14">
        <f t="shared" si="18"/>
        <v>100</v>
      </c>
      <c r="M298" s="12">
        <v>1.4</v>
      </c>
      <c r="N298">
        <v>0</v>
      </c>
      <c r="O298" s="1">
        <v>0.73</v>
      </c>
      <c r="P298" s="1">
        <f t="shared" si="19"/>
        <v>0.73</v>
      </c>
    </row>
    <row r="299" spans="1:16" x14ac:dyDescent="0.35">
      <c r="A299" t="s">
        <v>672</v>
      </c>
      <c r="B299" t="s">
        <v>673</v>
      </c>
      <c r="C299" t="str">
        <f t="shared" si="16"/>
        <v>Alex Wilson</v>
      </c>
      <c r="D299" t="s">
        <v>27</v>
      </c>
      <c r="E299" t="str">
        <f t="shared" si="17"/>
        <v>Male</v>
      </c>
      <c r="F299" s="12">
        <v>20</v>
      </c>
      <c r="G299" t="s">
        <v>109</v>
      </c>
      <c r="H299" s="12" t="s">
        <v>110</v>
      </c>
      <c r="I299" t="s">
        <v>23</v>
      </c>
      <c r="J299" s="12">
        <v>11</v>
      </c>
      <c r="K299" s="3">
        <v>30</v>
      </c>
      <c r="L299" s="14">
        <f t="shared" si="18"/>
        <v>30</v>
      </c>
      <c r="M299" s="12">
        <v>3.8</v>
      </c>
      <c r="N299">
        <v>1</v>
      </c>
      <c r="O299" s="1">
        <v>0.93</v>
      </c>
      <c r="P299" s="1">
        <f t="shared" si="19"/>
        <v>0.93</v>
      </c>
    </row>
    <row r="300" spans="1:16" x14ac:dyDescent="0.35">
      <c r="A300" t="s">
        <v>674</v>
      </c>
      <c r="B300" t="s">
        <v>675</v>
      </c>
      <c r="C300" t="str">
        <f t="shared" si="16"/>
        <v>Nancy Mendez</v>
      </c>
      <c r="D300" t="s">
        <v>38</v>
      </c>
      <c r="E300" t="str">
        <f t="shared" si="17"/>
        <v>Female</v>
      </c>
      <c r="F300" s="12">
        <v>38</v>
      </c>
      <c r="G300" t="s">
        <v>124</v>
      </c>
      <c r="H300" s="12" t="s">
        <v>22</v>
      </c>
      <c r="I300" t="s">
        <v>111</v>
      </c>
      <c r="J300" s="12">
        <v>20</v>
      </c>
      <c r="K300" s="3">
        <v>50</v>
      </c>
      <c r="L300" s="14">
        <f t="shared" si="18"/>
        <v>50</v>
      </c>
      <c r="M300" s="12">
        <v>0</v>
      </c>
      <c r="N300">
        <v>1</v>
      </c>
      <c r="O300" s="1">
        <v>0.64</v>
      </c>
      <c r="P300" s="1">
        <f t="shared" si="19"/>
        <v>0.64</v>
      </c>
    </row>
    <row r="301" spans="1:16" x14ac:dyDescent="0.35">
      <c r="A301" t="s">
        <v>676</v>
      </c>
      <c r="B301" t="s">
        <v>677</v>
      </c>
      <c r="C301" t="str">
        <f t="shared" si="16"/>
        <v>Beth Crane</v>
      </c>
      <c r="D301" t="s">
        <v>38</v>
      </c>
      <c r="E301" t="str">
        <f t="shared" si="17"/>
        <v>Female</v>
      </c>
      <c r="F301" s="12">
        <v>41</v>
      </c>
      <c r="G301" t="s">
        <v>41</v>
      </c>
      <c r="H301" s="12" t="s">
        <v>42</v>
      </c>
      <c r="I301" t="s">
        <v>23</v>
      </c>
      <c r="J301" s="12">
        <v>6</v>
      </c>
      <c r="K301" s="3">
        <v>40</v>
      </c>
      <c r="L301" s="14">
        <f t="shared" si="18"/>
        <v>40</v>
      </c>
      <c r="M301" s="12">
        <v>3.5</v>
      </c>
      <c r="N301">
        <v>0</v>
      </c>
      <c r="O301" s="1">
        <v>0.76</v>
      </c>
      <c r="P301" s="1">
        <f t="shared" si="19"/>
        <v>0.76</v>
      </c>
    </row>
    <row r="302" spans="1:16" x14ac:dyDescent="0.35">
      <c r="A302" t="s">
        <v>678</v>
      </c>
      <c r="B302" t="s">
        <v>679</v>
      </c>
      <c r="C302" t="str">
        <f t="shared" si="16"/>
        <v>Miguel Rogers</v>
      </c>
      <c r="D302" t="s">
        <v>59</v>
      </c>
      <c r="E302" t="str">
        <f t="shared" si="17"/>
        <v>Male</v>
      </c>
      <c r="F302" s="12">
        <v>46</v>
      </c>
      <c r="G302" t="s">
        <v>90</v>
      </c>
      <c r="H302" s="12" t="s">
        <v>91</v>
      </c>
      <c r="I302" t="s">
        <v>111</v>
      </c>
      <c r="J302" s="12">
        <v>13</v>
      </c>
      <c r="K302" s="3">
        <v>100</v>
      </c>
      <c r="L302" s="14">
        <f t="shared" si="18"/>
        <v>100</v>
      </c>
      <c r="M302" s="12">
        <v>0</v>
      </c>
      <c r="N302">
        <v>1</v>
      </c>
      <c r="O302" s="1">
        <v>0.97</v>
      </c>
      <c r="P302" s="1">
        <f t="shared" si="19"/>
        <v>0.97</v>
      </c>
    </row>
    <row r="303" spans="1:16" x14ac:dyDescent="0.35">
      <c r="A303" t="s">
        <v>680</v>
      </c>
      <c r="B303" t="s">
        <v>681</v>
      </c>
      <c r="C303" t="str">
        <f t="shared" si="16"/>
        <v>Thomas Robles</v>
      </c>
      <c r="D303" t="s">
        <v>94</v>
      </c>
      <c r="E303" t="str">
        <f t="shared" si="17"/>
        <v>Male</v>
      </c>
      <c r="F303" s="12">
        <v>36</v>
      </c>
      <c r="G303" t="s">
        <v>149</v>
      </c>
      <c r="H303" s="12" t="s">
        <v>150</v>
      </c>
      <c r="I303" t="s">
        <v>49</v>
      </c>
      <c r="J303" s="12">
        <v>9</v>
      </c>
      <c r="K303" s="3">
        <v>75</v>
      </c>
      <c r="L303" s="14">
        <f t="shared" si="18"/>
        <v>75</v>
      </c>
      <c r="M303" s="12">
        <v>2.2000000000000002</v>
      </c>
      <c r="N303">
        <v>0</v>
      </c>
      <c r="O303" s="1">
        <v>0.95</v>
      </c>
      <c r="P303" s="1">
        <f t="shared" si="19"/>
        <v>0.95</v>
      </c>
    </row>
    <row r="304" spans="1:16" x14ac:dyDescent="0.35">
      <c r="A304" t="s">
        <v>682</v>
      </c>
      <c r="B304" t="s">
        <v>683</v>
      </c>
      <c r="C304" t="str">
        <f t="shared" si="16"/>
        <v>Joel Brown Iii</v>
      </c>
      <c r="D304" t="s">
        <v>94</v>
      </c>
      <c r="E304" t="str">
        <f t="shared" si="17"/>
        <v>Male</v>
      </c>
      <c r="F304" s="12">
        <v>33</v>
      </c>
      <c r="G304" t="s">
        <v>120</v>
      </c>
      <c r="H304" s="12" t="s">
        <v>121</v>
      </c>
      <c r="I304" t="s">
        <v>35</v>
      </c>
      <c r="J304" s="12">
        <v>2</v>
      </c>
      <c r="K304" s="3">
        <v>75</v>
      </c>
      <c r="L304" s="14">
        <f t="shared" si="18"/>
        <v>75</v>
      </c>
      <c r="M304" s="12">
        <v>2.5</v>
      </c>
      <c r="N304">
        <v>0</v>
      </c>
      <c r="O304" s="1">
        <v>0.65</v>
      </c>
      <c r="P304" s="1">
        <f t="shared" si="19"/>
        <v>0.65</v>
      </c>
    </row>
    <row r="305" spans="1:16" x14ac:dyDescent="0.35">
      <c r="A305" t="s">
        <v>684</v>
      </c>
      <c r="B305" t="s">
        <v>685</v>
      </c>
      <c r="C305" t="str">
        <f t="shared" si="16"/>
        <v>Olivia Schultz</v>
      </c>
      <c r="D305" t="s">
        <v>38</v>
      </c>
      <c r="E305" t="str">
        <f t="shared" si="17"/>
        <v>Female</v>
      </c>
      <c r="F305" s="12">
        <v>37</v>
      </c>
      <c r="G305" t="s">
        <v>124</v>
      </c>
      <c r="H305" s="12" t="s">
        <v>22</v>
      </c>
      <c r="I305" t="s">
        <v>30</v>
      </c>
      <c r="J305" s="12">
        <v>11</v>
      </c>
      <c r="K305" s="3" t="s">
        <v>95</v>
      </c>
      <c r="L305" s="14" t="str">
        <f t="shared" si="18"/>
        <v>$ 50</v>
      </c>
      <c r="M305" s="12">
        <v>4.7</v>
      </c>
      <c r="N305">
        <v>0</v>
      </c>
      <c r="O305" s="1">
        <v>0.77</v>
      </c>
      <c r="P305" s="1">
        <f t="shared" si="19"/>
        <v>0.77</v>
      </c>
    </row>
    <row r="306" spans="1:16" x14ac:dyDescent="0.35">
      <c r="A306" t="s">
        <v>686</v>
      </c>
      <c r="B306" t="s">
        <v>687</v>
      </c>
      <c r="C306" t="str">
        <f t="shared" si="16"/>
        <v>Clayton Pena</v>
      </c>
      <c r="D306" t="s">
        <v>94</v>
      </c>
      <c r="E306" t="str">
        <f t="shared" si="17"/>
        <v>Male</v>
      </c>
      <c r="F306" s="12">
        <v>20</v>
      </c>
      <c r="G306" t="s">
        <v>135</v>
      </c>
      <c r="H306" s="12" t="s">
        <v>136</v>
      </c>
      <c r="I306" t="s">
        <v>49</v>
      </c>
      <c r="J306" s="12">
        <v>11</v>
      </c>
      <c r="K306" s="3">
        <v>20</v>
      </c>
      <c r="L306" s="14">
        <f t="shared" si="18"/>
        <v>20</v>
      </c>
      <c r="M306" s="12">
        <v>3.9</v>
      </c>
      <c r="N306">
        <v>0</v>
      </c>
      <c r="O306">
        <v>16</v>
      </c>
      <c r="P306" s="1">
        <f t="shared" si="19"/>
        <v>0.16</v>
      </c>
    </row>
    <row r="307" spans="1:16" x14ac:dyDescent="0.35">
      <c r="A307" t="s">
        <v>688</v>
      </c>
      <c r="B307" t="s">
        <v>689</v>
      </c>
      <c r="C307" t="str">
        <f t="shared" si="16"/>
        <v>Ashley Salazar</v>
      </c>
      <c r="D307" t="s">
        <v>20</v>
      </c>
      <c r="E307" t="str">
        <f t="shared" si="17"/>
        <v>Female</v>
      </c>
      <c r="F307" s="12">
        <v>48</v>
      </c>
      <c r="G307" t="s">
        <v>170</v>
      </c>
      <c r="H307" s="12" t="s">
        <v>171</v>
      </c>
      <c r="I307" t="s">
        <v>49</v>
      </c>
      <c r="J307" s="12">
        <v>2</v>
      </c>
      <c r="K307" s="3">
        <v>75</v>
      </c>
      <c r="L307" s="14">
        <f t="shared" si="18"/>
        <v>75</v>
      </c>
      <c r="M307" s="12">
        <v>1.6</v>
      </c>
      <c r="N307">
        <v>0</v>
      </c>
      <c r="O307" s="1">
        <v>0.67</v>
      </c>
      <c r="P307" s="1">
        <f t="shared" si="19"/>
        <v>0.67</v>
      </c>
    </row>
    <row r="308" spans="1:16" x14ac:dyDescent="0.35">
      <c r="A308" t="s">
        <v>690</v>
      </c>
      <c r="B308" t="s">
        <v>691</v>
      </c>
      <c r="C308" t="str">
        <f t="shared" si="16"/>
        <v>Robert Lucas</v>
      </c>
      <c r="D308" t="s">
        <v>27</v>
      </c>
      <c r="E308" t="str">
        <f t="shared" si="17"/>
        <v>Male</v>
      </c>
      <c r="F308" s="12">
        <v>27</v>
      </c>
      <c r="G308" t="s">
        <v>131</v>
      </c>
      <c r="H308" s="12" t="s">
        <v>132</v>
      </c>
      <c r="I308" t="s">
        <v>75</v>
      </c>
      <c r="J308" s="12">
        <v>2</v>
      </c>
      <c r="K308" s="3">
        <v>50</v>
      </c>
      <c r="L308" s="14">
        <f t="shared" si="18"/>
        <v>50</v>
      </c>
      <c r="M308" s="12">
        <v>3</v>
      </c>
      <c r="N308">
        <v>0</v>
      </c>
      <c r="O308" s="1">
        <v>0.84</v>
      </c>
      <c r="P308" s="1">
        <f t="shared" si="19"/>
        <v>0.84</v>
      </c>
    </row>
    <row r="309" spans="1:16" x14ac:dyDescent="0.35">
      <c r="A309" t="s">
        <v>692</v>
      </c>
      <c r="B309" t="s">
        <v>693</v>
      </c>
      <c r="C309" t="str">
        <f t="shared" si="16"/>
        <v>David Cox</v>
      </c>
      <c r="D309" t="s">
        <v>27</v>
      </c>
      <c r="E309" t="str">
        <f t="shared" si="17"/>
        <v>Male</v>
      </c>
      <c r="F309" s="12">
        <v>34</v>
      </c>
      <c r="G309" t="s">
        <v>109</v>
      </c>
      <c r="H309" s="12" t="s">
        <v>110</v>
      </c>
      <c r="I309" t="s">
        <v>23</v>
      </c>
      <c r="J309" s="12">
        <v>1</v>
      </c>
      <c r="K309" s="3">
        <v>30</v>
      </c>
      <c r="L309" s="14">
        <f t="shared" si="18"/>
        <v>30</v>
      </c>
      <c r="M309" s="12">
        <v>3.6</v>
      </c>
      <c r="N309">
        <v>1</v>
      </c>
      <c r="O309" s="1">
        <v>0.87</v>
      </c>
      <c r="P309" s="1">
        <f t="shared" si="19"/>
        <v>0.87</v>
      </c>
    </row>
    <row r="310" spans="1:16" x14ac:dyDescent="0.35">
      <c r="A310" t="s">
        <v>694</v>
      </c>
      <c r="B310" t="s">
        <v>695</v>
      </c>
      <c r="C310" t="str">
        <f t="shared" si="16"/>
        <v>Christian Campbell</v>
      </c>
      <c r="D310" t="s">
        <v>94</v>
      </c>
      <c r="E310" t="str">
        <f t="shared" si="17"/>
        <v>Male</v>
      </c>
      <c r="F310" s="12">
        <v>55</v>
      </c>
      <c r="G310" t="s">
        <v>104</v>
      </c>
      <c r="H310" s="12" t="s">
        <v>105</v>
      </c>
      <c r="I310" t="s">
        <v>111</v>
      </c>
      <c r="J310" s="12">
        <v>14</v>
      </c>
      <c r="K310" s="3" t="s">
        <v>106</v>
      </c>
      <c r="L310" s="14" t="str">
        <f t="shared" si="18"/>
        <v>$ 30</v>
      </c>
      <c r="M310" s="12">
        <v>1.2</v>
      </c>
      <c r="N310">
        <v>1</v>
      </c>
      <c r="O310" s="1">
        <v>0.91</v>
      </c>
      <c r="P310" s="1">
        <f t="shared" si="19"/>
        <v>0.91</v>
      </c>
    </row>
    <row r="311" spans="1:16" x14ac:dyDescent="0.35">
      <c r="A311" t="s">
        <v>696</v>
      </c>
      <c r="B311" t="s">
        <v>697</v>
      </c>
      <c r="C311" t="str">
        <f t="shared" si="16"/>
        <v>Mrs. Angela Ward</v>
      </c>
      <c r="D311" t="s">
        <v>38</v>
      </c>
      <c r="E311" t="str">
        <f t="shared" si="17"/>
        <v>Female</v>
      </c>
      <c r="F311" s="12">
        <v>44</v>
      </c>
      <c r="G311" t="s">
        <v>149</v>
      </c>
      <c r="H311" s="12" t="s">
        <v>150</v>
      </c>
      <c r="I311" t="s">
        <v>111</v>
      </c>
      <c r="J311" s="12">
        <v>14</v>
      </c>
      <c r="K311" s="3" t="s">
        <v>50</v>
      </c>
      <c r="L311" s="14" t="str">
        <f t="shared" si="18"/>
        <v>$ 75</v>
      </c>
      <c r="M311" s="12">
        <v>3</v>
      </c>
      <c r="N311">
        <v>0</v>
      </c>
      <c r="O311" s="1">
        <v>0.78</v>
      </c>
      <c r="P311" s="1">
        <f t="shared" si="19"/>
        <v>0.78</v>
      </c>
    </row>
    <row r="312" spans="1:16" x14ac:dyDescent="0.35">
      <c r="A312" t="s">
        <v>698</v>
      </c>
      <c r="B312" t="s">
        <v>699</v>
      </c>
      <c r="C312" t="str">
        <f t="shared" si="16"/>
        <v>Lucas Chen</v>
      </c>
      <c r="D312" t="s">
        <v>27</v>
      </c>
      <c r="E312" t="str">
        <f t="shared" si="17"/>
        <v>Male</v>
      </c>
      <c r="F312" s="12">
        <v>31</v>
      </c>
      <c r="G312" t="s">
        <v>41</v>
      </c>
      <c r="H312" s="12" t="s">
        <v>42</v>
      </c>
      <c r="I312" t="s">
        <v>70</v>
      </c>
      <c r="J312" s="12">
        <v>2</v>
      </c>
      <c r="K312" s="3">
        <v>50</v>
      </c>
      <c r="L312" s="14">
        <f t="shared" si="18"/>
        <v>50</v>
      </c>
      <c r="M312" s="12">
        <v>3.9</v>
      </c>
      <c r="N312">
        <v>0</v>
      </c>
      <c r="O312">
        <v>16</v>
      </c>
      <c r="P312" s="1">
        <f t="shared" si="19"/>
        <v>0.16</v>
      </c>
    </row>
    <row r="313" spans="1:16" x14ac:dyDescent="0.35">
      <c r="A313" t="s">
        <v>700</v>
      </c>
      <c r="B313" t="s">
        <v>701</v>
      </c>
      <c r="C313" t="str">
        <f t="shared" si="16"/>
        <v>Ruben Nelson</v>
      </c>
      <c r="D313" t="s">
        <v>27</v>
      </c>
      <c r="E313" t="str">
        <f t="shared" si="17"/>
        <v>Male</v>
      </c>
      <c r="F313" s="12">
        <v>34</v>
      </c>
      <c r="G313" t="s">
        <v>21</v>
      </c>
      <c r="H313" s="12" t="s">
        <v>22</v>
      </c>
      <c r="I313" t="s">
        <v>86</v>
      </c>
      <c r="J313" s="12">
        <v>1</v>
      </c>
      <c r="K313" s="3">
        <v>40</v>
      </c>
      <c r="L313" s="14">
        <f t="shared" si="18"/>
        <v>40</v>
      </c>
      <c r="M313" s="12">
        <v>1.7</v>
      </c>
      <c r="N313">
        <v>1</v>
      </c>
      <c r="O313">
        <v>74</v>
      </c>
      <c r="P313" s="1">
        <f t="shared" si="19"/>
        <v>0.74</v>
      </c>
    </row>
    <row r="314" spans="1:16" x14ac:dyDescent="0.35">
      <c r="A314" t="s">
        <v>702</v>
      </c>
      <c r="B314" t="s">
        <v>703</v>
      </c>
      <c r="C314" t="str">
        <f t="shared" si="16"/>
        <v>Brenda Briggs</v>
      </c>
      <c r="D314" t="s">
        <v>38</v>
      </c>
      <c r="E314" t="str">
        <f t="shared" si="17"/>
        <v>Female</v>
      </c>
      <c r="F314" s="12">
        <v>47</v>
      </c>
      <c r="G314" t="s">
        <v>104</v>
      </c>
      <c r="H314" s="12" t="s">
        <v>105</v>
      </c>
      <c r="I314" t="s">
        <v>86</v>
      </c>
      <c r="J314" s="12">
        <v>13</v>
      </c>
      <c r="K314" s="3">
        <v>20</v>
      </c>
      <c r="L314" s="14">
        <f t="shared" si="18"/>
        <v>20</v>
      </c>
      <c r="M314" s="12">
        <v>4.5</v>
      </c>
      <c r="N314">
        <v>1</v>
      </c>
      <c r="O314" s="1">
        <v>0.91</v>
      </c>
      <c r="P314" s="1">
        <f t="shared" si="19"/>
        <v>0.91</v>
      </c>
    </row>
    <row r="315" spans="1:16" x14ac:dyDescent="0.35">
      <c r="A315" t="s">
        <v>704</v>
      </c>
      <c r="B315" t="s">
        <v>705</v>
      </c>
      <c r="C315" t="str">
        <f t="shared" si="16"/>
        <v>Ronald Smith</v>
      </c>
      <c r="D315" t="s">
        <v>27</v>
      </c>
      <c r="E315" t="str">
        <f t="shared" si="17"/>
        <v>Male</v>
      </c>
      <c r="F315" s="12">
        <v>50</v>
      </c>
      <c r="G315" t="s">
        <v>56</v>
      </c>
      <c r="H315" s="12" t="s">
        <v>22</v>
      </c>
      <c r="I315" t="s">
        <v>30</v>
      </c>
      <c r="J315" s="12">
        <v>23</v>
      </c>
      <c r="K315" s="3">
        <v>40</v>
      </c>
      <c r="L315" s="14">
        <f t="shared" si="18"/>
        <v>40</v>
      </c>
      <c r="M315" s="12">
        <v>3.6</v>
      </c>
      <c r="N315">
        <v>1</v>
      </c>
      <c r="O315" s="1">
        <v>0.71</v>
      </c>
      <c r="P315" s="1">
        <f t="shared" si="19"/>
        <v>0.71</v>
      </c>
    </row>
    <row r="316" spans="1:16" x14ac:dyDescent="0.35">
      <c r="A316" t="s">
        <v>706</v>
      </c>
      <c r="B316" t="s">
        <v>707</v>
      </c>
      <c r="C316" t="str">
        <f t="shared" si="16"/>
        <v>Dakota Giles</v>
      </c>
      <c r="D316" t="s">
        <v>27</v>
      </c>
      <c r="E316" t="str">
        <f t="shared" si="17"/>
        <v>Male</v>
      </c>
      <c r="F316" s="12">
        <v>39</v>
      </c>
      <c r="G316" t="s">
        <v>28</v>
      </c>
      <c r="H316" s="12" t="s">
        <v>29</v>
      </c>
      <c r="I316" t="s">
        <v>75</v>
      </c>
      <c r="J316" s="12">
        <v>11</v>
      </c>
      <c r="K316" s="3" t="s">
        <v>50</v>
      </c>
      <c r="L316" s="14" t="str">
        <f t="shared" si="18"/>
        <v>$ 75</v>
      </c>
      <c r="M316" s="12">
        <v>3.6</v>
      </c>
      <c r="N316">
        <v>1</v>
      </c>
      <c r="O316" s="1">
        <v>0.87</v>
      </c>
      <c r="P316" s="1">
        <f t="shared" si="19"/>
        <v>0.87</v>
      </c>
    </row>
    <row r="317" spans="1:16" x14ac:dyDescent="0.35">
      <c r="A317" t="s">
        <v>708</v>
      </c>
      <c r="B317" t="s">
        <v>709</v>
      </c>
      <c r="C317" t="str">
        <f t="shared" si="16"/>
        <v>Angela Castillo</v>
      </c>
      <c r="D317" t="s">
        <v>20</v>
      </c>
      <c r="E317" t="str">
        <f t="shared" si="17"/>
        <v>Female</v>
      </c>
      <c r="F317" s="12">
        <v>26</v>
      </c>
      <c r="G317" t="s">
        <v>68</v>
      </c>
      <c r="H317" s="12" t="s">
        <v>69</v>
      </c>
      <c r="I317" t="s">
        <v>17</v>
      </c>
      <c r="J317" s="12">
        <v>3</v>
      </c>
      <c r="K317" s="3" t="s">
        <v>24</v>
      </c>
      <c r="L317" s="14" t="str">
        <f t="shared" si="18"/>
        <v>$ 100</v>
      </c>
      <c r="M317" s="12">
        <v>2.8</v>
      </c>
      <c r="N317">
        <v>1</v>
      </c>
      <c r="O317" s="1">
        <v>0.61</v>
      </c>
      <c r="P317" s="1">
        <f t="shared" si="19"/>
        <v>0.61</v>
      </c>
    </row>
    <row r="318" spans="1:16" x14ac:dyDescent="0.35">
      <c r="A318" t="s">
        <v>710</v>
      </c>
      <c r="B318" t="s">
        <v>711</v>
      </c>
      <c r="C318" t="str">
        <f t="shared" si="16"/>
        <v>Allen Lee</v>
      </c>
      <c r="D318" t="s">
        <v>27</v>
      </c>
      <c r="E318" t="str">
        <f t="shared" si="17"/>
        <v>Male</v>
      </c>
      <c r="F318" s="12">
        <v>41</v>
      </c>
      <c r="G318" t="s">
        <v>41</v>
      </c>
      <c r="H318" s="12" t="s">
        <v>42</v>
      </c>
      <c r="I318" t="s">
        <v>86</v>
      </c>
      <c r="J318" s="12">
        <v>11</v>
      </c>
      <c r="K318" s="3">
        <v>100</v>
      </c>
      <c r="L318" s="14">
        <f t="shared" si="18"/>
        <v>100</v>
      </c>
      <c r="M318" s="12">
        <v>5</v>
      </c>
      <c r="N318">
        <v>0</v>
      </c>
      <c r="O318">
        <v>16</v>
      </c>
      <c r="P318" s="1">
        <f t="shared" si="19"/>
        <v>0.16</v>
      </c>
    </row>
    <row r="319" spans="1:16" x14ac:dyDescent="0.35">
      <c r="A319" t="s">
        <v>712</v>
      </c>
      <c r="B319" t="s">
        <v>713</v>
      </c>
      <c r="C319" t="str">
        <f t="shared" si="16"/>
        <v>Michael Rogers</v>
      </c>
      <c r="D319" t="s">
        <v>27</v>
      </c>
      <c r="E319" t="str">
        <f t="shared" si="17"/>
        <v>Male</v>
      </c>
      <c r="F319" s="12">
        <v>32</v>
      </c>
      <c r="G319" t="s">
        <v>28</v>
      </c>
      <c r="H319" s="12" t="s">
        <v>29</v>
      </c>
      <c r="I319" t="s">
        <v>30</v>
      </c>
      <c r="J319" s="12">
        <v>11</v>
      </c>
      <c r="K319" s="3">
        <v>100</v>
      </c>
      <c r="L319" s="14">
        <f t="shared" si="18"/>
        <v>100</v>
      </c>
      <c r="M319" s="12">
        <v>1.4</v>
      </c>
      <c r="N319">
        <v>1</v>
      </c>
      <c r="O319" s="1">
        <v>0.81</v>
      </c>
      <c r="P319" s="1">
        <f t="shared" si="19"/>
        <v>0.81</v>
      </c>
    </row>
    <row r="320" spans="1:16" x14ac:dyDescent="0.35">
      <c r="A320" t="s">
        <v>714</v>
      </c>
      <c r="B320" t="s">
        <v>715</v>
      </c>
      <c r="C320" t="str">
        <f t="shared" si="16"/>
        <v>Danielle Costa</v>
      </c>
      <c r="D320" t="s">
        <v>74</v>
      </c>
      <c r="E320" t="str">
        <f t="shared" si="17"/>
        <v>Female</v>
      </c>
      <c r="F320" s="12">
        <v>55</v>
      </c>
      <c r="G320" t="s">
        <v>120</v>
      </c>
      <c r="H320" s="12" t="s">
        <v>121</v>
      </c>
      <c r="I320" t="s">
        <v>49</v>
      </c>
      <c r="J320" s="12">
        <v>17</v>
      </c>
      <c r="K320" s="3">
        <v>30</v>
      </c>
      <c r="L320" s="14">
        <f t="shared" si="18"/>
        <v>30</v>
      </c>
      <c r="M320" s="12">
        <v>3</v>
      </c>
      <c r="N320">
        <v>1</v>
      </c>
      <c r="O320">
        <v>16</v>
      </c>
      <c r="P320" s="1">
        <f t="shared" si="19"/>
        <v>0.16</v>
      </c>
    </row>
    <row r="321" spans="1:16" x14ac:dyDescent="0.35">
      <c r="A321" t="s">
        <v>716</v>
      </c>
      <c r="B321" t="s">
        <v>717</v>
      </c>
      <c r="C321" t="str">
        <f t="shared" si="16"/>
        <v>William Nunez</v>
      </c>
      <c r="D321" t="s">
        <v>27</v>
      </c>
      <c r="E321" t="str">
        <f t="shared" si="17"/>
        <v>Male</v>
      </c>
      <c r="F321" s="12">
        <v>32</v>
      </c>
      <c r="G321" t="s">
        <v>68</v>
      </c>
      <c r="H321" s="12" t="s">
        <v>69</v>
      </c>
      <c r="I321" t="s">
        <v>111</v>
      </c>
      <c r="J321" s="12">
        <v>9</v>
      </c>
      <c r="K321" s="3" t="s">
        <v>53</v>
      </c>
      <c r="L321" s="14" t="str">
        <f t="shared" si="18"/>
        <v>$ 40</v>
      </c>
      <c r="M321" s="12">
        <v>4.5999999999999996</v>
      </c>
      <c r="N321">
        <v>1</v>
      </c>
      <c r="O321" s="1">
        <v>0.84</v>
      </c>
      <c r="P321" s="1">
        <f t="shared" si="19"/>
        <v>0.84</v>
      </c>
    </row>
    <row r="322" spans="1:16" x14ac:dyDescent="0.35">
      <c r="A322" t="s">
        <v>718</v>
      </c>
      <c r="B322" t="s">
        <v>719</v>
      </c>
      <c r="C322" t="str">
        <f t="shared" si="16"/>
        <v>Christopher Riggs</v>
      </c>
      <c r="D322" t="s">
        <v>27</v>
      </c>
      <c r="E322" t="str">
        <f t="shared" si="17"/>
        <v>Male</v>
      </c>
      <c r="F322" s="12">
        <v>30</v>
      </c>
      <c r="G322" t="s">
        <v>109</v>
      </c>
      <c r="H322" s="12" t="s">
        <v>110</v>
      </c>
      <c r="I322" t="s">
        <v>17</v>
      </c>
      <c r="J322" s="12">
        <v>4</v>
      </c>
      <c r="K322" s="3">
        <v>20</v>
      </c>
      <c r="L322" s="14">
        <f t="shared" si="18"/>
        <v>20</v>
      </c>
      <c r="M322" s="12">
        <v>3.3</v>
      </c>
      <c r="N322">
        <v>1</v>
      </c>
      <c r="O322">
        <v>16</v>
      </c>
      <c r="P322" s="1">
        <f t="shared" si="19"/>
        <v>0.16</v>
      </c>
    </row>
    <row r="323" spans="1:16" x14ac:dyDescent="0.35">
      <c r="A323" t="s">
        <v>720</v>
      </c>
      <c r="B323" t="s">
        <v>721</v>
      </c>
      <c r="C323" t="str">
        <f t="shared" ref="C323:C386" si="20">PROPER(B323)</f>
        <v>Kathryn Myers</v>
      </c>
      <c r="D323" t="s">
        <v>38</v>
      </c>
      <c r="E323" t="str">
        <f t="shared" ref="E323:E386" si="21">PROPER(D323)</f>
        <v>Female</v>
      </c>
      <c r="F323" s="12">
        <v>37</v>
      </c>
      <c r="G323" t="s">
        <v>124</v>
      </c>
      <c r="H323" s="12" t="s">
        <v>22</v>
      </c>
      <c r="I323" t="s">
        <v>75</v>
      </c>
      <c r="J323" s="12">
        <v>11</v>
      </c>
      <c r="K323" s="3">
        <v>40</v>
      </c>
      <c r="L323" s="14">
        <f t="shared" ref="L323:L386" si="22">IF(K323="","",IF(LEFT(K323,3)="USD","$"&amp;MID(K323,4,LEN(K323)-3),K323))</f>
        <v>40</v>
      </c>
      <c r="M323" s="12">
        <v>3.7</v>
      </c>
      <c r="N323">
        <v>1</v>
      </c>
      <c r="O323">
        <v>16</v>
      </c>
      <c r="P323" s="1">
        <f t="shared" ref="P323:P386" si="23">IF(O323="","",IF(O323&lt;1,O323,O323/100))</f>
        <v>0.16</v>
      </c>
    </row>
    <row r="324" spans="1:16" x14ac:dyDescent="0.35">
      <c r="A324" t="s">
        <v>722</v>
      </c>
      <c r="B324" t="s">
        <v>723</v>
      </c>
      <c r="C324" t="str">
        <f t="shared" si="20"/>
        <v>Robert Walls</v>
      </c>
      <c r="D324" t="s">
        <v>27</v>
      </c>
      <c r="E324" t="str">
        <f t="shared" si="21"/>
        <v>Male</v>
      </c>
      <c r="F324" s="12">
        <v>52</v>
      </c>
      <c r="G324" t="s">
        <v>104</v>
      </c>
      <c r="H324" s="12" t="s">
        <v>105</v>
      </c>
      <c r="I324" t="s">
        <v>30</v>
      </c>
      <c r="J324" s="12">
        <v>33</v>
      </c>
      <c r="K324" s="3">
        <v>40</v>
      </c>
      <c r="L324" s="14">
        <f t="shared" si="22"/>
        <v>40</v>
      </c>
      <c r="M324" s="12">
        <v>0</v>
      </c>
      <c r="N324">
        <v>1</v>
      </c>
      <c r="O324" s="1">
        <v>0.6</v>
      </c>
      <c r="P324" s="1">
        <f t="shared" si="23"/>
        <v>0.6</v>
      </c>
    </row>
    <row r="325" spans="1:16" x14ac:dyDescent="0.35">
      <c r="A325" t="s">
        <v>724</v>
      </c>
      <c r="B325" t="s">
        <v>725</v>
      </c>
      <c r="C325" t="str">
        <f t="shared" si="20"/>
        <v>Justin Johnson</v>
      </c>
      <c r="D325" t="s">
        <v>94</v>
      </c>
      <c r="E325" t="str">
        <f t="shared" si="21"/>
        <v>Male</v>
      </c>
      <c r="F325" s="12">
        <v>48</v>
      </c>
      <c r="G325" t="s">
        <v>90</v>
      </c>
      <c r="H325" s="12" t="s">
        <v>91</v>
      </c>
      <c r="I325" t="s">
        <v>75</v>
      </c>
      <c r="J325" s="12">
        <v>18</v>
      </c>
      <c r="K325" s="3">
        <v>50</v>
      </c>
      <c r="L325" s="14">
        <f t="shared" si="22"/>
        <v>50</v>
      </c>
      <c r="M325" s="12">
        <v>0</v>
      </c>
      <c r="N325">
        <v>1</v>
      </c>
      <c r="O325" s="1">
        <v>0.64</v>
      </c>
      <c r="P325" s="1">
        <f t="shared" si="23"/>
        <v>0.64</v>
      </c>
    </row>
    <row r="326" spans="1:16" x14ac:dyDescent="0.35">
      <c r="A326" t="s">
        <v>726</v>
      </c>
      <c r="B326" t="s">
        <v>727</v>
      </c>
      <c r="C326" t="str">
        <f t="shared" si="20"/>
        <v>Paula Stevens</v>
      </c>
      <c r="D326" t="s">
        <v>20</v>
      </c>
      <c r="E326" t="str">
        <f t="shared" si="21"/>
        <v>Female</v>
      </c>
      <c r="F326" s="12">
        <v>28</v>
      </c>
      <c r="G326" t="s">
        <v>82</v>
      </c>
      <c r="H326" s="12" t="s">
        <v>83</v>
      </c>
      <c r="I326" t="s">
        <v>23</v>
      </c>
      <c r="J326" s="12">
        <v>9</v>
      </c>
      <c r="K326" s="3">
        <v>40</v>
      </c>
      <c r="L326" s="14">
        <f t="shared" si="22"/>
        <v>40</v>
      </c>
      <c r="M326" s="12">
        <v>3</v>
      </c>
      <c r="N326">
        <v>1</v>
      </c>
      <c r="O326" s="1">
        <v>0.64</v>
      </c>
      <c r="P326" s="1">
        <f t="shared" si="23"/>
        <v>0.64</v>
      </c>
    </row>
    <row r="327" spans="1:16" x14ac:dyDescent="0.35">
      <c r="A327" t="s">
        <v>728</v>
      </c>
      <c r="B327" t="s">
        <v>729</v>
      </c>
      <c r="C327" t="str">
        <f t="shared" si="20"/>
        <v>Jennifer Allen</v>
      </c>
      <c r="D327" t="s">
        <v>20</v>
      </c>
      <c r="E327" t="str">
        <f t="shared" si="21"/>
        <v>Female</v>
      </c>
      <c r="F327" s="12">
        <v>58</v>
      </c>
      <c r="G327" t="s">
        <v>185</v>
      </c>
      <c r="H327" s="12" t="s">
        <v>69</v>
      </c>
      <c r="I327" t="s">
        <v>49</v>
      </c>
      <c r="J327" s="12">
        <v>40</v>
      </c>
      <c r="K327" s="3">
        <v>75</v>
      </c>
      <c r="L327" s="14">
        <f t="shared" si="22"/>
        <v>75</v>
      </c>
      <c r="M327" s="12">
        <v>3.4</v>
      </c>
      <c r="N327">
        <v>1</v>
      </c>
      <c r="O327" s="1">
        <v>1</v>
      </c>
      <c r="P327" s="1">
        <f t="shared" si="23"/>
        <v>0.01</v>
      </c>
    </row>
    <row r="328" spans="1:16" x14ac:dyDescent="0.35">
      <c r="A328" t="s">
        <v>730</v>
      </c>
      <c r="B328" t="s">
        <v>731</v>
      </c>
      <c r="C328" t="str">
        <f t="shared" si="20"/>
        <v>Mark Hudson</v>
      </c>
      <c r="D328" t="s">
        <v>27</v>
      </c>
      <c r="E328" t="str">
        <f t="shared" si="21"/>
        <v>Male</v>
      </c>
      <c r="F328" s="12">
        <v>30</v>
      </c>
      <c r="G328" t="s">
        <v>68</v>
      </c>
      <c r="H328" s="12" t="s">
        <v>69</v>
      </c>
      <c r="I328" t="s">
        <v>35</v>
      </c>
      <c r="J328" s="12">
        <v>1</v>
      </c>
      <c r="K328" s="3">
        <v>40</v>
      </c>
      <c r="L328" s="14">
        <f t="shared" si="22"/>
        <v>40</v>
      </c>
      <c r="M328" s="12">
        <v>1.6</v>
      </c>
      <c r="N328">
        <v>1</v>
      </c>
      <c r="O328">
        <v>100</v>
      </c>
      <c r="P328" s="1">
        <f t="shared" si="23"/>
        <v>1</v>
      </c>
    </row>
    <row r="329" spans="1:16" x14ac:dyDescent="0.35">
      <c r="A329" t="s">
        <v>732</v>
      </c>
      <c r="B329" t="s">
        <v>733</v>
      </c>
      <c r="C329" t="str">
        <f t="shared" si="20"/>
        <v>Jessica Smith</v>
      </c>
      <c r="D329" t="s">
        <v>74</v>
      </c>
      <c r="E329" t="str">
        <f t="shared" si="21"/>
        <v>Female</v>
      </c>
      <c r="F329" s="12">
        <v>47</v>
      </c>
      <c r="G329" t="s">
        <v>170</v>
      </c>
      <c r="H329" s="12" t="s">
        <v>171</v>
      </c>
      <c r="I329" t="s">
        <v>23</v>
      </c>
      <c r="J329" s="12">
        <v>5</v>
      </c>
      <c r="K329" s="3">
        <v>20</v>
      </c>
      <c r="L329" s="14">
        <f t="shared" si="22"/>
        <v>20</v>
      </c>
      <c r="M329" s="12">
        <v>1.9</v>
      </c>
      <c r="N329">
        <v>0</v>
      </c>
      <c r="O329">
        <v>16</v>
      </c>
      <c r="P329" s="1">
        <f t="shared" si="23"/>
        <v>0.16</v>
      </c>
    </row>
    <row r="330" spans="1:16" x14ac:dyDescent="0.35">
      <c r="A330" t="s">
        <v>734</v>
      </c>
      <c r="B330" t="s">
        <v>735</v>
      </c>
      <c r="C330" t="str">
        <f t="shared" si="20"/>
        <v>Mike Dean</v>
      </c>
      <c r="D330" t="s">
        <v>27</v>
      </c>
      <c r="E330" t="str">
        <f t="shared" si="21"/>
        <v>Male</v>
      </c>
      <c r="F330" s="12">
        <v>44</v>
      </c>
      <c r="G330" t="s">
        <v>68</v>
      </c>
      <c r="H330" s="12" t="s">
        <v>69</v>
      </c>
      <c r="I330" t="s">
        <v>43</v>
      </c>
      <c r="J330" s="12">
        <v>4</v>
      </c>
      <c r="K330" s="3">
        <v>50</v>
      </c>
      <c r="L330" s="14">
        <f t="shared" si="22"/>
        <v>50</v>
      </c>
      <c r="M330" s="12">
        <v>0</v>
      </c>
      <c r="N330">
        <v>1</v>
      </c>
      <c r="O330" s="1">
        <v>0.83</v>
      </c>
      <c r="P330" s="1">
        <f t="shared" si="23"/>
        <v>0.83</v>
      </c>
    </row>
    <row r="331" spans="1:16" x14ac:dyDescent="0.35">
      <c r="A331" t="s">
        <v>736</v>
      </c>
      <c r="B331" t="s">
        <v>737</v>
      </c>
      <c r="C331" t="str">
        <f t="shared" si="20"/>
        <v>Jose Wilson</v>
      </c>
      <c r="D331" t="s">
        <v>27</v>
      </c>
      <c r="E331" t="str">
        <f t="shared" si="21"/>
        <v>Male</v>
      </c>
      <c r="F331" s="12">
        <v>56</v>
      </c>
      <c r="G331" t="s">
        <v>15</v>
      </c>
      <c r="H331" s="12" t="s">
        <v>16</v>
      </c>
      <c r="I331" t="s">
        <v>111</v>
      </c>
      <c r="J331" s="12">
        <v>13</v>
      </c>
      <c r="K331" s="3" t="s">
        <v>53</v>
      </c>
      <c r="L331" s="14" t="str">
        <f t="shared" si="22"/>
        <v>$ 40</v>
      </c>
      <c r="M331" s="12">
        <v>3</v>
      </c>
      <c r="N331">
        <v>1</v>
      </c>
      <c r="O331" s="1">
        <v>0.87</v>
      </c>
      <c r="P331" s="1">
        <f t="shared" si="23"/>
        <v>0.87</v>
      </c>
    </row>
    <row r="332" spans="1:16" x14ac:dyDescent="0.35">
      <c r="A332" t="s">
        <v>738</v>
      </c>
      <c r="B332" t="s">
        <v>739</v>
      </c>
      <c r="C332" t="str">
        <f t="shared" si="20"/>
        <v>Tammy Hill</v>
      </c>
      <c r="D332" t="s">
        <v>74</v>
      </c>
      <c r="E332" t="str">
        <f t="shared" si="21"/>
        <v>Female</v>
      </c>
      <c r="F332" s="12">
        <v>53</v>
      </c>
      <c r="G332" t="s">
        <v>56</v>
      </c>
      <c r="H332" s="12" t="s">
        <v>22</v>
      </c>
      <c r="I332" t="s">
        <v>23</v>
      </c>
      <c r="J332" s="12">
        <v>33</v>
      </c>
      <c r="K332" s="3">
        <v>100</v>
      </c>
      <c r="L332" s="14">
        <f t="shared" si="22"/>
        <v>100</v>
      </c>
      <c r="M332" s="12">
        <v>3</v>
      </c>
      <c r="N332">
        <v>1</v>
      </c>
      <c r="O332" s="1">
        <v>0.75</v>
      </c>
      <c r="P332" s="1">
        <f t="shared" si="23"/>
        <v>0.75</v>
      </c>
    </row>
    <row r="333" spans="1:16" x14ac:dyDescent="0.35">
      <c r="A333" t="s">
        <v>740</v>
      </c>
      <c r="B333" t="s">
        <v>741</v>
      </c>
      <c r="C333" t="str">
        <f t="shared" si="20"/>
        <v>Nathaniel Flores</v>
      </c>
      <c r="D333" t="s">
        <v>59</v>
      </c>
      <c r="E333" t="str">
        <f t="shared" si="21"/>
        <v>Male</v>
      </c>
      <c r="F333" s="12">
        <v>59</v>
      </c>
      <c r="G333" t="s">
        <v>64</v>
      </c>
      <c r="H333" s="12" t="s">
        <v>22</v>
      </c>
      <c r="I333" t="s">
        <v>23</v>
      </c>
      <c r="J333" s="12">
        <v>22</v>
      </c>
      <c r="K333" s="3">
        <v>40</v>
      </c>
      <c r="L333" s="14">
        <f t="shared" si="22"/>
        <v>40</v>
      </c>
      <c r="M333" s="12">
        <v>1.1000000000000001</v>
      </c>
      <c r="N333">
        <v>1</v>
      </c>
      <c r="O333" s="1">
        <v>0.61</v>
      </c>
      <c r="P333" s="1">
        <f t="shared" si="23"/>
        <v>0.61</v>
      </c>
    </row>
    <row r="334" spans="1:16" x14ac:dyDescent="0.35">
      <c r="A334" t="s">
        <v>742</v>
      </c>
      <c r="B334" t="s">
        <v>743</v>
      </c>
      <c r="C334" t="str">
        <f t="shared" si="20"/>
        <v>Edwin Carter</v>
      </c>
      <c r="D334" t="s">
        <v>27</v>
      </c>
      <c r="E334" t="str">
        <f t="shared" si="21"/>
        <v>Male</v>
      </c>
      <c r="F334" s="12">
        <v>60</v>
      </c>
      <c r="G334" t="s">
        <v>56</v>
      </c>
      <c r="H334" s="12" t="s">
        <v>22</v>
      </c>
      <c r="I334" t="s">
        <v>86</v>
      </c>
      <c r="J334" s="12">
        <v>34</v>
      </c>
      <c r="K334" s="3">
        <v>40</v>
      </c>
      <c r="L334" s="14">
        <f t="shared" si="22"/>
        <v>40</v>
      </c>
      <c r="M334" s="12">
        <v>2.5</v>
      </c>
      <c r="N334">
        <v>0</v>
      </c>
      <c r="O334" s="1">
        <v>0.93</v>
      </c>
      <c r="P334" s="1">
        <f t="shared" si="23"/>
        <v>0.93</v>
      </c>
    </row>
    <row r="335" spans="1:16" x14ac:dyDescent="0.35">
      <c r="A335" t="s">
        <v>744</v>
      </c>
      <c r="B335" t="s">
        <v>745</v>
      </c>
      <c r="C335" t="str">
        <f t="shared" si="20"/>
        <v>Patricia Miller</v>
      </c>
      <c r="D335" t="s">
        <v>20</v>
      </c>
      <c r="E335" t="str">
        <f t="shared" si="21"/>
        <v>Female</v>
      </c>
      <c r="F335" s="12">
        <v>33</v>
      </c>
      <c r="G335" t="s">
        <v>28</v>
      </c>
      <c r="H335" s="12" t="s">
        <v>29</v>
      </c>
      <c r="I335" t="s">
        <v>23</v>
      </c>
      <c r="J335" s="12">
        <v>8</v>
      </c>
      <c r="K335" s="3" t="s">
        <v>106</v>
      </c>
      <c r="L335" s="14" t="str">
        <f t="shared" si="22"/>
        <v>$ 30</v>
      </c>
      <c r="M335" s="12">
        <v>3.6</v>
      </c>
      <c r="N335">
        <v>1</v>
      </c>
      <c r="O335">
        <v>16</v>
      </c>
      <c r="P335" s="1">
        <f t="shared" si="23"/>
        <v>0.16</v>
      </c>
    </row>
    <row r="336" spans="1:16" x14ac:dyDescent="0.35">
      <c r="A336" t="s">
        <v>746</v>
      </c>
      <c r="B336" t="s">
        <v>747</v>
      </c>
      <c r="C336" t="str">
        <f t="shared" si="20"/>
        <v>Rebecca Schneider</v>
      </c>
      <c r="D336" t="s">
        <v>74</v>
      </c>
      <c r="E336" t="str">
        <f t="shared" si="21"/>
        <v>Female</v>
      </c>
      <c r="F336" s="12">
        <v>21</v>
      </c>
      <c r="G336" t="s">
        <v>68</v>
      </c>
      <c r="H336" s="12" t="s">
        <v>69</v>
      </c>
      <c r="I336" t="s">
        <v>35</v>
      </c>
      <c r="J336" s="12">
        <v>1</v>
      </c>
      <c r="K336" s="3" t="s">
        <v>308</v>
      </c>
      <c r="L336" s="14" t="str">
        <f t="shared" si="22"/>
        <v>$ 20</v>
      </c>
      <c r="M336" s="12">
        <v>3</v>
      </c>
      <c r="N336">
        <v>0</v>
      </c>
      <c r="O336" s="1">
        <v>0.99</v>
      </c>
      <c r="P336" s="1">
        <f t="shared" si="23"/>
        <v>0.99</v>
      </c>
    </row>
    <row r="337" spans="1:16" x14ac:dyDescent="0.35">
      <c r="A337" t="s">
        <v>748</v>
      </c>
      <c r="B337" t="s">
        <v>749</v>
      </c>
      <c r="C337" t="str">
        <f t="shared" si="20"/>
        <v>John Greene</v>
      </c>
      <c r="D337" t="s">
        <v>27</v>
      </c>
      <c r="E337" t="str">
        <f t="shared" si="21"/>
        <v>Male</v>
      </c>
      <c r="F337" s="12">
        <v>54</v>
      </c>
      <c r="G337" t="s">
        <v>64</v>
      </c>
      <c r="H337" s="12" t="s">
        <v>22</v>
      </c>
      <c r="I337" t="s">
        <v>70</v>
      </c>
      <c r="J337" s="12">
        <v>20</v>
      </c>
      <c r="K337" s="3">
        <v>50</v>
      </c>
      <c r="L337" s="14">
        <f t="shared" si="22"/>
        <v>50</v>
      </c>
      <c r="M337" s="12">
        <v>4.4000000000000004</v>
      </c>
      <c r="N337">
        <v>0</v>
      </c>
      <c r="O337">
        <v>73</v>
      </c>
      <c r="P337" s="1">
        <f t="shared" si="23"/>
        <v>0.73</v>
      </c>
    </row>
    <row r="338" spans="1:16" x14ac:dyDescent="0.35">
      <c r="A338" t="s">
        <v>750</v>
      </c>
      <c r="B338" t="s">
        <v>751</v>
      </c>
      <c r="C338" t="str">
        <f t="shared" si="20"/>
        <v>Brittany Mcdowell</v>
      </c>
      <c r="D338" t="s">
        <v>74</v>
      </c>
      <c r="E338" t="str">
        <f t="shared" si="21"/>
        <v>Female</v>
      </c>
      <c r="F338" s="12">
        <v>33</v>
      </c>
      <c r="G338" t="s">
        <v>56</v>
      </c>
      <c r="H338" s="12" t="s">
        <v>22</v>
      </c>
      <c r="I338" t="s">
        <v>30</v>
      </c>
      <c r="J338" s="12">
        <v>11</v>
      </c>
      <c r="K338" s="3">
        <v>75</v>
      </c>
      <c r="L338" s="14">
        <f t="shared" si="22"/>
        <v>75</v>
      </c>
      <c r="M338" s="12">
        <v>2.1</v>
      </c>
      <c r="N338">
        <v>0</v>
      </c>
      <c r="O338" s="1">
        <v>0.96</v>
      </c>
      <c r="P338" s="1">
        <f t="shared" si="23"/>
        <v>0.96</v>
      </c>
    </row>
    <row r="339" spans="1:16" x14ac:dyDescent="0.35">
      <c r="A339" t="s">
        <v>752</v>
      </c>
      <c r="B339" t="s">
        <v>753</v>
      </c>
      <c r="C339" t="str">
        <f t="shared" si="20"/>
        <v>Lori Miller</v>
      </c>
      <c r="D339" t="s">
        <v>74</v>
      </c>
      <c r="E339" t="str">
        <f t="shared" si="21"/>
        <v>Female</v>
      </c>
      <c r="F339" s="12">
        <v>57</v>
      </c>
      <c r="G339" t="s">
        <v>60</v>
      </c>
      <c r="H339" s="12" t="s">
        <v>61</v>
      </c>
      <c r="I339" t="s">
        <v>49</v>
      </c>
      <c r="J339" s="12">
        <v>2</v>
      </c>
      <c r="K339" s="3">
        <v>40</v>
      </c>
      <c r="L339" s="14">
        <f t="shared" si="22"/>
        <v>40</v>
      </c>
      <c r="M339" s="12">
        <v>0</v>
      </c>
      <c r="N339">
        <v>0</v>
      </c>
      <c r="O339" s="1">
        <v>0.6</v>
      </c>
      <c r="P339" s="1">
        <f t="shared" si="23"/>
        <v>0.6</v>
      </c>
    </row>
    <row r="340" spans="1:16" x14ac:dyDescent="0.35">
      <c r="A340" t="s">
        <v>754</v>
      </c>
      <c r="B340" t="s">
        <v>755</v>
      </c>
      <c r="C340" t="str">
        <f t="shared" si="20"/>
        <v>Joseph Robinson</v>
      </c>
      <c r="D340" t="s">
        <v>27</v>
      </c>
      <c r="E340" t="str">
        <f t="shared" si="21"/>
        <v>Male</v>
      </c>
      <c r="F340" s="12">
        <v>36</v>
      </c>
      <c r="G340" t="s">
        <v>109</v>
      </c>
      <c r="H340" s="12" t="s">
        <v>110</v>
      </c>
      <c r="I340" t="s">
        <v>30</v>
      </c>
      <c r="J340" s="12">
        <v>6</v>
      </c>
      <c r="K340" s="3">
        <v>20</v>
      </c>
      <c r="L340" s="14">
        <f t="shared" si="22"/>
        <v>20</v>
      </c>
      <c r="M340" s="12">
        <v>1</v>
      </c>
      <c r="N340">
        <v>1</v>
      </c>
      <c r="O340" s="1">
        <v>0.64</v>
      </c>
      <c r="P340" s="1">
        <f t="shared" si="23"/>
        <v>0.64</v>
      </c>
    </row>
    <row r="341" spans="1:16" x14ac:dyDescent="0.35">
      <c r="A341" t="s">
        <v>756</v>
      </c>
      <c r="B341" t="s">
        <v>757</v>
      </c>
      <c r="C341" t="str">
        <f t="shared" si="20"/>
        <v>Aaron Pruitt</v>
      </c>
      <c r="D341" t="s">
        <v>94</v>
      </c>
      <c r="E341" t="str">
        <f t="shared" si="21"/>
        <v>Male</v>
      </c>
      <c r="F341" s="12">
        <v>50</v>
      </c>
      <c r="G341" t="s">
        <v>28</v>
      </c>
      <c r="H341" s="12" t="s">
        <v>29</v>
      </c>
      <c r="I341" t="s">
        <v>17</v>
      </c>
      <c r="J341" s="12">
        <v>20</v>
      </c>
      <c r="K341" s="3" t="s">
        <v>106</v>
      </c>
      <c r="L341" s="14" t="str">
        <f t="shared" si="22"/>
        <v>$ 30</v>
      </c>
      <c r="M341" s="12">
        <v>0</v>
      </c>
      <c r="N341">
        <v>0</v>
      </c>
      <c r="O341">
        <v>16</v>
      </c>
      <c r="P341" s="1">
        <f t="shared" si="23"/>
        <v>0.16</v>
      </c>
    </row>
    <row r="342" spans="1:16" x14ac:dyDescent="0.35">
      <c r="A342" t="s">
        <v>758</v>
      </c>
      <c r="B342" t="s">
        <v>759</v>
      </c>
      <c r="C342" t="str">
        <f t="shared" si="20"/>
        <v>Victoria Miller</v>
      </c>
      <c r="D342" t="s">
        <v>38</v>
      </c>
      <c r="E342" t="str">
        <f t="shared" si="21"/>
        <v>Female</v>
      </c>
      <c r="F342" s="12">
        <v>37</v>
      </c>
      <c r="G342" t="s">
        <v>124</v>
      </c>
      <c r="H342" s="12" t="s">
        <v>22</v>
      </c>
      <c r="I342" t="s">
        <v>86</v>
      </c>
      <c r="J342" s="12">
        <v>11</v>
      </c>
      <c r="K342" s="3" t="s">
        <v>308</v>
      </c>
      <c r="L342" s="14" t="str">
        <f t="shared" si="22"/>
        <v>$ 20</v>
      </c>
      <c r="M342" s="12">
        <v>4.9000000000000004</v>
      </c>
      <c r="N342">
        <v>0</v>
      </c>
      <c r="O342">
        <v>16</v>
      </c>
      <c r="P342" s="1">
        <f t="shared" si="23"/>
        <v>0.16</v>
      </c>
    </row>
    <row r="343" spans="1:16" x14ac:dyDescent="0.35">
      <c r="A343" t="s">
        <v>760</v>
      </c>
      <c r="B343" t="s">
        <v>761</v>
      </c>
      <c r="C343" t="str">
        <f t="shared" si="20"/>
        <v>Clarence Vega</v>
      </c>
      <c r="D343" t="s">
        <v>27</v>
      </c>
      <c r="E343" t="str">
        <f t="shared" si="21"/>
        <v>Male</v>
      </c>
      <c r="F343" s="12">
        <v>53</v>
      </c>
      <c r="G343" t="s">
        <v>15</v>
      </c>
      <c r="H343" s="12" t="s">
        <v>16</v>
      </c>
      <c r="I343" t="s">
        <v>43</v>
      </c>
      <c r="J343" s="12">
        <v>4</v>
      </c>
      <c r="K343" s="3">
        <v>30</v>
      </c>
      <c r="L343" s="14">
        <f t="shared" si="22"/>
        <v>30</v>
      </c>
      <c r="M343" s="12">
        <v>4.7</v>
      </c>
      <c r="N343">
        <v>1</v>
      </c>
      <c r="O343" s="1">
        <v>0.99</v>
      </c>
      <c r="P343" s="1">
        <f t="shared" si="23"/>
        <v>0.99</v>
      </c>
    </row>
    <row r="344" spans="1:16" x14ac:dyDescent="0.35">
      <c r="A344" t="s">
        <v>762</v>
      </c>
      <c r="B344" t="s">
        <v>763</v>
      </c>
      <c r="C344" t="str">
        <f t="shared" si="20"/>
        <v>Deborah Day</v>
      </c>
      <c r="D344" t="s">
        <v>74</v>
      </c>
      <c r="E344" t="str">
        <f t="shared" si="21"/>
        <v>Female</v>
      </c>
      <c r="F344" s="12">
        <v>22</v>
      </c>
      <c r="G344" t="s">
        <v>15</v>
      </c>
      <c r="H344" s="12" t="s">
        <v>16</v>
      </c>
      <c r="I344" t="s">
        <v>17</v>
      </c>
      <c r="J344" s="12">
        <v>3</v>
      </c>
      <c r="K344" s="3" t="s">
        <v>53</v>
      </c>
      <c r="L344" s="14" t="str">
        <f t="shared" si="22"/>
        <v>$ 40</v>
      </c>
      <c r="M344" s="12">
        <v>2.1</v>
      </c>
      <c r="N344">
        <v>0</v>
      </c>
      <c r="O344">
        <v>16</v>
      </c>
      <c r="P344" s="1">
        <f t="shared" si="23"/>
        <v>0.16</v>
      </c>
    </row>
    <row r="345" spans="1:16" x14ac:dyDescent="0.35">
      <c r="A345" t="s">
        <v>764</v>
      </c>
      <c r="B345" t="s">
        <v>765</v>
      </c>
      <c r="C345" t="str">
        <f t="shared" si="20"/>
        <v>Nicole Rocha</v>
      </c>
      <c r="D345" t="s">
        <v>74</v>
      </c>
      <c r="E345" t="str">
        <f t="shared" si="21"/>
        <v>Female</v>
      </c>
      <c r="F345" s="12">
        <v>55</v>
      </c>
      <c r="G345" t="s">
        <v>41</v>
      </c>
      <c r="H345" s="12" t="s">
        <v>42</v>
      </c>
      <c r="I345" t="s">
        <v>23</v>
      </c>
      <c r="J345" s="12">
        <v>33</v>
      </c>
      <c r="K345" s="3">
        <v>40</v>
      </c>
      <c r="L345" s="14">
        <f t="shared" si="22"/>
        <v>40</v>
      </c>
      <c r="M345" s="12">
        <v>1.5</v>
      </c>
      <c r="N345">
        <v>1</v>
      </c>
      <c r="O345" s="1">
        <v>0.71</v>
      </c>
      <c r="P345" s="1">
        <f t="shared" si="23"/>
        <v>0.71</v>
      </c>
    </row>
    <row r="346" spans="1:16" x14ac:dyDescent="0.35">
      <c r="A346" t="s">
        <v>766</v>
      </c>
      <c r="B346" t="s">
        <v>767</v>
      </c>
      <c r="C346" t="str">
        <f t="shared" si="20"/>
        <v>Elijah Green</v>
      </c>
      <c r="D346" t="s">
        <v>59</v>
      </c>
      <c r="E346" t="str">
        <f t="shared" si="21"/>
        <v>Male</v>
      </c>
      <c r="F346" s="12">
        <v>22</v>
      </c>
      <c r="G346" t="s">
        <v>21</v>
      </c>
      <c r="H346" s="12" t="s">
        <v>22</v>
      </c>
      <c r="I346" t="s">
        <v>75</v>
      </c>
      <c r="J346" s="12">
        <v>1</v>
      </c>
      <c r="K346" s="3">
        <v>40</v>
      </c>
      <c r="L346" s="14">
        <f t="shared" si="22"/>
        <v>40</v>
      </c>
      <c r="M346" s="12">
        <v>2.6</v>
      </c>
      <c r="N346">
        <v>0</v>
      </c>
      <c r="O346" s="1">
        <v>0.72</v>
      </c>
      <c r="P346" s="1">
        <f t="shared" si="23"/>
        <v>0.72</v>
      </c>
    </row>
    <row r="347" spans="1:16" x14ac:dyDescent="0.35">
      <c r="A347" t="s">
        <v>768</v>
      </c>
      <c r="B347" t="s">
        <v>769</v>
      </c>
      <c r="C347" t="str">
        <f t="shared" si="20"/>
        <v>Emily Johnson</v>
      </c>
      <c r="D347" t="s">
        <v>38</v>
      </c>
      <c r="E347" t="str">
        <f t="shared" si="21"/>
        <v>Female</v>
      </c>
      <c r="F347" s="12">
        <v>45</v>
      </c>
      <c r="G347" t="s">
        <v>60</v>
      </c>
      <c r="H347" s="12" t="s">
        <v>61</v>
      </c>
      <c r="I347" t="s">
        <v>35</v>
      </c>
      <c r="J347" s="12">
        <v>23</v>
      </c>
      <c r="K347" s="3" t="s">
        <v>95</v>
      </c>
      <c r="L347" s="14" t="str">
        <f t="shared" si="22"/>
        <v>$ 50</v>
      </c>
      <c r="M347" s="12">
        <v>0</v>
      </c>
      <c r="N347">
        <v>0</v>
      </c>
      <c r="O347" s="1">
        <v>0.66</v>
      </c>
      <c r="P347" s="1">
        <f t="shared" si="23"/>
        <v>0.66</v>
      </c>
    </row>
    <row r="348" spans="1:16" x14ac:dyDescent="0.35">
      <c r="A348" t="s">
        <v>770</v>
      </c>
      <c r="B348" t="s">
        <v>771</v>
      </c>
      <c r="C348" t="str">
        <f t="shared" si="20"/>
        <v>Richard Velasquez Jr.</v>
      </c>
      <c r="D348" t="s">
        <v>27</v>
      </c>
      <c r="E348" t="str">
        <f t="shared" si="21"/>
        <v>Male</v>
      </c>
      <c r="F348" s="12">
        <v>36</v>
      </c>
      <c r="G348" t="s">
        <v>131</v>
      </c>
      <c r="H348" s="12" t="s">
        <v>132</v>
      </c>
      <c r="I348" t="s">
        <v>49</v>
      </c>
      <c r="J348" s="12">
        <v>13</v>
      </c>
      <c r="K348" s="3">
        <v>40</v>
      </c>
      <c r="L348" s="14">
        <f t="shared" si="22"/>
        <v>40</v>
      </c>
      <c r="M348" s="12">
        <v>3</v>
      </c>
      <c r="N348">
        <v>0</v>
      </c>
      <c r="O348" s="1">
        <v>0.78</v>
      </c>
      <c r="P348" s="1">
        <f t="shared" si="23"/>
        <v>0.78</v>
      </c>
    </row>
    <row r="349" spans="1:16" x14ac:dyDescent="0.35">
      <c r="A349" t="s">
        <v>772</v>
      </c>
      <c r="B349" t="s">
        <v>773</v>
      </c>
      <c r="C349" t="str">
        <f t="shared" si="20"/>
        <v>Kurt Wilson</v>
      </c>
      <c r="D349" t="s">
        <v>27</v>
      </c>
      <c r="E349" t="str">
        <f t="shared" si="21"/>
        <v>Male</v>
      </c>
      <c r="F349" s="12">
        <v>23</v>
      </c>
      <c r="G349" t="s">
        <v>21</v>
      </c>
      <c r="H349" s="12" t="s">
        <v>22</v>
      </c>
      <c r="I349" t="s">
        <v>86</v>
      </c>
      <c r="J349" s="12">
        <v>1</v>
      </c>
      <c r="K349" s="3" t="s">
        <v>308</v>
      </c>
      <c r="L349" s="14" t="str">
        <f t="shared" si="22"/>
        <v>$ 20</v>
      </c>
      <c r="M349" s="12">
        <v>4</v>
      </c>
      <c r="N349">
        <v>1</v>
      </c>
      <c r="O349">
        <v>100</v>
      </c>
      <c r="P349" s="1">
        <f t="shared" si="23"/>
        <v>1</v>
      </c>
    </row>
    <row r="350" spans="1:16" x14ac:dyDescent="0.35">
      <c r="A350" t="s">
        <v>774</v>
      </c>
      <c r="B350" t="s">
        <v>775</v>
      </c>
      <c r="C350" t="str">
        <f t="shared" si="20"/>
        <v>Jeremiah Rodriguez</v>
      </c>
      <c r="D350" t="s">
        <v>27</v>
      </c>
      <c r="E350" t="str">
        <f t="shared" si="21"/>
        <v>Male</v>
      </c>
      <c r="F350" s="12">
        <v>55</v>
      </c>
      <c r="G350" t="s">
        <v>15</v>
      </c>
      <c r="H350" s="12" t="s">
        <v>16</v>
      </c>
      <c r="I350" t="s">
        <v>86</v>
      </c>
      <c r="J350" s="12">
        <v>15</v>
      </c>
      <c r="K350" s="3">
        <v>40</v>
      </c>
      <c r="L350" s="14">
        <f t="shared" si="22"/>
        <v>40</v>
      </c>
      <c r="M350" s="12">
        <v>4.5</v>
      </c>
      <c r="N350">
        <v>1</v>
      </c>
      <c r="O350">
        <v>16</v>
      </c>
      <c r="P350" s="1">
        <f t="shared" si="23"/>
        <v>0.16</v>
      </c>
    </row>
    <row r="351" spans="1:16" x14ac:dyDescent="0.35">
      <c r="A351" t="s">
        <v>776</v>
      </c>
      <c r="B351" t="s">
        <v>777</v>
      </c>
      <c r="C351" t="str">
        <f t="shared" si="20"/>
        <v>Lauren Lang</v>
      </c>
      <c r="D351" t="s">
        <v>38</v>
      </c>
      <c r="E351" t="str">
        <f t="shared" si="21"/>
        <v>Female</v>
      </c>
      <c r="F351" s="12">
        <v>50</v>
      </c>
      <c r="G351" t="s">
        <v>104</v>
      </c>
      <c r="H351" s="12" t="s">
        <v>105</v>
      </c>
      <c r="I351" t="s">
        <v>23</v>
      </c>
      <c r="J351" s="12">
        <v>18</v>
      </c>
      <c r="K351" s="3">
        <v>75</v>
      </c>
      <c r="L351" s="14">
        <f t="shared" si="22"/>
        <v>75</v>
      </c>
      <c r="M351" s="12">
        <v>3.8</v>
      </c>
      <c r="N351">
        <v>0</v>
      </c>
      <c r="O351">
        <v>67</v>
      </c>
      <c r="P351" s="1">
        <f t="shared" si="23"/>
        <v>0.67</v>
      </c>
    </row>
    <row r="352" spans="1:16" x14ac:dyDescent="0.35">
      <c r="A352" t="s">
        <v>778</v>
      </c>
      <c r="B352" t="s">
        <v>779</v>
      </c>
      <c r="C352" t="str">
        <f t="shared" si="20"/>
        <v>Matthew Phillips</v>
      </c>
      <c r="D352" t="s">
        <v>27</v>
      </c>
      <c r="E352" t="str">
        <f t="shared" si="21"/>
        <v>Male</v>
      </c>
      <c r="F352" s="12">
        <v>48</v>
      </c>
      <c r="G352" t="s">
        <v>56</v>
      </c>
      <c r="H352" s="12" t="s">
        <v>22</v>
      </c>
      <c r="I352" t="s">
        <v>111</v>
      </c>
      <c r="J352" s="12">
        <v>21</v>
      </c>
      <c r="K352" s="3">
        <v>50</v>
      </c>
      <c r="L352" s="14">
        <f t="shared" si="22"/>
        <v>50</v>
      </c>
      <c r="M352" s="12">
        <v>4</v>
      </c>
      <c r="N352">
        <v>0</v>
      </c>
      <c r="O352" s="1">
        <v>0.78</v>
      </c>
      <c r="P352" s="1">
        <f t="shared" si="23"/>
        <v>0.78</v>
      </c>
    </row>
    <row r="353" spans="1:16" x14ac:dyDescent="0.35">
      <c r="A353" t="s">
        <v>780</v>
      </c>
      <c r="B353" t="s">
        <v>781</v>
      </c>
      <c r="C353" t="str">
        <f t="shared" si="20"/>
        <v>Michael Andersen</v>
      </c>
      <c r="D353" t="s">
        <v>59</v>
      </c>
      <c r="E353" t="str">
        <f t="shared" si="21"/>
        <v>Male</v>
      </c>
      <c r="F353" s="12">
        <v>23</v>
      </c>
      <c r="G353" t="s">
        <v>41</v>
      </c>
      <c r="H353" s="12" t="s">
        <v>42</v>
      </c>
      <c r="I353" t="s">
        <v>86</v>
      </c>
      <c r="J353" s="12">
        <v>1</v>
      </c>
      <c r="K353" s="3">
        <v>40</v>
      </c>
      <c r="L353" s="14">
        <f t="shared" si="22"/>
        <v>40</v>
      </c>
      <c r="M353" s="12">
        <v>4.9000000000000004</v>
      </c>
      <c r="N353">
        <v>1</v>
      </c>
      <c r="O353" s="1">
        <v>0.78</v>
      </c>
      <c r="P353" s="1">
        <f t="shared" si="23"/>
        <v>0.78</v>
      </c>
    </row>
    <row r="354" spans="1:16" x14ac:dyDescent="0.35">
      <c r="A354" t="s">
        <v>782</v>
      </c>
      <c r="B354" t="s">
        <v>783</v>
      </c>
      <c r="C354" t="str">
        <f t="shared" si="20"/>
        <v>Amanda Mayo</v>
      </c>
      <c r="D354" t="s">
        <v>38</v>
      </c>
      <c r="E354" t="str">
        <f t="shared" si="21"/>
        <v>Female</v>
      </c>
      <c r="F354" s="12">
        <v>49</v>
      </c>
      <c r="G354" t="s">
        <v>124</v>
      </c>
      <c r="H354" s="12" t="s">
        <v>22</v>
      </c>
      <c r="I354" t="s">
        <v>35</v>
      </c>
      <c r="J354" s="12">
        <v>25</v>
      </c>
      <c r="K354" s="3">
        <v>30</v>
      </c>
      <c r="L354" s="14">
        <f t="shared" si="22"/>
        <v>30</v>
      </c>
      <c r="M354" s="12">
        <v>3.4</v>
      </c>
      <c r="N354">
        <v>0</v>
      </c>
      <c r="O354" s="1">
        <v>0.75</v>
      </c>
      <c r="P354" s="1">
        <f t="shared" si="23"/>
        <v>0.75</v>
      </c>
    </row>
    <row r="355" spans="1:16" x14ac:dyDescent="0.35">
      <c r="A355" t="s">
        <v>784</v>
      </c>
      <c r="B355" t="s">
        <v>785</v>
      </c>
      <c r="C355" t="str">
        <f t="shared" si="20"/>
        <v>Jessica Vance</v>
      </c>
      <c r="D355" t="s">
        <v>38</v>
      </c>
      <c r="E355" t="str">
        <f t="shared" si="21"/>
        <v>Female</v>
      </c>
      <c r="F355" s="12">
        <v>47</v>
      </c>
      <c r="G355" t="s">
        <v>15</v>
      </c>
      <c r="H355" s="12" t="s">
        <v>16</v>
      </c>
      <c r="I355" t="s">
        <v>75</v>
      </c>
      <c r="J355" s="12">
        <v>12</v>
      </c>
      <c r="K355" s="3">
        <v>50</v>
      </c>
      <c r="L355" s="14">
        <f t="shared" si="22"/>
        <v>50</v>
      </c>
      <c r="M355" s="12">
        <v>2.1</v>
      </c>
      <c r="N355">
        <v>1</v>
      </c>
      <c r="O355" s="1">
        <v>0.67</v>
      </c>
      <c r="P355" s="1">
        <f t="shared" si="23"/>
        <v>0.67</v>
      </c>
    </row>
    <row r="356" spans="1:16" x14ac:dyDescent="0.35">
      <c r="A356" t="s">
        <v>786</v>
      </c>
      <c r="B356" t="s">
        <v>787</v>
      </c>
      <c r="C356" t="str">
        <f t="shared" si="20"/>
        <v>Alexa Gallegos</v>
      </c>
      <c r="D356" t="s">
        <v>74</v>
      </c>
      <c r="E356" t="str">
        <f t="shared" si="21"/>
        <v>Female</v>
      </c>
      <c r="F356" s="12">
        <v>56</v>
      </c>
      <c r="G356" t="s">
        <v>82</v>
      </c>
      <c r="H356" s="12" t="s">
        <v>83</v>
      </c>
      <c r="I356" t="s">
        <v>30</v>
      </c>
      <c r="J356" s="12">
        <v>32</v>
      </c>
      <c r="K356" s="3" t="s">
        <v>53</v>
      </c>
      <c r="L356" s="14" t="str">
        <f t="shared" si="22"/>
        <v>$ 40</v>
      </c>
      <c r="M356" s="12">
        <v>0</v>
      </c>
      <c r="N356">
        <v>1</v>
      </c>
      <c r="O356" s="1">
        <v>0.86</v>
      </c>
      <c r="P356" s="1">
        <f t="shared" si="23"/>
        <v>0.86</v>
      </c>
    </row>
    <row r="357" spans="1:16" x14ac:dyDescent="0.35">
      <c r="A357" t="s">
        <v>788</v>
      </c>
      <c r="B357" t="s">
        <v>789</v>
      </c>
      <c r="C357" t="str">
        <f t="shared" si="20"/>
        <v>Charles Pratt</v>
      </c>
      <c r="D357" t="s">
        <v>59</v>
      </c>
      <c r="E357" t="str">
        <f t="shared" si="21"/>
        <v>Male</v>
      </c>
      <c r="F357" s="12">
        <v>58</v>
      </c>
      <c r="G357" t="s">
        <v>68</v>
      </c>
      <c r="H357" s="12" t="s">
        <v>69</v>
      </c>
      <c r="I357" t="s">
        <v>70</v>
      </c>
      <c r="J357" s="12">
        <v>11</v>
      </c>
      <c r="K357" s="3">
        <v>100</v>
      </c>
      <c r="L357" s="14">
        <f t="shared" si="22"/>
        <v>100</v>
      </c>
      <c r="M357" s="12">
        <v>4.5</v>
      </c>
      <c r="N357">
        <v>1</v>
      </c>
      <c r="O357">
        <v>77</v>
      </c>
      <c r="P357" s="1">
        <f t="shared" si="23"/>
        <v>0.77</v>
      </c>
    </row>
    <row r="358" spans="1:16" x14ac:dyDescent="0.35">
      <c r="A358" t="s">
        <v>790</v>
      </c>
      <c r="B358" t="s">
        <v>791</v>
      </c>
      <c r="C358" t="str">
        <f t="shared" si="20"/>
        <v>Brian Baker</v>
      </c>
      <c r="D358" t="s">
        <v>27</v>
      </c>
      <c r="E358" t="str">
        <f t="shared" si="21"/>
        <v>Male</v>
      </c>
      <c r="F358" s="12">
        <v>32</v>
      </c>
      <c r="G358" t="s">
        <v>109</v>
      </c>
      <c r="H358" s="12" t="s">
        <v>110</v>
      </c>
      <c r="I358" t="s">
        <v>70</v>
      </c>
      <c r="J358" s="12">
        <v>10</v>
      </c>
      <c r="K358" s="3">
        <v>30</v>
      </c>
      <c r="L358" s="14">
        <f t="shared" si="22"/>
        <v>30</v>
      </c>
      <c r="M358" s="12">
        <v>3.8</v>
      </c>
      <c r="N358">
        <v>0</v>
      </c>
      <c r="O358" s="1">
        <v>0.61</v>
      </c>
      <c r="P358" s="1">
        <f t="shared" si="23"/>
        <v>0.61</v>
      </c>
    </row>
    <row r="359" spans="1:16" x14ac:dyDescent="0.35">
      <c r="A359" t="s">
        <v>792</v>
      </c>
      <c r="B359" t="s">
        <v>793</v>
      </c>
      <c r="C359" t="str">
        <f t="shared" si="20"/>
        <v>Christina Norman</v>
      </c>
      <c r="D359" t="s">
        <v>74</v>
      </c>
      <c r="E359" t="str">
        <f t="shared" si="21"/>
        <v>Female</v>
      </c>
      <c r="F359" s="12">
        <v>52</v>
      </c>
      <c r="G359" t="s">
        <v>90</v>
      </c>
      <c r="H359" s="12" t="s">
        <v>91</v>
      </c>
      <c r="I359" t="s">
        <v>70</v>
      </c>
      <c r="J359" s="12">
        <v>11</v>
      </c>
      <c r="K359" s="3">
        <v>40</v>
      </c>
      <c r="L359" s="14">
        <f t="shared" si="22"/>
        <v>40</v>
      </c>
      <c r="M359" s="12">
        <v>4.3</v>
      </c>
      <c r="N359">
        <v>0</v>
      </c>
      <c r="O359" s="1">
        <v>0.9</v>
      </c>
      <c r="P359" s="1">
        <f t="shared" si="23"/>
        <v>0.9</v>
      </c>
    </row>
    <row r="360" spans="1:16" x14ac:dyDescent="0.35">
      <c r="A360" t="s">
        <v>794</v>
      </c>
      <c r="B360" t="s">
        <v>795</v>
      </c>
      <c r="C360" t="str">
        <f t="shared" si="20"/>
        <v>Laura Kelly</v>
      </c>
      <c r="D360" t="s">
        <v>20</v>
      </c>
      <c r="E360" t="str">
        <f t="shared" si="21"/>
        <v>Female</v>
      </c>
      <c r="F360" s="12">
        <v>22</v>
      </c>
      <c r="G360" t="s">
        <v>170</v>
      </c>
      <c r="H360" s="12" t="s">
        <v>171</v>
      </c>
      <c r="I360" t="s">
        <v>49</v>
      </c>
      <c r="J360" s="12">
        <v>1</v>
      </c>
      <c r="K360" s="3">
        <v>50</v>
      </c>
      <c r="L360" s="14">
        <f t="shared" si="22"/>
        <v>50</v>
      </c>
      <c r="M360" s="12">
        <v>0</v>
      </c>
      <c r="N360">
        <v>1</v>
      </c>
      <c r="O360" s="1">
        <v>0.98</v>
      </c>
      <c r="P360" s="1">
        <f t="shared" si="23"/>
        <v>0.98</v>
      </c>
    </row>
    <row r="361" spans="1:16" x14ac:dyDescent="0.35">
      <c r="A361" t="s">
        <v>796</v>
      </c>
      <c r="B361" t="s">
        <v>797</v>
      </c>
      <c r="C361" t="str">
        <f t="shared" si="20"/>
        <v>John Webb</v>
      </c>
      <c r="D361" t="s">
        <v>94</v>
      </c>
      <c r="E361" t="str">
        <f t="shared" si="21"/>
        <v>Male</v>
      </c>
      <c r="F361" s="12">
        <v>20</v>
      </c>
      <c r="G361" t="s">
        <v>90</v>
      </c>
      <c r="H361" s="12" t="s">
        <v>91</v>
      </c>
      <c r="I361" t="s">
        <v>75</v>
      </c>
      <c r="J361" s="12">
        <v>2</v>
      </c>
      <c r="K361" s="3">
        <v>30</v>
      </c>
      <c r="L361" s="14">
        <f t="shared" si="22"/>
        <v>30</v>
      </c>
      <c r="M361" s="12">
        <v>3</v>
      </c>
      <c r="N361">
        <v>1</v>
      </c>
      <c r="O361" s="1">
        <v>0.99</v>
      </c>
      <c r="P361" s="1">
        <f t="shared" si="23"/>
        <v>0.99</v>
      </c>
    </row>
    <row r="362" spans="1:16" x14ac:dyDescent="0.35">
      <c r="A362" t="s">
        <v>798</v>
      </c>
      <c r="B362" t="s">
        <v>799</v>
      </c>
      <c r="C362" t="str">
        <f t="shared" si="20"/>
        <v>Christopher Burton</v>
      </c>
      <c r="D362" t="s">
        <v>27</v>
      </c>
      <c r="E362" t="str">
        <f t="shared" si="21"/>
        <v>Male</v>
      </c>
      <c r="F362" s="12">
        <v>56</v>
      </c>
      <c r="G362" t="s">
        <v>41</v>
      </c>
      <c r="H362" s="12" t="s">
        <v>42</v>
      </c>
      <c r="I362" t="s">
        <v>49</v>
      </c>
      <c r="J362" s="12">
        <v>9</v>
      </c>
      <c r="K362" s="3" t="s">
        <v>53</v>
      </c>
      <c r="L362" s="14" t="str">
        <f t="shared" si="22"/>
        <v>$ 40</v>
      </c>
      <c r="M362" s="12">
        <v>2.6</v>
      </c>
      <c r="N362">
        <v>0</v>
      </c>
      <c r="O362" s="1">
        <v>0.61</v>
      </c>
      <c r="P362" s="1">
        <f t="shared" si="23"/>
        <v>0.61</v>
      </c>
    </row>
    <row r="363" spans="1:16" x14ac:dyDescent="0.35">
      <c r="A363" t="s">
        <v>800</v>
      </c>
      <c r="B363" t="s">
        <v>801</v>
      </c>
      <c r="C363" t="str">
        <f t="shared" si="20"/>
        <v>Bradley Aguilar</v>
      </c>
      <c r="D363" t="s">
        <v>94</v>
      </c>
      <c r="E363" t="str">
        <f t="shared" si="21"/>
        <v>Male</v>
      </c>
      <c r="F363" s="12">
        <v>41</v>
      </c>
      <c r="G363" t="s">
        <v>82</v>
      </c>
      <c r="H363" s="12" t="s">
        <v>83</v>
      </c>
      <c r="I363" t="s">
        <v>49</v>
      </c>
      <c r="J363" s="12">
        <v>22</v>
      </c>
      <c r="K363" s="3" t="s">
        <v>95</v>
      </c>
      <c r="L363" s="14" t="str">
        <f t="shared" si="22"/>
        <v>$ 50</v>
      </c>
      <c r="M363" s="12">
        <v>1.6</v>
      </c>
      <c r="N363">
        <v>1</v>
      </c>
      <c r="O363" s="1">
        <v>0.61</v>
      </c>
      <c r="P363" s="1">
        <f t="shared" si="23"/>
        <v>0.61</v>
      </c>
    </row>
    <row r="364" spans="1:16" x14ac:dyDescent="0.35">
      <c r="A364" t="s">
        <v>802</v>
      </c>
      <c r="B364" t="s">
        <v>803</v>
      </c>
      <c r="C364" t="str">
        <f t="shared" si="20"/>
        <v>Arthur Vasquez</v>
      </c>
      <c r="D364" t="s">
        <v>94</v>
      </c>
      <c r="E364" t="str">
        <f t="shared" si="21"/>
        <v>Male</v>
      </c>
      <c r="F364" s="12">
        <v>25</v>
      </c>
      <c r="G364" t="s">
        <v>68</v>
      </c>
      <c r="H364" s="12" t="s">
        <v>69</v>
      </c>
      <c r="I364" t="s">
        <v>17</v>
      </c>
      <c r="J364" s="12">
        <v>5</v>
      </c>
      <c r="K364" s="3">
        <v>30</v>
      </c>
      <c r="L364" s="14">
        <f t="shared" si="22"/>
        <v>30</v>
      </c>
      <c r="M364" s="12">
        <v>2.2999999999999998</v>
      </c>
      <c r="N364">
        <v>0</v>
      </c>
      <c r="O364" s="1">
        <v>0.91</v>
      </c>
      <c r="P364" s="1">
        <f t="shared" si="23"/>
        <v>0.91</v>
      </c>
    </row>
    <row r="365" spans="1:16" x14ac:dyDescent="0.35">
      <c r="A365" t="s">
        <v>804</v>
      </c>
      <c r="B365" t="s">
        <v>805</v>
      </c>
      <c r="C365" t="str">
        <f t="shared" si="20"/>
        <v>Angela Castro</v>
      </c>
      <c r="D365" t="s">
        <v>20</v>
      </c>
      <c r="E365" t="str">
        <f t="shared" si="21"/>
        <v>Female</v>
      </c>
      <c r="F365" s="12">
        <v>44</v>
      </c>
      <c r="G365" t="s">
        <v>124</v>
      </c>
      <c r="H365" s="12" t="s">
        <v>22</v>
      </c>
      <c r="I365" t="s">
        <v>75</v>
      </c>
      <c r="J365" s="12">
        <v>6</v>
      </c>
      <c r="K365" s="3">
        <v>75</v>
      </c>
      <c r="L365" s="14">
        <f t="shared" si="22"/>
        <v>75</v>
      </c>
      <c r="M365" s="12">
        <v>4.5999999999999996</v>
      </c>
      <c r="N365">
        <v>1</v>
      </c>
      <c r="O365">
        <v>72</v>
      </c>
      <c r="P365" s="1">
        <f t="shared" si="23"/>
        <v>0.72</v>
      </c>
    </row>
    <row r="366" spans="1:16" x14ac:dyDescent="0.35">
      <c r="A366" t="s">
        <v>806</v>
      </c>
      <c r="B366" t="s">
        <v>807</v>
      </c>
      <c r="C366" t="str">
        <f t="shared" si="20"/>
        <v>Summer Yoder</v>
      </c>
      <c r="D366" t="s">
        <v>38</v>
      </c>
      <c r="E366" t="str">
        <f t="shared" si="21"/>
        <v>Female</v>
      </c>
      <c r="F366" s="12">
        <v>46</v>
      </c>
      <c r="G366" t="s">
        <v>21</v>
      </c>
      <c r="H366" s="12" t="s">
        <v>22</v>
      </c>
      <c r="I366" t="s">
        <v>35</v>
      </c>
      <c r="J366" s="12">
        <v>26</v>
      </c>
      <c r="K366" s="3">
        <v>100</v>
      </c>
      <c r="L366" s="14">
        <f t="shared" si="22"/>
        <v>100</v>
      </c>
      <c r="M366" s="12">
        <v>2.1</v>
      </c>
      <c r="N366">
        <v>1</v>
      </c>
      <c r="O366">
        <v>16</v>
      </c>
      <c r="P366" s="1">
        <f t="shared" si="23"/>
        <v>0.16</v>
      </c>
    </row>
    <row r="367" spans="1:16" x14ac:dyDescent="0.35">
      <c r="A367" t="s">
        <v>808</v>
      </c>
      <c r="B367" t="s">
        <v>809</v>
      </c>
      <c r="C367" t="str">
        <f t="shared" si="20"/>
        <v>Jackie Allen</v>
      </c>
      <c r="D367" t="s">
        <v>38</v>
      </c>
      <c r="E367" t="str">
        <f t="shared" si="21"/>
        <v>Female</v>
      </c>
      <c r="F367" s="12">
        <v>40</v>
      </c>
      <c r="G367" t="s">
        <v>109</v>
      </c>
      <c r="H367" s="12" t="s">
        <v>110</v>
      </c>
      <c r="I367" t="s">
        <v>17</v>
      </c>
      <c r="J367" s="12">
        <v>11</v>
      </c>
      <c r="K367" s="3">
        <v>40</v>
      </c>
      <c r="L367" s="14">
        <f t="shared" si="22"/>
        <v>40</v>
      </c>
      <c r="M367" s="12">
        <v>1.5</v>
      </c>
      <c r="N367">
        <v>0</v>
      </c>
      <c r="O367" s="1">
        <v>0.96</v>
      </c>
      <c r="P367" s="1">
        <f t="shared" si="23"/>
        <v>0.96</v>
      </c>
    </row>
    <row r="368" spans="1:16" x14ac:dyDescent="0.35">
      <c r="A368" t="s">
        <v>810</v>
      </c>
      <c r="B368" t="s">
        <v>811</v>
      </c>
      <c r="C368" t="str">
        <f t="shared" si="20"/>
        <v>Brandon Williams</v>
      </c>
      <c r="D368" t="s">
        <v>27</v>
      </c>
      <c r="E368" t="str">
        <f t="shared" si="21"/>
        <v>Male</v>
      </c>
      <c r="F368" s="12">
        <v>41</v>
      </c>
      <c r="G368" t="s">
        <v>170</v>
      </c>
      <c r="H368" s="12" t="s">
        <v>171</v>
      </c>
      <c r="I368" t="s">
        <v>43</v>
      </c>
      <c r="J368" s="12">
        <v>9</v>
      </c>
      <c r="K368" s="3" t="s">
        <v>53</v>
      </c>
      <c r="L368" s="14" t="str">
        <f t="shared" si="22"/>
        <v>$ 40</v>
      </c>
      <c r="M368" s="12">
        <v>1.7</v>
      </c>
      <c r="N368">
        <v>1</v>
      </c>
      <c r="O368">
        <v>72</v>
      </c>
      <c r="P368" s="1">
        <f t="shared" si="23"/>
        <v>0.72</v>
      </c>
    </row>
    <row r="369" spans="1:16" x14ac:dyDescent="0.35">
      <c r="A369" t="s">
        <v>812</v>
      </c>
      <c r="B369" t="s">
        <v>813</v>
      </c>
      <c r="C369" t="str">
        <f t="shared" si="20"/>
        <v>Manuel Torres</v>
      </c>
      <c r="D369" t="s">
        <v>27</v>
      </c>
      <c r="E369" t="str">
        <f t="shared" si="21"/>
        <v>Male</v>
      </c>
      <c r="F369" s="12">
        <v>31</v>
      </c>
      <c r="G369" t="s">
        <v>82</v>
      </c>
      <c r="H369" s="12" t="s">
        <v>83</v>
      </c>
      <c r="I369" t="s">
        <v>49</v>
      </c>
      <c r="J369" s="12">
        <v>11</v>
      </c>
      <c r="K369" s="3">
        <v>40</v>
      </c>
      <c r="L369" s="14">
        <f t="shared" si="22"/>
        <v>40</v>
      </c>
      <c r="M369" s="12">
        <v>3.3</v>
      </c>
      <c r="N369">
        <v>0</v>
      </c>
      <c r="O369">
        <v>16</v>
      </c>
      <c r="P369" s="1">
        <f t="shared" si="23"/>
        <v>0.16</v>
      </c>
    </row>
    <row r="370" spans="1:16" x14ac:dyDescent="0.35">
      <c r="A370" t="s">
        <v>814</v>
      </c>
      <c r="B370" t="s">
        <v>815</v>
      </c>
      <c r="C370" t="str">
        <f t="shared" si="20"/>
        <v>Scott Keller</v>
      </c>
      <c r="D370" t="s">
        <v>27</v>
      </c>
      <c r="E370" t="str">
        <f t="shared" si="21"/>
        <v>Male</v>
      </c>
      <c r="F370" s="12">
        <v>33</v>
      </c>
      <c r="G370" t="s">
        <v>109</v>
      </c>
      <c r="H370" s="12" t="s">
        <v>110</v>
      </c>
      <c r="I370" t="s">
        <v>111</v>
      </c>
      <c r="J370" s="12">
        <v>11</v>
      </c>
      <c r="K370" s="3">
        <v>40</v>
      </c>
      <c r="L370" s="14">
        <f t="shared" si="22"/>
        <v>40</v>
      </c>
      <c r="M370" s="12">
        <v>4.3</v>
      </c>
      <c r="N370">
        <v>1</v>
      </c>
      <c r="O370" s="1">
        <v>0.63</v>
      </c>
      <c r="P370" s="1">
        <f t="shared" si="23"/>
        <v>0.63</v>
      </c>
    </row>
    <row r="371" spans="1:16" x14ac:dyDescent="0.35">
      <c r="A371" t="s">
        <v>816</v>
      </c>
      <c r="B371" t="s">
        <v>817</v>
      </c>
      <c r="C371" t="str">
        <f t="shared" si="20"/>
        <v>Deborah Brown</v>
      </c>
      <c r="D371" t="s">
        <v>20</v>
      </c>
      <c r="E371" t="str">
        <f t="shared" si="21"/>
        <v>Female</v>
      </c>
      <c r="F371" s="12">
        <v>31</v>
      </c>
      <c r="G371" t="s">
        <v>104</v>
      </c>
      <c r="H371" s="12" t="s">
        <v>105</v>
      </c>
      <c r="I371" t="s">
        <v>111</v>
      </c>
      <c r="J371" s="12">
        <v>3</v>
      </c>
      <c r="K371" s="3">
        <v>20</v>
      </c>
      <c r="L371" s="14">
        <f t="shared" si="22"/>
        <v>20</v>
      </c>
      <c r="M371" s="12">
        <v>3</v>
      </c>
      <c r="N371">
        <v>0</v>
      </c>
      <c r="O371">
        <v>16</v>
      </c>
      <c r="P371" s="1">
        <f t="shared" si="23"/>
        <v>0.16</v>
      </c>
    </row>
    <row r="372" spans="1:16" x14ac:dyDescent="0.35">
      <c r="A372" t="s">
        <v>818</v>
      </c>
      <c r="B372" t="s">
        <v>819</v>
      </c>
      <c r="C372" t="str">
        <f t="shared" si="20"/>
        <v>Jennifer Lara</v>
      </c>
      <c r="D372" t="s">
        <v>38</v>
      </c>
      <c r="E372" t="str">
        <f t="shared" si="21"/>
        <v>Female</v>
      </c>
      <c r="F372" s="12">
        <v>49</v>
      </c>
      <c r="G372" t="s">
        <v>15</v>
      </c>
      <c r="H372" s="12" t="s">
        <v>16</v>
      </c>
      <c r="I372" t="s">
        <v>49</v>
      </c>
      <c r="J372" s="12">
        <v>15</v>
      </c>
      <c r="K372" s="3" t="s">
        <v>50</v>
      </c>
      <c r="L372" s="14" t="str">
        <f t="shared" si="22"/>
        <v>$ 75</v>
      </c>
      <c r="M372" s="12">
        <v>2.6</v>
      </c>
      <c r="N372">
        <v>0</v>
      </c>
      <c r="O372" s="1">
        <v>0.83</v>
      </c>
      <c r="P372" s="1">
        <f t="shared" si="23"/>
        <v>0.83</v>
      </c>
    </row>
    <row r="373" spans="1:16" x14ac:dyDescent="0.35">
      <c r="A373" t="s">
        <v>820</v>
      </c>
      <c r="B373" t="s">
        <v>821</v>
      </c>
      <c r="C373" t="str">
        <f t="shared" si="20"/>
        <v>Jason Scott</v>
      </c>
      <c r="D373" t="s">
        <v>27</v>
      </c>
      <c r="E373" t="str">
        <f t="shared" si="21"/>
        <v>Male</v>
      </c>
      <c r="F373" s="12">
        <v>35</v>
      </c>
      <c r="G373" t="s">
        <v>174</v>
      </c>
      <c r="H373" s="12" t="s">
        <v>69</v>
      </c>
      <c r="I373" t="s">
        <v>30</v>
      </c>
      <c r="J373" s="12">
        <v>12</v>
      </c>
      <c r="K373" s="3" t="s">
        <v>308</v>
      </c>
      <c r="L373" s="14" t="str">
        <f t="shared" si="22"/>
        <v>$ 20</v>
      </c>
      <c r="M373" s="12">
        <v>4.0999999999999996</v>
      </c>
      <c r="N373">
        <v>1</v>
      </c>
      <c r="O373" s="1">
        <v>0.94</v>
      </c>
      <c r="P373" s="1">
        <f t="shared" si="23"/>
        <v>0.94</v>
      </c>
    </row>
    <row r="374" spans="1:16" x14ac:dyDescent="0.35">
      <c r="A374" t="s">
        <v>822</v>
      </c>
      <c r="B374" t="s">
        <v>823</v>
      </c>
      <c r="C374" t="str">
        <f t="shared" si="20"/>
        <v>Gregory Garrison</v>
      </c>
      <c r="D374" t="s">
        <v>27</v>
      </c>
      <c r="E374" t="str">
        <f t="shared" si="21"/>
        <v>Male</v>
      </c>
      <c r="F374" s="12">
        <v>45</v>
      </c>
      <c r="G374" t="s">
        <v>90</v>
      </c>
      <c r="H374" s="12" t="s">
        <v>91</v>
      </c>
      <c r="I374" t="s">
        <v>49</v>
      </c>
      <c r="J374" s="12">
        <v>19</v>
      </c>
      <c r="K374" s="3">
        <v>40</v>
      </c>
      <c r="L374" s="14">
        <f t="shared" si="22"/>
        <v>40</v>
      </c>
      <c r="M374" s="12">
        <v>2.2000000000000002</v>
      </c>
      <c r="N374">
        <v>1</v>
      </c>
      <c r="O374" s="1">
        <v>0.78</v>
      </c>
      <c r="P374" s="1">
        <f t="shared" si="23"/>
        <v>0.78</v>
      </c>
    </row>
    <row r="375" spans="1:16" x14ac:dyDescent="0.35">
      <c r="A375" t="s">
        <v>824</v>
      </c>
      <c r="B375" t="s">
        <v>825</v>
      </c>
      <c r="C375" t="str">
        <f t="shared" si="20"/>
        <v>Chelsea Anderson</v>
      </c>
      <c r="D375" t="s">
        <v>38</v>
      </c>
      <c r="E375" t="str">
        <f t="shared" si="21"/>
        <v>Female</v>
      </c>
      <c r="F375" s="12">
        <v>39</v>
      </c>
      <c r="G375" t="s">
        <v>41</v>
      </c>
      <c r="H375" s="12" t="s">
        <v>42</v>
      </c>
      <c r="I375" t="s">
        <v>49</v>
      </c>
      <c r="J375" s="12">
        <v>13</v>
      </c>
      <c r="K375" s="3">
        <v>30</v>
      </c>
      <c r="L375" s="14">
        <f t="shared" si="22"/>
        <v>30</v>
      </c>
      <c r="M375" s="12">
        <v>1.1000000000000001</v>
      </c>
      <c r="N375">
        <v>1</v>
      </c>
      <c r="O375">
        <v>16</v>
      </c>
      <c r="P375" s="1">
        <f t="shared" si="23"/>
        <v>0.16</v>
      </c>
    </row>
    <row r="376" spans="1:16" x14ac:dyDescent="0.35">
      <c r="A376" t="s">
        <v>826</v>
      </c>
      <c r="B376" t="s">
        <v>827</v>
      </c>
      <c r="C376" t="str">
        <f t="shared" si="20"/>
        <v>Gerald Johnson</v>
      </c>
      <c r="D376" t="s">
        <v>59</v>
      </c>
      <c r="E376" t="str">
        <f t="shared" si="21"/>
        <v>Male</v>
      </c>
      <c r="F376" s="12">
        <v>41</v>
      </c>
      <c r="G376" t="s">
        <v>68</v>
      </c>
      <c r="H376" s="12" t="s">
        <v>69</v>
      </c>
      <c r="I376" t="s">
        <v>17</v>
      </c>
      <c r="J376" s="12">
        <v>11</v>
      </c>
      <c r="K376" s="3">
        <v>50</v>
      </c>
      <c r="L376" s="14">
        <f t="shared" si="22"/>
        <v>50</v>
      </c>
      <c r="M376" s="12">
        <v>2.1</v>
      </c>
      <c r="N376">
        <v>1</v>
      </c>
      <c r="O376" s="1">
        <v>0.82</v>
      </c>
      <c r="P376" s="1">
        <f t="shared" si="23"/>
        <v>0.82</v>
      </c>
    </row>
    <row r="377" spans="1:16" x14ac:dyDescent="0.35">
      <c r="A377" t="s">
        <v>828</v>
      </c>
      <c r="B377" t="s">
        <v>829</v>
      </c>
      <c r="C377" t="str">
        <f t="shared" si="20"/>
        <v>Kevin Ellis</v>
      </c>
      <c r="D377" t="s">
        <v>27</v>
      </c>
      <c r="E377" t="str">
        <f t="shared" si="21"/>
        <v>Male</v>
      </c>
      <c r="F377" s="12">
        <v>24</v>
      </c>
      <c r="G377" t="s">
        <v>28</v>
      </c>
      <c r="H377" s="12" t="s">
        <v>29</v>
      </c>
      <c r="I377" t="s">
        <v>75</v>
      </c>
      <c r="J377" s="12">
        <v>3</v>
      </c>
      <c r="K377" s="3">
        <v>30</v>
      </c>
      <c r="L377" s="14">
        <f t="shared" si="22"/>
        <v>30</v>
      </c>
      <c r="M377" s="12">
        <v>2.2999999999999998</v>
      </c>
      <c r="N377">
        <v>0</v>
      </c>
      <c r="O377" s="1">
        <v>0.66</v>
      </c>
      <c r="P377" s="1">
        <f t="shared" si="23"/>
        <v>0.66</v>
      </c>
    </row>
    <row r="378" spans="1:16" x14ac:dyDescent="0.35">
      <c r="A378" t="s">
        <v>830</v>
      </c>
      <c r="B378" t="s">
        <v>831</v>
      </c>
      <c r="C378" t="str">
        <f t="shared" si="20"/>
        <v>Mitchell Keller</v>
      </c>
      <c r="D378" t="s">
        <v>94</v>
      </c>
      <c r="E378" t="str">
        <f t="shared" si="21"/>
        <v>Male</v>
      </c>
      <c r="F378" s="12">
        <v>50</v>
      </c>
      <c r="G378" t="s">
        <v>21</v>
      </c>
      <c r="H378" s="12" t="s">
        <v>22</v>
      </c>
      <c r="I378" t="s">
        <v>30</v>
      </c>
      <c r="J378" s="12">
        <v>26</v>
      </c>
      <c r="K378" s="3">
        <v>40</v>
      </c>
      <c r="L378" s="14">
        <f t="shared" si="22"/>
        <v>40</v>
      </c>
      <c r="M378" s="12">
        <v>3.6</v>
      </c>
      <c r="N378">
        <v>1</v>
      </c>
      <c r="O378">
        <v>82</v>
      </c>
      <c r="P378" s="1">
        <f t="shared" si="23"/>
        <v>0.82</v>
      </c>
    </row>
    <row r="379" spans="1:16" x14ac:dyDescent="0.35">
      <c r="A379" t="s">
        <v>832</v>
      </c>
      <c r="B379" t="s">
        <v>833</v>
      </c>
      <c r="C379" t="str">
        <f t="shared" si="20"/>
        <v>Mary Brown</v>
      </c>
      <c r="D379" t="s">
        <v>38</v>
      </c>
      <c r="E379" t="str">
        <f t="shared" si="21"/>
        <v>Female</v>
      </c>
      <c r="F379" s="12">
        <v>23</v>
      </c>
      <c r="G379" t="s">
        <v>28</v>
      </c>
      <c r="H379" s="12" t="s">
        <v>29</v>
      </c>
      <c r="I379" t="s">
        <v>111</v>
      </c>
      <c r="J379" s="12">
        <v>4</v>
      </c>
      <c r="K379" s="3" t="s">
        <v>308</v>
      </c>
      <c r="L379" s="14" t="str">
        <f t="shared" si="22"/>
        <v>$ 20</v>
      </c>
      <c r="M379" s="12">
        <v>4.7</v>
      </c>
      <c r="N379">
        <v>1</v>
      </c>
      <c r="O379" s="1">
        <v>0.84</v>
      </c>
      <c r="P379" s="1">
        <f t="shared" si="23"/>
        <v>0.84</v>
      </c>
    </row>
    <row r="380" spans="1:16" x14ac:dyDescent="0.35">
      <c r="A380" t="s">
        <v>834</v>
      </c>
      <c r="B380" t="s">
        <v>835</v>
      </c>
      <c r="C380" t="str">
        <f t="shared" si="20"/>
        <v>Ronald Walls</v>
      </c>
      <c r="D380" t="s">
        <v>59</v>
      </c>
      <c r="E380" t="str">
        <f t="shared" si="21"/>
        <v>Male</v>
      </c>
      <c r="F380" s="12">
        <v>27</v>
      </c>
      <c r="G380" t="s">
        <v>124</v>
      </c>
      <c r="H380" s="12" t="s">
        <v>22</v>
      </c>
      <c r="I380" t="s">
        <v>75</v>
      </c>
      <c r="J380" s="12">
        <v>8</v>
      </c>
      <c r="K380" s="3">
        <v>20</v>
      </c>
      <c r="L380" s="14">
        <f t="shared" si="22"/>
        <v>20</v>
      </c>
      <c r="M380" s="12">
        <v>4.8</v>
      </c>
      <c r="N380">
        <v>0</v>
      </c>
      <c r="O380" s="1">
        <v>0.81</v>
      </c>
      <c r="P380" s="1">
        <f t="shared" si="23"/>
        <v>0.81</v>
      </c>
    </row>
    <row r="381" spans="1:16" x14ac:dyDescent="0.35">
      <c r="A381" t="s">
        <v>836</v>
      </c>
      <c r="B381" t="s">
        <v>837</v>
      </c>
      <c r="C381" t="str">
        <f t="shared" si="20"/>
        <v>Anthony Avila</v>
      </c>
      <c r="D381" t="s">
        <v>94</v>
      </c>
      <c r="E381" t="str">
        <f t="shared" si="21"/>
        <v>Male</v>
      </c>
      <c r="F381" s="12">
        <v>58</v>
      </c>
      <c r="G381" t="s">
        <v>149</v>
      </c>
      <c r="H381" s="12" t="s">
        <v>150</v>
      </c>
      <c r="I381" t="s">
        <v>43</v>
      </c>
      <c r="J381" s="12">
        <v>10</v>
      </c>
      <c r="K381" s="3">
        <v>75</v>
      </c>
      <c r="L381" s="14">
        <f t="shared" si="22"/>
        <v>75</v>
      </c>
      <c r="M381" s="12">
        <v>4.2</v>
      </c>
      <c r="N381">
        <v>0</v>
      </c>
      <c r="O381">
        <v>71</v>
      </c>
      <c r="P381" s="1">
        <f t="shared" si="23"/>
        <v>0.71</v>
      </c>
    </row>
    <row r="382" spans="1:16" x14ac:dyDescent="0.35">
      <c r="A382" t="s">
        <v>838</v>
      </c>
      <c r="B382" t="s">
        <v>839</v>
      </c>
      <c r="C382" t="str">
        <f t="shared" si="20"/>
        <v>Douglas Goodwin</v>
      </c>
      <c r="D382" t="s">
        <v>27</v>
      </c>
      <c r="E382" t="str">
        <f t="shared" si="21"/>
        <v>Male</v>
      </c>
      <c r="F382" s="12">
        <v>37</v>
      </c>
      <c r="G382" t="s">
        <v>15</v>
      </c>
      <c r="H382" s="12" t="s">
        <v>16</v>
      </c>
      <c r="I382" t="s">
        <v>111</v>
      </c>
      <c r="J382" s="12">
        <v>5</v>
      </c>
      <c r="K382" s="3">
        <v>40</v>
      </c>
      <c r="L382" s="14">
        <f t="shared" si="22"/>
        <v>40</v>
      </c>
      <c r="M382" s="12">
        <v>4.8</v>
      </c>
      <c r="N382">
        <v>1</v>
      </c>
      <c r="O382" s="1">
        <v>0.61</v>
      </c>
      <c r="P382" s="1">
        <f t="shared" si="23"/>
        <v>0.61</v>
      </c>
    </row>
    <row r="383" spans="1:16" x14ac:dyDescent="0.35">
      <c r="A383" t="s">
        <v>840</v>
      </c>
      <c r="B383" t="s">
        <v>841</v>
      </c>
      <c r="C383" t="str">
        <f t="shared" si="20"/>
        <v>James Mills</v>
      </c>
      <c r="D383" t="s">
        <v>59</v>
      </c>
      <c r="E383" t="str">
        <f t="shared" si="21"/>
        <v>Male</v>
      </c>
      <c r="F383" s="12">
        <v>39</v>
      </c>
      <c r="G383" t="s">
        <v>185</v>
      </c>
      <c r="H383" s="12" t="s">
        <v>69</v>
      </c>
      <c r="I383" t="s">
        <v>17</v>
      </c>
      <c r="J383" s="12">
        <v>18</v>
      </c>
      <c r="K383" s="3">
        <v>75</v>
      </c>
      <c r="L383" s="14">
        <f t="shared" si="22"/>
        <v>75</v>
      </c>
      <c r="M383" s="12">
        <v>4</v>
      </c>
      <c r="N383">
        <v>1</v>
      </c>
      <c r="O383" s="1">
        <v>0.66</v>
      </c>
      <c r="P383" s="1">
        <f t="shared" si="23"/>
        <v>0.66</v>
      </c>
    </row>
    <row r="384" spans="1:16" x14ac:dyDescent="0.35">
      <c r="A384" t="s">
        <v>842</v>
      </c>
      <c r="B384" t="s">
        <v>843</v>
      </c>
      <c r="C384" t="str">
        <f t="shared" si="20"/>
        <v>Nicole Marks</v>
      </c>
      <c r="D384" t="s">
        <v>20</v>
      </c>
      <c r="E384" t="str">
        <f t="shared" si="21"/>
        <v>Female</v>
      </c>
      <c r="F384" s="12">
        <v>46</v>
      </c>
      <c r="G384" t="s">
        <v>135</v>
      </c>
      <c r="H384" s="12" t="s">
        <v>136</v>
      </c>
      <c r="I384" t="s">
        <v>49</v>
      </c>
      <c r="J384" s="12">
        <v>10</v>
      </c>
      <c r="K384" s="3">
        <v>20</v>
      </c>
      <c r="L384" s="14">
        <f t="shared" si="22"/>
        <v>20</v>
      </c>
      <c r="M384" s="12">
        <v>2.5</v>
      </c>
      <c r="N384">
        <v>1</v>
      </c>
      <c r="O384" s="1">
        <v>0.97</v>
      </c>
      <c r="P384" s="1">
        <f t="shared" si="23"/>
        <v>0.97</v>
      </c>
    </row>
    <row r="385" spans="1:16" x14ac:dyDescent="0.35">
      <c r="A385" t="s">
        <v>844</v>
      </c>
      <c r="B385" t="s">
        <v>845</v>
      </c>
      <c r="C385" t="str">
        <f t="shared" si="20"/>
        <v>Phyllis Dawson</v>
      </c>
      <c r="D385" t="s">
        <v>74</v>
      </c>
      <c r="E385" t="str">
        <f t="shared" si="21"/>
        <v>Female</v>
      </c>
      <c r="F385" s="12">
        <v>41</v>
      </c>
      <c r="G385" t="s">
        <v>64</v>
      </c>
      <c r="H385" s="12" t="s">
        <v>22</v>
      </c>
      <c r="I385" t="s">
        <v>70</v>
      </c>
      <c r="J385" s="12">
        <v>11</v>
      </c>
      <c r="K385" s="3" t="s">
        <v>308</v>
      </c>
      <c r="L385" s="14" t="str">
        <f t="shared" si="22"/>
        <v>$ 20</v>
      </c>
      <c r="M385" s="12">
        <v>4.8</v>
      </c>
      <c r="N385">
        <v>0</v>
      </c>
      <c r="O385" s="1">
        <v>0.74</v>
      </c>
      <c r="P385" s="1">
        <f t="shared" si="23"/>
        <v>0.74</v>
      </c>
    </row>
    <row r="386" spans="1:16" x14ac:dyDescent="0.35">
      <c r="A386" t="s">
        <v>846</v>
      </c>
      <c r="B386" t="s">
        <v>847</v>
      </c>
      <c r="C386" t="str">
        <f t="shared" si="20"/>
        <v>Renee Arnold</v>
      </c>
      <c r="D386" t="s">
        <v>38</v>
      </c>
      <c r="E386" t="str">
        <f t="shared" si="21"/>
        <v>Female</v>
      </c>
      <c r="F386" s="12">
        <v>39</v>
      </c>
      <c r="G386" t="s">
        <v>174</v>
      </c>
      <c r="H386" s="12" t="s">
        <v>69</v>
      </c>
      <c r="I386" t="s">
        <v>17</v>
      </c>
      <c r="J386" s="12">
        <v>21</v>
      </c>
      <c r="K386" s="3">
        <v>30</v>
      </c>
      <c r="L386" s="14">
        <f t="shared" si="22"/>
        <v>30</v>
      </c>
      <c r="M386" s="12">
        <v>4.7</v>
      </c>
      <c r="N386">
        <v>0</v>
      </c>
      <c r="O386" s="1">
        <v>0.61</v>
      </c>
      <c r="P386" s="1">
        <f t="shared" si="23"/>
        <v>0.61</v>
      </c>
    </row>
    <row r="387" spans="1:16" x14ac:dyDescent="0.35">
      <c r="A387" t="s">
        <v>848</v>
      </c>
      <c r="B387" t="s">
        <v>849</v>
      </c>
      <c r="C387" t="str">
        <f t="shared" ref="C387:C450" si="24">PROPER(B387)</f>
        <v>Eric Robinson</v>
      </c>
      <c r="D387" t="s">
        <v>27</v>
      </c>
      <c r="E387" t="str">
        <f t="shared" ref="E387:E450" si="25">PROPER(D387)</f>
        <v>Male</v>
      </c>
      <c r="F387" s="12">
        <v>59</v>
      </c>
      <c r="G387" t="s">
        <v>135</v>
      </c>
      <c r="H387" s="12" t="s">
        <v>136</v>
      </c>
      <c r="I387" t="s">
        <v>17</v>
      </c>
      <c r="J387" s="12">
        <v>25</v>
      </c>
      <c r="K387" s="3">
        <v>20</v>
      </c>
      <c r="L387" s="14">
        <f t="shared" ref="L387:L450" si="26">IF(K387="","",IF(LEFT(K387,3)="USD","$"&amp;MID(K387,4,LEN(K387)-3),K387))</f>
        <v>20</v>
      </c>
      <c r="M387" s="12">
        <v>4</v>
      </c>
      <c r="N387">
        <v>0</v>
      </c>
      <c r="O387" s="1">
        <v>0.9</v>
      </c>
      <c r="P387" s="1">
        <f t="shared" ref="P387:P450" si="27">IF(O387="","",IF(O387&lt;1,O387,O387/100))</f>
        <v>0.9</v>
      </c>
    </row>
    <row r="388" spans="1:16" x14ac:dyDescent="0.35">
      <c r="A388" t="s">
        <v>850</v>
      </c>
      <c r="B388" t="s">
        <v>851</v>
      </c>
      <c r="C388" t="str">
        <f t="shared" si="24"/>
        <v>Paul Brown</v>
      </c>
      <c r="D388" t="s">
        <v>27</v>
      </c>
      <c r="E388" t="str">
        <f t="shared" si="25"/>
        <v>Male</v>
      </c>
      <c r="F388" s="12">
        <v>21</v>
      </c>
      <c r="G388" t="s">
        <v>41</v>
      </c>
      <c r="H388" s="12" t="s">
        <v>42</v>
      </c>
      <c r="I388" t="s">
        <v>86</v>
      </c>
      <c r="J388" s="12">
        <v>11</v>
      </c>
      <c r="K388" s="3">
        <v>40</v>
      </c>
      <c r="L388" s="14">
        <f t="shared" si="26"/>
        <v>40</v>
      </c>
      <c r="M388" s="12">
        <v>4.0999999999999996</v>
      </c>
      <c r="N388">
        <v>1</v>
      </c>
      <c r="O388" s="1">
        <v>0.97</v>
      </c>
      <c r="P388" s="1">
        <f t="shared" si="27"/>
        <v>0.97</v>
      </c>
    </row>
    <row r="389" spans="1:16" x14ac:dyDescent="0.35">
      <c r="A389" t="s">
        <v>852</v>
      </c>
      <c r="B389" t="s">
        <v>853</v>
      </c>
      <c r="C389" t="str">
        <f t="shared" si="24"/>
        <v>Sarah Proctor</v>
      </c>
      <c r="D389" t="s">
        <v>20</v>
      </c>
      <c r="E389" t="str">
        <f t="shared" si="25"/>
        <v>Female</v>
      </c>
      <c r="F389" s="12">
        <v>23</v>
      </c>
      <c r="G389" t="s">
        <v>124</v>
      </c>
      <c r="H389" s="12" t="s">
        <v>22</v>
      </c>
      <c r="I389" t="s">
        <v>86</v>
      </c>
      <c r="J389" s="12">
        <v>5</v>
      </c>
      <c r="K389" s="3">
        <v>100</v>
      </c>
      <c r="L389" s="14">
        <f t="shared" si="26"/>
        <v>100</v>
      </c>
      <c r="M389" s="12">
        <v>3.2</v>
      </c>
      <c r="N389">
        <v>1</v>
      </c>
      <c r="O389">
        <v>16</v>
      </c>
      <c r="P389" s="1">
        <f t="shared" si="27"/>
        <v>0.16</v>
      </c>
    </row>
    <row r="390" spans="1:16" x14ac:dyDescent="0.35">
      <c r="A390" t="s">
        <v>854</v>
      </c>
      <c r="B390" t="s">
        <v>855</v>
      </c>
      <c r="C390" t="str">
        <f t="shared" si="24"/>
        <v>Matthew Hicks</v>
      </c>
      <c r="D390" t="s">
        <v>27</v>
      </c>
      <c r="E390" t="str">
        <f t="shared" si="25"/>
        <v>Male</v>
      </c>
      <c r="F390" s="12">
        <v>27</v>
      </c>
      <c r="G390" t="s">
        <v>135</v>
      </c>
      <c r="H390" s="12" t="s">
        <v>136</v>
      </c>
      <c r="I390" t="s">
        <v>35</v>
      </c>
      <c r="J390" s="12">
        <v>1</v>
      </c>
      <c r="K390" s="3">
        <v>20</v>
      </c>
      <c r="L390" s="14">
        <f t="shared" si="26"/>
        <v>20</v>
      </c>
      <c r="M390" s="12">
        <v>4.3</v>
      </c>
      <c r="N390">
        <v>0</v>
      </c>
      <c r="O390" s="1">
        <v>0.76</v>
      </c>
      <c r="P390" s="1">
        <f t="shared" si="27"/>
        <v>0.76</v>
      </c>
    </row>
    <row r="391" spans="1:16" x14ac:dyDescent="0.35">
      <c r="A391" t="s">
        <v>856</v>
      </c>
      <c r="B391" t="s">
        <v>857</v>
      </c>
      <c r="C391" t="str">
        <f t="shared" si="24"/>
        <v>Christopher Black</v>
      </c>
      <c r="D391" t="s">
        <v>27</v>
      </c>
      <c r="E391" t="str">
        <f t="shared" si="25"/>
        <v>Male</v>
      </c>
      <c r="F391" s="12">
        <v>27</v>
      </c>
      <c r="G391" t="s">
        <v>170</v>
      </c>
      <c r="H391" s="12" t="s">
        <v>171</v>
      </c>
      <c r="I391" t="s">
        <v>75</v>
      </c>
      <c r="J391" s="12">
        <v>4</v>
      </c>
      <c r="K391" s="3">
        <v>40</v>
      </c>
      <c r="L391" s="14">
        <f t="shared" si="26"/>
        <v>40</v>
      </c>
      <c r="M391" s="12">
        <v>4.4000000000000004</v>
      </c>
      <c r="N391">
        <v>0</v>
      </c>
      <c r="O391" s="1">
        <v>0.92</v>
      </c>
      <c r="P391" s="1">
        <f t="shared" si="27"/>
        <v>0.92</v>
      </c>
    </row>
    <row r="392" spans="1:16" x14ac:dyDescent="0.35">
      <c r="A392" t="s">
        <v>858</v>
      </c>
      <c r="B392" t="s">
        <v>859</v>
      </c>
      <c r="C392" t="str">
        <f t="shared" si="24"/>
        <v>Joanne Reyes</v>
      </c>
      <c r="D392" t="s">
        <v>38</v>
      </c>
      <c r="E392" t="str">
        <f t="shared" si="25"/>
        <v>Female</v>
      </c>
      <c r="F392" s="12">
        <v>48</v>
      </c>
      <c r="G392" t="s">
        <v>149</v>
      </c>
      <c r="H392" s="12" t="s">
        <v>150</v>
      </c>
      <c r="I392" t="s">
        <v>49</v>
      </c>
      <c r="J392" s="12">
        <v>21</v>
      </c>
      <c r="K392" s="3">
        <v>40</v>
      </c>
      <c r="L392" s="14">
        <f t="shared" si="26"/>
        <v>40</v>
      </c>
      <c r="M392" s="12">
        <v>2.2999999999999998</v>
      </c>
      <c r="N392">
        <v>0</v>
      </c>
      <c r="O392">
        <v>16</v>
      </c>
      <c r="P392" s="1">
        <f t="shared" si="27"/>
        <v>0.16</v>
      </c>
    </row>
    <row r="393" spans="1:16" x14ac:dyDescent="0.35">
      <c r="A393" t="s">
        <v>860</v>
      </c>
      <c r="B393" t="s">
        <v>861</v>
      </c>
      <c r="C393" t="str">
        <f t="shared" si="24"/>
        <v>Isaac Gray</v>
      </c>
      <c r="D393" t="s">
        <v>59</v>
      </c>
      <c r="E393" t="str">
        <f t="shared" si="25"/>
        <v>Male</v>
      </c>
      <c r="F393" s="12">
        <v>21</v>
      </c>
      <c r="G393" t="s">
        <v>149</v>
      </c>
      <c r="H393" s="12" t="s">
        <v>150</v>
      </c>
      <c r="I393" t="s">
        <v>43</v>
      </c>
      <c r="J393" s="12">
        <v>1</v>
      </c>
      <c r="K393" s="3">
        <v>20</v>
      </c>
      <c r="L393" s="14">
        <f t="shared" si="26"/>
        <v>20</v>
      </c>
      <c r="M393" s="12">
        <v>2.4</v>
      </c>
      <c r="N393">
        <v>1</v>
      </c>
      <c r="O393" s="1">
        <v>0.66</v>
      </c>
      <c r="P393" s="1">
        <f t="shared" si="27"/>
        <v>0.66</v>
      </c>
    </row>
    <row r="394" spans="1:16" x14ac:dyDescent="0.35">
      <c r="A394" t="s">
        <v>862</v>
      </c>
      <c r="B394" t="s">
        <v>863</v>
      </c>
      <c r="C394" t="str">
        <f t="shared" si="24"/>
        <v>Joshua Roberts</v>
      </c>
      <c r="D394" t="s">
        <v>27</v>
      </c>
      <c r="E394" t="str">
        <f t="shared" si="25"/>
        <v>Male</v>
      </c>
      <c r="F394" s="12">
        <v>37</v>
      </c>
      <c r="G394" t="s">
        <v>15</v>
      </c>
      <c r="H394" s="12" t="s">
        <v>16</v>
      </c>
      <c r="I394" t="s">
        <v>86</v>
      </c>
      <c r="J394" s="12">
        <v>11</v>
      </c>
      <c r="K394" s="3">
        <v>50</v>
      </c>
      <c r="L394" s="14">
        <f t="shared" si="26"/>
        <v>50</v>
      </c>
      <c r="M394" s="12">
        <v>4.5999999999999996</v>
      </c>
      <c r="N394">
        <v>0</v>
      </c>
      <c r="O394" s="1">
        <v>0.83</v>
      </c>
      <c r="P394" s="1">
        <f t="shared" si="27"/>
        <v>0.83</v>
      </c>
    </row>
    <row r="395" spans="1:16" x14ac:dyDescent="0.35">
      <c r="A395" t="s">
        <v>864</v>
      </c>
      <c r="B395" t="s">
        <v>865</v>
      </c>
      <c r="C395" t="str">
        <f t="shared" si="24"/>
        <v>Elizabeth Estrada</v>
      </c>
      <c r="D395" t="s">
        <v>38</v>
      </c>
      <c r="E395" t="str">
        <f t="shared" si="25"/>
        <v>Female</v>
      </c>
      <c r="F395" s="12">
        <v>31</v>
      </c>
      <c r="G395" t="s">
        <v>28</v>
      </c>
      <c r="H395" s="12" t="s">
        <v>29</v>
      </c>
      <c r="I395" t="s">
        <v>70</v>
      </c>
      <c r="J395" s="12">
        <v>10</v>
      </c>
      <c r="K395" s="3">
        <v>50</v>
      </c>
      <c r="L395" s="14">
        <f t="shared" si="26"/>
        <v>50</v>
      </c>
      <c r="M395" s="12">
        <v>0</v>
      </c>
      <c r="N395">
        <v>1</v>
      </c>
      <c r="O395">
        <v>16</v>
      </c>
      <c r="P395" s="1">
        <f t="shared" si="27"/>
        <v>0.16</v>
      </c>
    </row>
    <row r="396" spans="1:16" x14ac:dyDescent="0.35">
      <c r="A396" t="s">
        <v>866</v>
      </c>
      <c r="B396" t="s">
        <v>867</v>
      </c>
      <c r="C396" t="str">
        <f t="shared" si="24"/>
        <v>Lori Malone</v>
      </c>
      <c r="D396" t="s">
        <v>38</v>
      </c>
      <c r="E396" t="str">
        <f t="shared" si="25"/>
        <v>Female</v>
      </c>
      <c r="F396" s="12">
        <v>41</v>
      </c>
      <c r="G396" t="s">
        <v>135</v>
      </c>
      <c r="H396" s="12" t="s">
        <v>136</v>
      </c>
      <c r="I396" t="s">
        <v>17</v>
      </c>
      <c r="J396" s="12">
        <v>21</v>
      </c>
      <c r="K396" s="3">
        <v>40</v>
      </c>
      <c r="L396" s="14">
        <f t="shared" si="26"/>
        <v>40</v>
      </c>
      <c r="M396" s="12">
        <v>0</v>
      </c>
      <c r="N396">
        <v>1</v>
      </c>
      <c r="O396">
        <v>16</v>
      </c>
      <c r="P396" s="1">
        <f t="shared" si="27"/>
        <v>0.16</v>
      </c>
    </row>
    <row r="397" spans="1:16" x14ac:dyDescent="0.35">
      <c r="A397" t="s">
        <v>868</v>
      </c>
      <c r="B397" t="s">
        <v>869</v>
      </c>
      <c r="C397" t="str">
        <f t="shared" si="24"/>
        <v>Anthony Huynh Md</v>
      </c>
      <c r="D397" t="s">
        <v>27</v>
      </c>
      <c r="E397" t="str">
        <f t="shared" si="25"/>
        <v>Male</v>
      </c>
      <c r="F397" s="12">
        <v>31</v>
      </c>
      <c r="G397" t="s">
        <v>120</v>
      </c>
      <c r="H397" s="12" t="s">
        <v>121</v>
      </c>
      <c r="I397" t="s">
        <v>75</v>
      </c>
      <c r="J397" s="12">
        <v>11</v>
      </c>
      <c r="K397" s="3">
        <v>20</v>
      </c>
      <c r="L397" s="14">
        <f t="shared" si="26"/>
        <v>20</v>
      </c>
      <c r="M397" s="12">
        <v>4.2</v>
      </c>
      <c r="N397">
        <v>1</v>
      </c>
      <c r="O397">
        <v>82</v>
      </c>
      <c r="P397" s="1">
        <f t="shared" si="27"/>
        <v>0.82</v>
      </c>
    </row>
    <row r="398" spans="1:16" x14ac:dyDescent="0.35">
      <c r="A398" t="s">
        <v>870</v>
      </c>
      <c r="B398" t="s">
        <v>871</v>
      </c>
      <c r="C398" t="str">
        <f t="shared" si="24"/>
        <v>Mindy York</v>
      </c>
      <c r="D398" t="s">
        <v>20</v>
      </c>
      <c r="E398" t="str">
        <f t="shared" si="25"/>
        <v>Female</v>
      </c>
      <c r="F398" s="12">
        <v>58</v>
      </c>
      <c r="G398" t="s">
        <v>68</v>
      </c>
      <c r="H398" s="12" t="s">
        <v>69</v>
      </c>
      <c r="I398" t="s">
        <v>49</v>
      </c>
      <c r="J398" s="12">
        <v>11</v>
      </c>
      <c r="K398" s="3">
        <v>50</v>
      </c>
      <c r="L398" s="14">
        <f t="shared" si="26"/>
        <v>50</v>
      </c>
      <c r="M398" s="12">
        <v>2.2999999999999998</v>
      </c>
      <c r="N398">
        <v>0</v>
      </c>
      <c r="O398" s="1">
        <v>0.77</v>
      </c>
      <c r="P398" s="1">
        <f t="shared" si="27"/>
        <v>0.77</v>
      </c>
    </row>
    <row r="399" spans="1:16" x14ac:dyDescent="0.35">
      <c r="A399" t="s">
        <v>872</v>
      </c>
      <c r="B399" t="s">
        <v>873</v>
      </c>
      <c r="C399" t="str">
        <f t="shared" si="24"/>
        <v>Ms. Christine Cherry</v>
      </c>
      <c r="D399" t="s">
        <v>38</v>
      </c>
      <c r="E399" t="str">
        <f t="shared" si="25"/>
        <v>Female</v>
      </c>
      <c r="F399" s="12">
        <v>45</v>
      </c>
      <c r="G399" t="s">
        <v>41</v>
      </c>
      <c r="H399" s="12" t="s">
        <v>42</v>
      </c>
      <c r="I399" t="s">
        <v>49</v>
      </c>
      <c r="J399" s="12">
        <v>17</v>
      </c>
      <c r="K399" s="3">
        <v>50</v>
      </c>
      <c r="L399" s="14">
        <f t="shared" si="26"/>
        <v>50</v>
      </c>
      <c r="M399" s="12">
        <v>4.7</v>
      </c>
      <c r="N399">
        <v>1</v>
      </c>
      <c r="O399" s="1">
        <v>0.73</v>
      </c>
      <c r="P399" s="1">
        <f t="shared" si="27"/>
        <v>0.73</v>
      </c>
    </row>
    <row r="400" spans="1:16" x14ac:dyDescent="0.35">
      <c r="A400" t="s">
        <v>874</v>
      </c>
      <c r="B400" t="s">
        <v>875</v>
      </c>
      <c r="C400" t="str">
        <f t="shared" si="24"/>
        <v>Daniel Foster</v>
      </c>
      <c r="D400" t="s">
        <v>27</v>
      </c>
      <c r="E400" t="str">
        <f t="shared" si="25"/>
        <v>Male</v>
      </c>
      <c r="F400" s="12">
        <v>51</v>
      </c>
      <c r="G400" t="s">
        <v>109</v>
      </c>
      <c r="H400" s="12" t="s">
        <v>110</v>
      </c>
      <c r="I400" t="s">
        <v>75</v>
      </c>
      <c r="J400" s="12">
        <v>5</v>
      </c>
      <c r="K400" s="3">
        <v>40</v>
      </c>
      <c r="L400" s="14">
        <f t="shared" si="26"/>
        <v>40</v>
      </c>
      <c r="M400" s="12">
        <v>3</v>
      </c>
      <c r="N400">
        <v>1</v>
      </c>
      <c r="O400" s="1">
        <v>0.88</v>
      </c>
      <c r="P400" s="1">
        <f t="shared" si="27"/>
        <v>0.88</v>
      </c>
    </row>
    <row r="401" spans="1:16" x14ac:dyDescent="0.35">
      <c r="A401" t="s">
        <v>876</v>
      </c>
      <c r="B401" t="s">
        <v>877</v>
      </c>
      <c r="C401" t="str">
        <f t="shared" si="24"/>
        <v>Mr. David Valencia</v>
      </c>
      <c r="D401" t="s">
        <v>59</v>
      </c>
      <c r="E401" t="str">
        <f t="shared" si="25"/>
        <v>Male</v>
      </c>
      <c r="F401" s="12">
        <v>54</v>
      </c>
      <c r="G401" t="s">
        <v>56</v>
      </c>
      <c r="H401" s="12" t="s">
        <v>22</v>
      </c>
      <c r="I401" t="s">
        <v>70</v>
      </c>
      <c r="J401" s="12">
        <v>3</v>
      </c>
      <c r="K401" s="3" t="s">
        <v>106</v>
      </c>
      <c r="L401" s="14" t="str">
        <f t="shared" si="26"/>
        <v>$ 30</v>
      </c>
      <c r="M401" s="12">
        <v>2.4</v>
      </c>
      <c r="N401">
        <v>0</v>
      </c>
      <c r="O401" s="1">
        <v>0.81</v>
      </c>
      <c r="P401" s="1">
        <f t="shared" si="27"/>
        <v>0.81</v>
      </c>
    </row>
    <row r="402" spans="1:16" x14ac:dyDescent="0.35">
      <c r="A402" t="s">
        <v>878</v>
      </c>
      <c r="B402" t="s">
        <v>879</v>
      </c>
      <c r="C402" t="str">
        <f t="shared" si="24"/>
        <v>Ethan Adams</v>
      </c>
      <c r="D402" t="s">
        <v>27</v>
      </c>
      <c r="E402" t="str">
        <f t="shared" si="25"/>
        <v>Male</v>
      </c>
      <c r="F402" s="12">
        <v>22</v>
      </c>
      <c r="G402" t="s">
        <v>120</v>
      </c>
      <c r="H402" s="12" t="s">
        <v>121</v>
      </c>
      <c r="I402" t="s">
        <v>49</v>
      </c>
      <c r="J402" s="12">
        <v>1</v>
      </c>
      <c r="K402" s="3">
        <v>20</v>
      </c>
      <c r="L402" s="14">
        <f t="shared" si="26"/>
        <v>20</v>
      </c>
      <c r="M402" s="12">
        <v>1.7</v>
      </c>
      <c r="N402">
        <v>0</v>
      </c>
      <c r="O402" s="1">
        <v>0.78</v>
      </c>
      <c r="P402" s="1">
        <f t="shared" si="27"/>
        <v>0.78</v>
      </c>
    </row>
    <row r="403" spans="1:16" x14ac:dyDescent="0.35">
      <c r="A403" t="s">
        <v>880</v>
      </c>
      <c r="B403" t="s">
        <v>881</v>
      </c>
      <c r="C403" t="str">
        <f t="shared" si="24"/>
        <v>Brett Moore</v>
      </c>
      <c r="D403" t="s">
        <v>27</v>
      </c>
      <c r="E403" t="str">
        <f t="shared" si="25"/>
        <v>Male</v>
      </c>
      <c r="F403" s="12">
        <v>36</v>
      </c>
      <c r="G403" t="s">
        <v>60</v>
      </c>
      <c r="H403" s="12" t="s">
        <v>61</v>
      </c>
      <c r="I403" t="s">
        <v>75</v>
      </c>
      <c r="J403" s="12">
        <v>2</v>
      </c>
      <c r="K403" s="3">
        <v>75</v>
      </c>
      <c r="L403" s="14">
        <f t="shared" si="26"/>
        <v>75</v>
      </c>
      <c r="M403" s="12">
        <v>0</v>
      </c>
      <c r="N403">
        <v>0</v>
      </c>
      <c r="O403" s="1">
        <v>0.92</v>
      </c>
      <c r="P403" s="1">
        <f t="shared" si="27"/>
        <v>0.92</v>
      </c>
    </row>
    <row r="404" spans="1:16" x14ac:dyDescent="0.35">
      <c r="A404" t="s">
        <v>882</v>
      </c>
      <c r="B404" t="s">
        <v>883</v>
      </c>
      <c r="C404" t="str">
        <f t="shared" si="24"/>
        <v>Phillip Griffin</v>
      </c>
      <c r="D404" t="s">
        <v>59</v>
      </c>
      <c r="E404" t="str">
        <f t="shared" si="25"/>
        <v>Male</v>
      </c>
      <c r="F404" s="12">
        <v>50</v>
      </c>
      <c r="G404" t="s">
        <v>28</v>
      </c>
      <c r="H404" s="12" t="s">
        <v>29</v>
      </c>
      <c r="I404" t="s">
        <v>86</v>
      </c>
      <c r="J404" s="12">
        <v>32</v>
      </c>
      <c r="K404" s="3">
        <v>30</v>
      </c>
      <c r="L404" s="14">
        <f t="shared" si="26"/>
        <v>30</v>
      </c>
      <c r="M404" s="12">
        <v>3</v>
      </c>
      <c r="N404">
        <v>0</v>
      </c>
      <c r="O404" s="1">
        <v>0.64</v>
      </c>
      <c r="P404" s="1">
        <f t="shared" si="27"/>
        <v>0.64</v>
      </c>
    </row>
    <row r="405" spans="1:16" x14ac:dyDescent="0.35">
      <c r="A405" t="s">
        <v>884</v>
      </c>
      <c r="B405" t="s">
        <v>885</v>
      </c>
      <c r="C405" t="str">
        <f t="shared" si="24"/>
        <v>Stacie Wall</v>
      </c>
      <c r="D405" t="s">
        <v>74</v>
      </c>
      <c r="E405" t="str">
        <f t="shared" si="25"/>
        <v>Female</v>
      </c>
      <c r="F405" s="12">
        <v>41</v>
      </c>
      <c r="G405" t="s">
        <v>21</v>
      </c>
      <c r="H405" s="12" t="s">
        <v>22</v>
      </c>
      <c r="I405" t="s">
        <v>17</v>
      </c>
      <c r="J405" s="12">
        <v>14</v>
      </c>
      <c r="K405" s="3">
        <v>30</v>
      </c>
      <c r="L405" s="14">
        <f t="shared" si="26"/>
        <v>30</v>
      </c>
      <c r="M405" s="12">
        <v>0</v>
      </c>
      <c r="N405">
        <v>1</v>
      </c>
      <c r="O405" s="1">
        <v>0.78</v>
      </c>
      <c r="P405" s="1">
        <f t="shared" si="27"/>
        <v>0.78</v>
      </c>
    </row>
    <row r="406" spans="1:16" x14ac:dyDescent="0.35">
      <c r="A406" t="s">
        <v>886</v>
      </c>
      <c r="B406" t="s">
        <v>887</v>
      </c>
      <c r="C406" t="str">
        <f t="shared" si="24"/>
        <v>Jacob Austin</v>
      </c>
      <c r="D406" t="s">
        <v>27</v>
      </c>
      <c r="E406" t="str">
        <f t="shared" si="25"/>
        <v>Male</v>
      </c>
      <c r="F406" s="12">
        <v>41</v>
      </c>
      <c r="G406" t="s">
        <v>149</v>
      </c>
      <c r="H406" s="12" t="s">
        <v>150</v>
      </c>
      <c r="I406" t="s">
        <v>35</v>
      </c>
      <c r="J406" s="12">
        <v>10</v>
      </c>
      <c r="K406" s="3">
        <v>20</v>
      </c>
      <c r="L406" s="14">
        <f t="shared" si="26"/>
        <v>20</v>
      </c>
      <c r="M406" s="12">
        <v>1.8</v>
      </c>
      <c r="N406">
        <v>1</v>
      </c>
      <c r="O406">
        <v>85</v>
      </c>
      <c r="P406" s="1">
        <f t="shared" si="27"/>
        <v>0.85</v>
      </c>
    </row>
    <row r="407" spans="1:16" x14ac:dyDescent="0.35">
      <c r="A407" t="s">
        <v>888</v>
      </c>
      <c r="B407" t="s">
        <v>889</v>
      </c>
      <c r="C407" t="str">
        <f t="shared" si="24"/>
        <v>Sabrina Davidson</v>
      </c>
      <c r="D407" t="s">
        <v>20</v>
      </c>
      <c r="E407" t="str">
        <f t="shared" si="25"/>
        <v>Female</v>
      </c>
      <c r="F407" s="12">
        <v>51</v>
      </c>
      <c r="G407" t="s">
        <v>41</v>
      </c>
      <c r="H407" s="12" t="s">
        <v>42</v>
      </c>
      <c r="I407" t="s">
        <v>75</v>
      </c>
      <c r="J407" s="12">
        <v>27</v>
      </c>
      <c r="K407" s="3">
        <v>50</v>
      </c>
      <c r="L407" s="14">
        <f t="shared" si="26"/>
        <v>50</v>
      </c>
      <c r="M407" s="12">
        <v>0</v>
      </c>
      <c r="N407">
        <v>1</v>
      </c>
      <c r="O407" s="1">
        <v>0.78</v>
      </c>
      <c r="P407" s="1">
        <f t="shared" si="27"/>
        <v>0.78</v>
      </c>
    </row>
    <row r="408" spans="1:16" x14ac:dyDescent="0.35">
      <c r="A408" t="s">
        <v>890</v>
      </c>
      <c r="B408" t="s">
        <v>891</v>
      </c>
      <c r="C408" t="str">
        <f t="shared" si="24"/>
        <v>Dustin Douglas</v>
      </c>
      <c r="D408" t="s">
        <v>27</v>
      </c>
      <c r="E408" t="str">
        <f t="shared" si="25"/>
        <v>Male</v>
      </c>
      <c r="F408" s="12">
        <v>21</v>
      </c>
      <c r="G408" t="s">
        <v>131</v>
      </c>
      <c r="H408" s="12" t="s">
        <v>132</v>
      </c>
      <c r="I408" t="s">
        <v>43</v>
      </c>
      <c r="J408" s="12">
        <v>2</v>
      </c>
      <c r="K408" s="3">
        <v>30</v>
      </c>
      <c r="L408" s="14">
        <f t="shared" si="26"/>
        <v>30</v>
      </c>
      <c r="M408" s="12">
        <v>3.8</v>
      </c>
      <c r="N408">
        <v>1</v>
      </c>
      <c r="O408" s="1">
        <v>0.98</v>
      </c>
      <c r="P408" s="1">
        <f t="shared" si="27"/>
        <v>0.98</v>
      </c>
    </row>
    <row r="409" spans="1:16" x14ac:dyDescent="0.35">
      <c r="A409" t="s">
        <v>892</v>
      </c>
      <c r="B409" t="s">
        <v>893</v>
      </c>
      <c r="C409" t="str">
        <f t="shared" si="24"/>
        <v>Steven Norris</v>
      </c>
      <c r="D409" t="s">
        <v>59</v>
      </c>
      <c r="E409" t="str">
        <f t="shared" si="25"/>
        <v>Male</v>
      </c>
      <c r="F409" s="12">
        <v>51</v>
      </c>
      <c r="G409" t="s">
        <v>82</v>
      </c>
      <c r="H409" s="12" t="s">
        <v>83</v>
      </c>
      <c r="I409" t="s">
        <v>43</v>
      </c>
      <c r="J409" s="12">
        <v>33</v>
      </c>
      <c r="K409" s="3" t="s">
        <v>53</v>
      </c>
      <c r="L409" s="14" t="str">
        <f t="shared" si="26"/>
        <v>$ 40</v>
      </c>
      <c r="M409" s="12">
        <v>0</v>
      </c>
      <c r="N409">
        <v>1</v>
      </c>
      <c r="O409" s="1">
        <v>0.63</v>
      </c>
      <c r="P409" s="1">
        <f t="shared" si="27"/>
        <v>0.63</v>
      </c>
    </row>
    <row r="410" spans="1:16" x14ac:dyDescent="0.35">
      <c r="A410" t="s">
        <v>894</v>
      </c>
      <c r="B410" t="s">
        <v>895</v>
      </c>
      <c r="C410" t="str">
        <f t="shared" si="24"/>
        <v>Mindy Sullivan</v>
      </c>
      <c r="D410" t="s">
        <v>38</v>
      </c>
      <c r="E410" t="str">
        <f t="shared" si="25"/>
        <v>Female</v>
      </c>
      <c r="F410" s="12">
        <v>37</v>
      </c>
      <c r="G410" t="s">
        <v>47</v>
      </c>
      <c r="H410" s="12" t="s">
        <v>48</v>
      </c>
      <c r="I410" t="s">
        <v>30</v>
      </c>
      <c r="J410" s="12">
        <v>11</v>
      </c>
      <c r="K410" s="3" t="s">
        <v>53</v>
      </c>
      <c r="L410" s="14" t="str">
        <f t="shared" si="26"/>
        <v>$ 40</v>
      </c>
      <c r="M410" s="12">
        <v>3.6</v>
      </c>
      <c r="N410">
        <v>0</v>
      </c>
      <c r="O410" s="1">
        <v>0.73</v>
      </c>
      <c r="P410" s="1">
        <f t="shared" si="27"/>
        <v>0.73</v>
      </c>
    </row>
    <row r="411" spans="1:16" x14ac:dyDescent="0.35">
      <c r="A411" t="s">
        <v>896</v>
      </c>
      <c r="B411" t="s">
        <v>897</v>
      </c>
      <c r="C411" t="str">
        <f t="shared" si="24"/>
        <v>Elizabeth Stone</v>
      </c>
      <c r="D411" t="s">
        <v>38</v>
      </c>
      <c r="E411" t="str">
        <f t="shared" si="25"/>
        <v>Female</v>
      </c>
      <c r="F411" s="12">
        <v>20</v>
      </c>
      <c r="G411" t="s">
        <v>185</v>
      </c>
      <c r="H411" s="12" t="s">
        <v>69</v>
      </c>
      <c r="I411" t="s">
        <v>30</v>
      </c>
      <c r="J411" s="12">
        <v>2</v>
      </c>
      <c r="K411" s="3">
        <v>30</v>
      </c>
      <c r="L411" s="14">
        <f t="shared" si="26"/>
        <v>30</v>
      </c>
      <c r="M411" s="12">
        <v>0</v>
      </c>
      <c r="N411">
        <v>0</v>
      </c>
      <c r="O411" s="1">
        <v>0.94</v>
      </c>
      <c r="P411" s="1">
        <f t="shared" si="27"/>
        <v>0.94</v>
      </c>
    </row>
    <row r="412" spans="1:16" x14ac:dyDescent="0.35">
      <c r="A412" t="s">
        <v>898</v>
      </c>
      <c r="B412" t="s">
        <v>899</v>
      </c>
      <c r="C412" t="str">
        <f t="shared" si="24"/>
        <v>Diane Flores</v>
      </c>
      <c r="D412" t="s">
        <v>74</v>
      </c>
      <c r="E412" t="str">
        <f t="shared" si="25"/>
        <v>Female</v>
      </c>
      <c r="F412" s="12">
        <v>50</v>
      </c>
      <c r="G412" t="s">
        <v>21</v>
      </c>
      <c r="H412" s="12" t="s">
        <v>22</v>
      </c>
      <c r="I412" t="s">
        <v>35</v>
      </c>
      <c r="J412" s="12">
        <v>31</v>
      </c>
      <c r="K412" s="3">
        <v>50</v>
      </c>
      <c r="L412" s="14">
        <f t="shared" si="26"/>
        <v>50</v>
      </c>
      <c r="M412" s="12">
        <v>4.0999999999999996</v>
      </c>
      <c r="N412">
        <v>1</v>
      </c>
      <c r="O412" s="1">
        <v>0.81</v>
      </c>
      <c r="P412" s="1">
        <f t="shared" si="27"/>
        <v>0.81</v>
      </c>
    </row>
    <row r="413" spans="1:16" x14ac:dyDescent="0.35">
      <c r="A413" t="s">
        <v>900</v>
      </c>
      <c r="B413" t="s">
        <v>901</v>
      </c>
      <c r="C413" t="str">
        <f t="shared" si="24"/>
        <v>Jessica Erickson</v>
      </c>
      <c r="D413" t="s">
        <v>20</v>
      </c>
      <c r="E413" t="str">
        <f t="shared" si="25"/>
        <v>Female</v>
      </c>
      <c r="F413" s="12">
        <v>58</v>
      </c>
      <c r="G413" t="s">
        <v>60</v>
      </c>
      <c r="H413" s="12" t="s">
        <v>61</v>
      </c>
      <c r="I413" t="s">
        <v>30</v>
      </c>
      <c r="J413" s="12">
        <v>17</v>
      </c>
      <c r="K413" s="3">
        <v>50</v>
      </c>
      <c r="L413" s="14">
        <f t="shared" si="26"/>
        <v>50</v>
      </c>
      <c r="M413" s="12">
        <v>2.6</v>
      </c>
      <c r="N413">
        <v>1</v>
      </c>
      <c r="O413" s="1">
        <v>0.61</v>
      </c>
      <c r="P413" s="1">
        <f t="shared" si="27"/>
        <v>0.61</v>
      </c>
    </row>
    <row r="414" spans="1:16" x14ac:dyDescent="0.35">
      <c r="A414" t="s">
        <v>902</v>
      </c>
      <c r="B414" t="s">
        <v>903</v>
      </c>
      <c r="C414" t="str">
        <f t="shared" si="24"/>
        <v>Sara Moses</v>
      </c>
      <c r="D414" t="s">
        <v>20</v>
      </c>
      <c r="E414" t="str">
        <f t="shared" si="25"/>
        <v>Female</v>
      </c>
      <c r="F414" s="12">
        <v>40</v>
      </c>
      <c r="G414" t="s">
        <v>104</v>
      </c>
      <c r="H414" s="12" t="s">
        <v>105</v>
      </c>
      <c r="I414" t="s">
        <v>70</v>
      </c>
      <c r="J414" s="12">
        <v>2</v>
      </c>
      <c r="K414" s="3">
        <v>100</v>
      </c>
      <c r="L414" s="14">
        <f t="shared" si="26"/>
        <v>100</v>
      </c>
      <c r="M414" s="12">
        <v>0</v>
      </c>
      <c r="N414">
        <v>0</v>
      </c>
      <c r="O414">
        <v>16</v>
      </c>
      <c r="P414" s="1">
        <f t="shared" si="27"/>
        <v>0.16</v>
      </c>
    </row>
    <row r="415" spans="1:16" x14ac:dyDescent="0.35">
      <c r="A415" t="s">
        <v>904</v>
      </c>
      <c r="B415" t="s">
        <v>905</v>
      </c>
      <c r="C415" t="str">
        <f t="shared" si="24"/>
        <v>Allison Henderson</v>
      </c>
      <c r="D415" t="s">
        <v>38</v>
      </c>
      <c r="E415" t="str">
        <f t="shared" si="25"/>
        <v>Female</v>
      </c>
      <c r="F415" s="12">
        <v>26</v>
      </c>
      <c r="G415" t="s">
        <v>135</v>
      </c>
      <c r="H415" s="12" t="s">
        <v>136</v>
      </c>
      <c r="I415" t="s">
        <v>35</v>
      </c>
      <c r="J415" s="12">
        <v>2</v>
      </c>
      <c r="K415" s="3">
        <v>20</v>
      </c>
      <c r="L415" s="14">
        <f t="shared" si="26"/>
        <v>20</v>
      </c>
      <c r="M415" s="12">
        <v>1.3</v>
      </c>
      <c r="N415">
        <v>1</v>
      </c>
      <c r="O415" s="1">
        <v>0.83</v>
      </c>
      <c r="P415" s="1">
        <f t="shared" si="27"/>
        <v>0.83</v>
      </c>
    </row>
    <row r="416" spans="1:16" x14ac:dyDescent="0.35">
      <c r="A416" t="s">
        <v>906</v>
      </c>
      <c r="B416" t="s">
        <v>907</v>
      </c>
      <c r="C416" t="str">
        <f t="shared" si="24"/>
        <v>Susan Dixon</v>
      </c>
      <c r="D416" t="s">
        <v>20</v>
      </c>
      <c r="E416" t="str">
        <f t="shared" si="25"/>
        <v>Female</v>
      </c>
      <c r="F416" s="12">
        <v>44</v>
      </c>
      <c r="G416" t="s">
        <v>109</v>
      </c>
      <c r="H416" s="12" t="s">
        <v>110</v>
      </c>
      <c r="I416" t="s">
        <v>75</v>
      </c>
      <c r="J416" s="12">
        <v>22</v>
      </c>
      <c r="K416" s="3">
        <v>30</v>
      </c>
      <c r="L416" s="14">
        <f t="shared" si="26"/>
        <v>30</v>
      </c>
      <c r="M416" s="12">
        <v>4.0999999999999996</v>
      </c>
      <c r="N416">
        <v>1</v>
      </c>
      <c r="O416">
        <v>16</v>
      </c>
      <c r="P416" s="1">
        <f t="shared" si="27"/>
        <v>0.16</v>
      </c>
    </row>
    <row r="417" spans="1:16" x14ac:dyDescent="0.35">
      <c r="A417" t="s">
        <v>908</v>
      </c>
      <c r="B417" t="s">
        <v>909</v>
      </c>
      <c r="C417" t="str">
        <f t="shared" si="24"/>
        <v>David Morrison</v>
      </c>
      <c r="D417" t="s">
        <v>27</v>
      </c>
      <c r="E417" t="str">
        <f t="shared" si="25"/>
        <v>Male</v>
      </c>
      <c r="F417" s="12">
        <v>42</v>
      </c>
      <c r="G417" t="s">
        <v>174</v>
      </c>
      <c r="H417" s="12" t="s">
        <v>69</v>
      </c>
      <c r="I417" t="s">
        <v>111</v>
      </c>
      <c r="J417" s="12">
        <v>8</v>
      </c>
      <c r="K417" s="3">
        <v>50</v>
      </c>
      <c r="L417" s="14">
        <f t="shared" si="26"/>
        <v>50</v>
      </c>
      <c r="M417" s="12">
        <v>2.4</v>
      </c>
      <c r="N417">
        <v>1</v>
      </c>
      <c r="O417" s="1">
        <v>0.68</v>
      </c>
      <c r="P417" s="1">
        <f t="shared" si="27"/>
        <v>0.68</v>
      </c>
    </row>
    <row r="418" spans="1:16" x14ac:dyDescent="0.35">
      <c r="A418" t="s">
        <v>910</v>
      </c>
      <c r="B418" t="s">
        <v>330</v>
      </c>
      <c r="C418" t="str">
        <f t="shared" si="24"/>
        <v>Jason Carter</v>
      </c>
      <c r="D418" t="s">
        <v>27</v>
      </c>
      <c r="E418" t="str">
        <f t="shared" si="25"/>
        <v>Male</v>
      </c>
      <c r="F418" s="12">
        <v>38</v>
      </c>
      <c r="G418" t="s">
        <v>174</v>
      </c>
      <c r="H418" s="12" t="s">
        <v>69</v>
      </c>
      <c r="I418" t="s">
        <v>49</v>
      </c>
      <c r="J418" s="12">
        <v>9</v>
      </c>
      <c r="K418" s="3">
        <v>50</v>
      </c>
      <c r="L418" s="14">
        <f t="shared" si="26"/>
        <v>50</v>
      </c>
      <c r="M418" s="12">
        <v>0</v>
      </c>
      <c r="N418">
        <v>0</v>
      </c>
      <c r="O418" s="1">
        <v>0.74</v>
      </c>
      <c r="P418" s="1">
        <f t="shared" si="27"/>
        <v>0.74</v>
      </c>
    </row>
    <row r="419" spans="1:16" x14ac:dyDescent="0.35">
      <c r="A419" t="s">
        <v>911</v>
      </c>
      <c r="B419" t="s">
        <v>912</v>
      </c>
      <c r="C419" t="str">
        <f t="shared" si="24"/>
        <v>James Jacobs</v>
      </c>
      <c r="D419" t="s">
        <v>27</v>
      </c>
      <c r="E419" t="str">
        <f t="shared" si="25"/>
        <v>Male</v>
      </c>
      <c r="F419" s="12">
        <v>51</v>
      </c>
      <c r="G419" t="s">
        <v>135</v>
      </c>
      <c r="H419" s="12" t="s">
        <v>136</v>
      </c>
      <c r="I419" t="s">
        <v>35</v>
      </c>
      <c r="J419" s="12">
        <v>32</v>
      </c>
      <c r="K419" s="3">
        <v>100</v>
      </c>
      <c r="L419" s="14">
        <f t="shared" si="26"/>
        <v>100</v>
      </c>
      <c r="M419" s="12">
        <v>4.4000000000000004</v>
      </c>
      <c r="N419">
        <v>0</v>
      </c>
      <c r="O419">
        <v>91</v>
      </c>
      <c r="P419" s="1">
        <f t="shared" si="27"/>
        <v>0.91</v>
      </c>
    </row>
    <row r="420" spans="1:16" x14ac:dyDescent="0.35">
      <c r="A420" t="s">
        <v>913</v>
      </c>
      <c r="B420" t="s">
        <v>914</v>
      </c>
      <c r="C420" t="str">
        <f t="shared" si="24"/>
        <v>Kathleen Quinn</v>
      </c>
      <c r="D420" t="s">
        <v>38</v>
      </c>
      <c r="E420" t="str">
        <f t="shared" si="25"/>
        <v>Female</v>
      </c>
      <c r="F420" s="12">
        <v>36</v>
      </c>
      <c r="G420" t="s">
        <v>131</v>
      </c>
      <c r="H420" s="12" t="s">
        <v>132</v>
      </c>
      <c r="I420" t="s">
        <v>43</v>
      </c>
      <c r="J420" s="12">
        <v>8</v>
      </c>
      <c r="K420" s="3" t="s">
        <v>24</v>
      </c>
      <c r="L420" s="14" t="str">
        <f t="shared" si="26"/>
        <v>$ 100</v>
      </c>
      <c r="M420" s="12">
        <v>2.2000000000000002</v>
      </c>
      <c r="N420">
        <v>1</v>
      </c>
      <c r="O420" s="1">
        <v>0.97</v>
      </c>
      <c r="P420" s="1">
        <f t="shared" si="27"/>
        <v>0.97</v>
      </c>
    </row>
    <row r="421" spans="1:16" x14ac:dyDescent="0.35">
      <c r="A421" t="s">
        <v>915</v>
      </c>
      <c r="B421" t="s">
        <v>916</v>
      </c>
      <c r="C421" t="str">
        <f t="shared" si="24"/>
        <v>Natalie Frank Md</v>
      </c>
      <c r="D421" t="s">
        <v>20</v>
      </c>
      <c r="E421" t="str">
        <f t="shared" si="25"/>
        <v>Female</v>
      </c>
      <c r="F421" s="12">
        <v>37</v>
      </c>
      <c r="G421" t="s">
        <v>21</v>
      </c>
      <c r="H421" s="12" t="s">
        <v>22</v>
      </c>
      <c r="I421" t="s">
        <v>23</v>
      </c>
      <c r="J421" s="12">
        <v>10</v>
      </c>
      <c r="K421" s="3">
        <v>30</v>
      </c>
      <c r="L421" s="14">
        <f t="shared" si="26"/>
        <v>30</v>
      </c>
      <c r="M421" s="12">
        <v>0</v>
      </c>
      <c r="N421">
        <v>0</v>
      </c>
      <c r="O421" s="1">
        <v>0.96</v>
      </c>
      <c r="P421" s="1">
        <f t="shared" si="27"/>
        <v>0.96</v>
      </c>
    </row>
    <row r="422" spans="1:16" x14ac:dyDescent="0.35">
      <c r="A422" t="s">
        <v>917</v>
      </c>
      <c r="B422" t="s">
        <v>918</v>
      </c>
      <c r="C422" t="str">
        <f t="shared" si="24"/>
        <v>Michael Reed</v>
      </c>
      <c r="D422" t="s">
        <v>27</v>
      </c>
      <c r="E422" t="str">
        <f t="shared" si="25"/>
        <v>Male</v>
      </c>
      <c r="F422" s="12">
        <v>31</v>
      </c>
      <c r="G422" t="s">
        <v>149</v>
      </c>
      <c r="H422" s="12" t="s">
        <v>150</v>
      </c>
      <c r="I422" t="s">
        <v>86</v>
      </c>
      <c r="J422" s="12">
        <v>11</v>
      </c>
      <c r="K422" s="3">
        <v>50</v>
      </c>
      <c r="L422" s="14">
        <f t="shared" si="26"/>
        <v>50</v>
      </c>
      <c r="M422" s="12">
        <v>1.1000000000000001</v>
      </c>
      <c r="N422">
        <v>1</v>
      </c>
      <c r="O422" s="1">
        <v>0.73</v>
      </c>
      <c r="P422" s="1">
        <f t="shared" si="27"/>
        <v>0.73</v>
      </c>
    </row>
    <row r="423" spans="1:16" x14ac:dyDescent="0.35">
      <c r="A423" t="s">
        <v>919</v>
      </c>
      <c r="B423" t="s">
        <v>920</v>
      </c>
      <c r="C423" t="str">
        <f t="shared" si="24"/>
        <v>Sheila Smith</v>
      </c>
      <c r="D423" t="s">
        <v>38</v>
      </c>
      <c r="E423" t="str">
        <f t="shared" si="25"/>
        <v>Female</v>
      </c>
      <c r="F423" s="12">
        <v>47</v>
      </c>
      <c r="G423" t="s">
        <v>90</v>
      </c>
      <c r="H423" s="12" t="s">
        <v>91</v>
      </c>
      <c r="I423" t="s">
        <v>75</v>
      </c>
      <c r="J423" s="12">
        <v>22</v>
      </c>
      <c r="K423" s="3">
        <v>40</v>
      </c>
      <c r="L423" s="14">
        <f t="shared" si="26"/>
        <v>40</v>
      </c>
      <c r="M423" s="12">
        <v>1.4</v>
      </c>
      <c r="N423">
        <v>1</v>
      </c>
      <c r="O423" s="1">
        <v>0.72</v>
      </c>
      <c r="P423" s="1">
        <f t="shared" si="27"/>
        <v>0.72</v>
      </c>
    </row>
    <row r="424" spans="1:16" x14ac:dyDescent="0.35">
      <c r="A424" t="s">
        <v>921</v>
      </c>
      <c r="B424" t="s">
        <v>922</v>
      </c>
      <c r="C424" t="str">
        <f t="shared" si="24"/>
        <v>Morgan Ford</v>
      </c>
      <c r="D424" t="s">
        <v>38</v>
      </c>
      <c r="E424" t="str">
        <f t="shared" si="25"/>
        <v>Female</v>
      </c>
      <c r="F424" s="12">
        <v>60</v>
      </c>
      <c r="G424" t="s">
        <v>174</v>
      </c>
      <c r="H424" s="12" t="s">
        <v>69</v>
      </c>
      <c r="I424" t="s">
        <v>70</v>
      </c>
      <c r="J424" s="12">
        <v>34</v>
      </c>
      <c r="K424" s="3">
        <v>100</v>
      </c>
      <c r="L424" s="14">
        <f t="shared" si="26"/>
        <v>100</v>
      </c>
      <c r="M424" s="12">
        <v>0</v>
      </c>
      <c r="N424">
        <v>1</v>
      </c>
      <c r="O424" s="1">
        <v>0.74</v>
      </c>
      <c r="P424" s="1">
        <f t="shared" si="27"/>
        <v>0.74</v>
      </c>
    </row>
    <row r="425" spans="1:16" x14ac:dyDescent="0.35">
      <c r="A425" t="s">
        <v>923</v>
      </c>
      <c r="B425" t="s">
        <v>924</v>
      </c>
      <c r="C425" t="str">
        <f t="shared" si="24"/>
        <v>Linda Schultz</v>
      </c>
      <c r="D425" t="s">
        <v>20</v>
      </c>
      <c r="E425" t="str">
        <f t="shared" si="25"/>
        <v>Female</v>
      </c>
      <c r="F425" s="12">
        <v>48</v>
      </c>
      <c r="G425" t="s">
        <v>68</v>
      </c>
      <c r="H425" s="12" t="s">
        <v>69</v>
      </c>
      <c r="I425" t="s">
        <v>23</v>
      </c>
      <c r="J425" s="12">
        <v>5</v>
      </c>
      <c r="K425" s="3">
        <v>30</v>
      </c>
      <c r="L425" s="14">
        <f t="shared" si="26"/>
        <v>30</v>
      </c>
      <c r="M425" s="12">
        <v>1.5</v>
      </c>
      <c r="N425">
        <v>0</v>
      </c>
      <c r="O425">
        <v>16</v>
      </c>
      <c r="P425" s="1">
        <f t="shared" si="27"/>
        <v>0.16</v>
      </c>
    </row>
    <row r="426" spans="1:16" x14ac:dyDescent="0.35">
      <c r="A426" t="s">
        <v>925</v>
      </c>
      <c r="B426" t="s">
        <v>926</v>
      </c>
      <c r="C426" t="str">
        <f t="shared" si="24"/>
        <v>Regina Daniel</v>
      </c>
      <c r="D426" t="s">
        <v>38</v>
      </c>
      <c r="E426" t="str">
        <f t="shared" si="25"/>
        <v>Female</v>
      </c>
      <c r="F426" s="12">
        <v>24</v>
      </c>
      <c r="G426" t="s">
        <v>90</v>
      </c>
      <c r="H426" s="12" t="s">
        <v>91</v>
      </c>
      <c r="I426" t="s">
        <v>43</v>
      </c>
      <c r="J426" s="12">
        <v>3</v>
      </c>
      <c r="K426" s="3">
        <v>20</v>
      </c>
      <c r="L426" s="14">
        <f t="shared" si="26"/>
        <v>20</v>
      </c>
      <c r="M426" s="12">
        <v>0</v>
      </c>
      <c r="N426">
        <v>1</v>
      </c>
      <c r="O426">
        <v>16</v>
      </c>
      <c r="P426" s="1">
        <f t="shared" si="27"/>
        <v>0.16</v>
      </c>
    </row>
    <row r="427" spans="1:16" x14ac:dyDescent="0.35">
      <c r="A427" t="s">
        <v>927</v>
      </c>
      <c r="B427" t="s">
        <v>928</v>
      </c>
      <c r="C427" t="str">
        <f t="shared" si="24"/>
        <v>Allison Perkins</v>
      </c>
      <c r="D427" t="s">
        <v>20</v>
      </c>
      <c r="E427" t="str">
        <f t="shared" si="25"/>
        <v>Female</v>
      </c>
      <c r="F427" s="12">
        <v>35</v>
      </c>
      <c r="G427" t="s">
        <v>41</v>
      </c>
      <c r="H427" s="12" t="s">
        <v>42</v>
      </c>
      <c r="I427" t="s">
        <v>111</v>
      </c>
      <c r="J427" s="12">
        <v>10</v>
      </c>
      <c r="K427" s="3">
        <v>75</v>
      </c>
      <c r="L427" s="14">
        <f t="shared" si="26"/>
        <v>75</v>
      </c>
      <c r="M427" s="12">
        <v>0</v>
      </c>
      <c r="N427">
        <v>1</v>
      </c>
      <c r="O427" s="1">
        <v>0.74</v>
      </c>
      <c r="P427" s="1">
        <f t="shared" si="27"/>
        <v>0.74</v>
      </c>
    </row>
    <row r="428" spans="1:16" x14ac:dyDescent="0.35">
      <c r="A428" t="s">
        <v>929</v>
      </c>
      <c r="B428" t="s">
        <v>930</v>
      </c>
      <c r="C428" t="str">
        <f t="shared" si="24"/>
        <v>Bradley Weaver</v>
      </c>
      <c r="D428" t="s">
        <v>59</v>
      </c>
      <c r="E428" t="str">
        <f t="shared" si="25"/>
        <v>Male</v>
      </c>
      <c r="F428" s="12">
        <v>35</v>
      </c>
      <c r="G428" t="s">
        <v>56</v>
      </c>
      <c r="H428" s="12" t="s">
        <v>22</v>
      </c>
      <c r="I428" t="s">
        <v>86</v>
      </c>
      <c r="J428" s="12">
        <v>11</v>
      </c>
      <c r="K428" s="3">
        <v>100</v>
      </c>
      <c r="L428" s="14">
        <f t="shared" si="26"/>
        <v>100</v>
      </c>
      <c r="M428" s="12">
        <v>3.5</v>
      </c>
      <c r="N428">
        <v>1</v>
      </c>
      <c r="O428" s="1">
        <v>0.71</v>
      </c>
      <c r="P428" s="1">
        <f t="shared" si="27"/>
        <v>0.71</v>
      </c>
    </row>
    <row r="429" spans="1:16" x14ac:dyDescent="0.35">
      <c r="A429" t="s">
        <v>931</v>
      </c>
      <c r="B429" t="s">
        <v>932</v>
      </c>
      <c r="C429" t="str">
        <f t="shared" si="24"/>
        <v>Sarah Hall</v>
      </c>
      <c r="D429" t="s">
        <v>74</v>
      </c>
      <c r="E429" t="str">
        <f t="shared" si="25"/>
        <v>Female</v>
      </c>
      <c r="F429" s="12">
        <v>29</v>
      </c>
      <c r="G429" t="s">
        <v>41</v>
      </c>
      <c r="H429" s="12" t="s">
        <v>42</v>
      </c>
      <c r="I429" t="s">
        <v>70</v>
      </c>
      <c r="J429" s="12">
        <v>6</v>
      </c>
      <c r="K429" s="3">
        <v>40</v>
      </c>
      <c r="L429" s="14">
        <f t="shared" si="26"/>
        <v>40</v>
      </c>
      <c r="M429" s="12">
        <v>4.8</v>
      </c>
      <c r="N429">
        <v>0</v>
      </c>
      <c r="O429" s="1">
        <v>0.83</v>
      </c>
      <c r="P429" s="1">
        <f t="shared" si="27"/>
        <v>0.83</v>
      </c>
    </row>
    <row r="430" spans="1:16" x14ac:dyDescent="0.35">
      <c r="A430" t="s">
        <v>933</v>
      </c>
      <c r="B430" t="s">
        <v>934</v>
      </c>
      <c r="C430" t="str">
        <f t="shared" si="24"/>
        <v>Diana Walton</v>
      </c>
      <c r="D430" t="s">
        <v>74</v>
      </c>
      <c r="E430" t="str">
        <f t="shared" si="25"/>
        <v>Female</v>
      </c>
      <c r="F430" s="12">
        <v>36</v>
      </c>
      <c r="G430" t="s">
        <v>15</v>
      </c>
      <c r="H430" s="12" t="s">
        <v>16</v>
      </c>
      <c r="I430" t="s">
        <v>111</v>
      </c>
      <c r="J430" s="12">
        <v>1</v>
      </c>
      <c r="K430" s="3">
        <v>75</v>
      </c>
      <c r="L430" s="14">
        <f t="shared" si="26"/>
        <v>75</v>
      </c>
      <c r="M430" s="12">
        <v>3</v>
      </c>
      <c r="N430">
        <v>1</v>
      </c>
      <c r="O430" s="1">
        <v>0.63</v>
      </c>
      <c r="P430" s="1">
        <f t="shared" si="27"/>
        <v>0.63</v>
      </c>
    </row>
    <row r="431" spans="1:16" x14ac:dyDescent="0.35">
      <c r="A431" t="s">
        <v>935</v>
      </c>
      <c r="B431" t="s">
        <v>936</v>
      </c>
      <c r="C431" t="str">
        <f t="shared" si="24"/>
        <v>Donna Davis</v>
      </c>
      <c r="D431" t="s">
        <v>20</v>
      </c>
      <c r="E431" t="str">
        <f t="shared" si="25"/>
        <v>Female</v>
      </c>
      <c r="F431" s="12">
        <v>44</v>
      </c>
      <c r="G431" t="s">
        <v>124</v>
      </c>
      <c r="H431" s="12" t="s">
        <v>22</v>
      </c>
      <c r="I431" t="s">
        <v>43</v>
      </c>
      <c r="J431" s="12">
        <v>11</v>
      </c>
      <c r="K431" s="3">
        <v>40</v>
      </c>
      <c r="L431" s="14">
        <f t="shared" si="26"/>
        <v>40</v>
      </c>
      <c r="M431" s="12">
        <v>4.8</v>
      </c>
      <c r="N431">
        <v>1</v>
      </c>
      <c r="O431" s="1">
        <v>0.84</v>
      </c>
      <c r="P431" s="1">
        <f t="shared" si="27"/>
        <v>0.84</v>
      </c>
    </row>
    <row r="432" spans="1:16" x14ac:dyDescent="0.35">
      <c r="A432" t="s">
        <v>937</v>
      </c>
      <c r="B432" t="s">
        <v>938</v>
      </c>
      <c r="C432" t="str">
        <f t="shared" si="24"/>
        <v>Christopher Mcclain</v>
      </c>
      <c r="D432" t="s">
        <v>59</v>
      </c>
      <c r="E432" t="str">
        <f t="shared" si="25"/>
        <v>Male</v>
      </c>
      <c r="F432" s="12">
        <v>44</v>
      </c>
      <c r="G432" t="s">
        <v>149</v>
      </c>
      <c r="H432" s="12" t="s">
        <v>150</v>
      </c>
      <c r="I432" t="s">
        <v>35</v>
      </c>
      <c r="J432" s="12">
        <v>11</v>
      </c>
      <c r="K432" s="3">
        <v>40</v>
      </c>
      <c r="L432" s="14">
        <f t="shared" si="26"/>
        <v>40</v>
      </c>
      <c r="M432" s="12">
        <v>1.4</v>
      </c>
      <c r="N432">
        <v>0</v>
      </c>
      <c r="O432" s="1">
        <v>0.93</v>
      </c>
      <c r="P432" s="1">
        <f t="shared" si="27"/>
        <v>0.93</v>
      </c>
    </row>
    <row r="433" spans="1:16" x14ac:dyDescent="0.35">
      <c r="A433" t="s">
        <v>939</v>
      </c>
      <c r="B433" t="s">
        <v>940</v>
      </c>
      <c r="C433" t="str">
        <f t="shared" si="24"/>
        <v>Dr. Paul Williamson</v>
      </c>
      <c r="D433" t="s">
        <v>27</v>
      </c>
      <c r="E433" t="str">
        <f t="shared" si="25"/>
        <v>Male</v>
      </c>
      <c r="F433" s="12">
        <v>40</v>
      </c>
      <c r="G433" t="s">
        <v>90</v>
      </c>
      <c r="H433" s="12" t="s">
        <v>91</v>
      </c>
      <c r="I433" t="s">
        <v>43</v>
      </c>
      <c r="J433" s="12">
        <v>13</v>
      </c>
      <c r="K433" s="3" t="s">
        <v>24</v>
      </c>
      <c r="L433" s="14" t="str">
        <f t="shared" si="26"/>
        <v>$ 100</v>
      </c>
      <c r="M433" s="12">
        <v>1.1000000000000001</v>
      </c>
      <c r="N433">
        <v>1</v>
      </c>
      <c r="O433">
        <v>16</v>
      </c>
      <c r="P433" s="1">
        <f t="shared" si="27"/>
        <v>0.16</v>
      </c>
    </row>
    <row r="434" spans="1:16" x14ac:dyDescent="0.35">
      <c r="A434" t="s">
        <v>941</v>
      </c>
      <c r="B434" t="s">
        <v>942</v>
      </c>
      <c r="C434" t="str">
        <f t="shared" si="24"/>
        <v>Barbara Brown</v>
      </c>
      <c r="D434" t="s">
        <v>38</v>
      </c>
      <c r="E434" t="str">
        <f t="shared" si="25"/>
        <v>Female</v>
      </c>
      <c r="F434" s="12">
        <v>53</v>
      </c>
      <c r="G434" t="s">
        <v>41</v>
      </c>
      <c r="H434" s="12" t="s">
        <v>42</v>
      </c>
      <c r="I434" t="s">
        <v>111</v>
      </c>
      <c r="J434" s="12">
        <v>13</v>
      </c>
      <c r="K434" s="3">
        <v>50</v>
      </c>
      <c r="L434" s="14">
        <f t="shared" si="26"/>
        <v>50</v>
      </c>
      <c r="M434" s="12">
        <v>3.3</v>
      </c>
      <c r="N434">
        <v>1</v>
      </c>
      <c r="O434" s="1">
        <v>0.93</v>
      </c>
      <c r="P434" s="1">
        <f t="shared" si="27"/>
        <v>0.93</v>
      </c>
    </row>
    <row r="435" spans="1:16" x14ac:dyDescent="0.35">
      <c r="A435" t="s">
        <v>943</v>
      </c>
      <c r="B435" t="s">
        <v>944</v>
      </c>
      <c r="C435" t="str">
        <f t="shared" si="24"/>
        <v>Kimberly Allen</v>
      </c>
      <c r="D435" t="s">
        <v>38</v>
      </c>
      <c r="E435" t="str">
        <f t="shared" si="25"/>
        <v>Female</v>
      </c>
      <c r="F435" s="12">
        <v>35</v>
      </c>
      <c r="G435" t="s">
        <v>28</v>
      </c>
      <c r="H435" s="12" t="s">
        <v>29</v>
      </c>
      <c r="I435" t="s">
        <v>17</v>
      </c>
      <c r="J435" s="12">
        <v>11</v>
      </c>
      <c r="K435" s="3" t="s">
        <v>106</v>
      </c>
      <c r="L435" s="14" t="str">
        <f t="shared" si="26"/>
        <v>$ 30</v>
      </c>
      <c r="M435" s="12">
        <v>4.5999999999999996</v>
      </c>
      <c r="N435">
        <v>1</v>
      </c>
      <c r="O435" s="1">
        <v>0.97</v>
      </c>
      <c r="P435" s="1">
        <f t="shared" si="27"/>
        <v>0.97</v>
      </c>
    </row>
    <row r="436" spans="1:16" x14ac:dyDescent="0.35">
      <c r="A436" t="s">
        <v>945</v>
      </c>
      <c r="B436" t="s">
        <v>946</v>
      </c>
      <c r="C436" t="str">
        <f t="shared" si="24"/>
        <v>Elizabeth Edwards</v>
      </c>
      <c r="D436" t="s">
        <v>20</v>
      </c>
      <c r="E436" t="str">
        <f t="shared" si="25"/>
        <v>Female</v>
      </c>
      <c r="F436" s="12">
        <v>27</v>
      </c>
      <c r="G436" t="s">
        <v>68</v>
      </c>
      <c r="H436" s="12" t="s">
        <v>69</v>
      </c>
      <c r="I436" t="s">
        <v>111</v>
      </c>
      <c r="J436" s="12">
        <v>7</v>
      </c>
      <c r="K436" s="3" t="s">
        <v>50</v>
      </c>
      <c r="L436" s="14" t="str">
        <f t="shared" si="26"/>
        <v>$ 75</v>
      </c>
      <c r="M436" s="12">
        <v>2.8</v>
      </c>
      <c r="N436">
        <v>1</v>
      </c>
      <c r="O436" s="1">
        <v>0.92</v>
      </c>
      <c r="P436" s="1">
        <f t="shared" si="27"/>
        <v>0.92</v>
      </c>
    </row>
    <row r="437" spans="1:16" x14ac:dyDescent="0.35">
      <c r="A437" t="s">
        <v>947</v>
      </c>
      <c r="B437" t="s">
        <v>948</v>
      </c>
      <c r="C437" t="str">
        <f t="shared" si="24"/>
        <v>Anthony Downs</v>
      </c>
      <c r="D437" t="s">
        <v>59</v>
      </c>
      <c r="E437" t="str">
        <f t="shared" si="25"/>
        <v>Male</v>
      </c>
      <c r="F437" s="12">
        <v>34</v>
      </c>
      <c r="G437" t="s">
        <v>21</v>
      </c>
      <c r="H437" s="12" t="s">
        <v>22</v>
      </c>
      <c r="I437" t="s">
        <v>86</v>
      </c>
      <c r="J437" s="12">
        <v>6</v>
      </c>
      <c r="K437" s="3">
        <v>50</v>
      </c>
      <c r="L437" s="14">
        <f t="shared" si="26"/>
        <v>50</v>
      </c>
      <c r="M437" s="12">
        <v>5</v>
      </c>
      <c r="N437">
        <v>1</v>
      </c>
      <c r="O437" s="1">
        <v>0.92</v>
      </c>
      <c r="P437" s="1">
        <f t="shared" si="27"/>
        <v>0.92</v>
      </c>
    </row>
    <row r="438" spans="1:16" x14ac:dyDescent="0.35">
      <c r="A438" t="s">
        <v>949</v>
      </c>
      <c r="B438" t="s">
        <v>950</v>
      </c>
      <c r="C438" t="str">
        <f t="shared" si="24"/>
        <v>Jack Ortega</v>
      </c>
      <c r="D438" t="s">
        <v>27</v>
      </c>
      <c r="E438" t="str">
        <f t="shared" si="25"/>
        <v>Male</v>
      </c>
      <c r="F438" s="12">
        <v>24</v>
      </c>
      <c r="G438" t="s">
        <v>90</v>
      </c>
      <c r="H438" s="12" t="s">
        <v>91</v>
      </c>
      <c r="I438" t="s">
        <v>75</v>
      </c>
      <c r="J438" s="12">
        <v>2</v>
      </c>
      <c r="K438" s="3">
        <v>75</v>
      </c>
      <c r="L438" s="14">
        <f t="shared" si="26"/>
        <v>75</v>
      </c>
      <c r="M438" s="12">
        <v>4.7</v>
      </c>
      <c r="N438">
        <v>1</v>
      </c>
      <c r="O438" s="1">
        <v>0.68</v>
      </c>
      <c r="P438" s="1">
        <f t="shared" si="27"/>
        <v>0.68</v>
      </c>
    </row>
    <row r="439" spans="1:16" x14ac:dyDescent="0.35">
      <c r="A439" t="s">
        <v>951</v>
      </c>
      <c r="B439" t="s">
        <v>952</v>
      </c>
      <c r="C439" t="str">
        <f t="shared" si="24"/>
        <v>Marvin Moore</v>
      </c>
      <c r="D439" t="s">
        <v>27</v>
      </c>
      <c r="E439" t="str">
        <f t="shared" si="25"/>
        <v>Male</v>
      </c>
      <c r="F439" s="12">
        <v>57</v>
      </c>
      <c r="G439" t="s">
        <v>56</v>
      </c>
      <c r="H439" s="12" t="s">
        <v>22</v>
      </c>
      <c r="I439" t="s">
        <v>70</v>
      </c>
      <c r="J439" s="12">
        <v>13</v>
      </c>
      <c r="K439" s="3">
        <v>100</v>
      </c>
      <c r="L439" s="14">
        <f t="shared" si="26"/>
        <v>100</v>
      </c>
      <c r="M439" s="12">
        <v>3.5</v>
      </c>
      <c r="N439">
        <v>1</v>
      </c>
      <c r="O439" s="1">
        <v>0.95</v>
      </c>
      <c r="P439" s="1">
        <f t="shared" si="27"/>
        <v>0.95</v>
      </c>
    </row>
    <row r="440" spans="1:16" x14ac:dyDescent="0.35">
      <c r="A440" t="s">
        <v>953</v>
      </c>
      <c r="B440" t="s">
        <v>954</v>
      </c>
      <c r="C440" t="str">
        <f t="shared" si="24"/>
        <v>Tony French</v>
      </c>
      <c r="D440" t="s">
        <v>27</v>
      </c>
      <c r="E440" t="str">
        <f t="shared" si="25"/>
        <v>Male</v>
      </c>
      <c r="F440" s="12">
        <v>28</v>
      </c>
      <c r="G440" t="s">
        <v>109</v>
      </c>
      <c r="H440" s="12" t="s">
        <v>110</v>
      </c>
      <c r="I440" t="s">
        <v>70</v>
      </c>
      <c r="J440" s="12">
        <v>7</v>
      </c>
      <c r="K440" s="3">
        <v>100</v>
      </c>
      <c r="L440" s="14">
        <f t="shared" si="26"/>
        <v>100</v>
      </c>
      <c r="M440" s="12">
        <v>4.3</v>
      </c>
      <c r="N440">
        <v>0</v>
      </c>
      <c r="O440" s="1">
        <v>0.76</v>
      </c>
      <c r="P440" s="1">
        <f t="shared" si="27"/>
        <v>0.76</v>
      </c>
    </row>
    <row r="441" spans="1:16" x14ac:dyDescent="0.35">
      <c r="A441" t="s">
        <v>955</v>
      </c>
      <c r="B441" t="s">
        <v>956</v>
      </c>
      <c r="C441" t="str">
        <f t="shared" si="24"/>
        <v>Stacy Hudson</v>
      </c>
      <c r="D441" t="s">
        <v>38</v>
      </c>
      <c r="E441" t="str">
        <f t="shared" si="25"/>
        <v>Female</v>
      </c>
      <c r="F441" s="12">
        <v>26</v>
      </c>
      <c r="G441" t="s">
        <v>15</v>
      </c>
      <c r="H441" s="12" t="s">
        <v>16</v>
      </c>
      <c r="I441" t="s">
        <v>86</v>
      </c>
      <c r="J441" s="12">
        <v>7</v>
      </c>
      <c r="K441" s="3" t="s">
        <v>24</v>
      </c>
      <c r="L441" s="14" t="str">
        <f t="shared" si="26"/>
        <v>$ 100</v>
      </c>
      <c r="M441" s="12">
        <v>3.3</v>
      </c>
      <c r="N441">
        <v>1</v>
      </c>
      <c r="O441" s="1">
        <v>0.66</v>
      </c>
      <c r="P441" s="1">
        <f t="shared" si="27"/>
        <v>0.66</v>
      </c>
    </row>
    <row r="442" spans="1:16" x14ac:dyDescent="0.35">
      <c r="A442" t="s">
        <v>957</v>
      </c>
      <c r="B442" t="s">
        <v>958</v>
      </c>
      <c r="C442" t="str">
        <f t="shared" si="24"/>
        <v>Scott Washington</v>
      </c>
      <c r="D442" t="s">
        <v>94</v>
      </c>
      <c r="E442" t="str">
        <f t="shared" si="25"/>
        <v>Male</v>
      </c>
      <c r="F442" s="12">
        <v>34</v>
      </c>
      <c r="G442" t="s">
        <v>68</v>
      </c>
      <c r="H442" s="12" t="s">
        <v>69</v>
      </c>
      <c r="I442" t="s">
        <v>23</v>
      </c>
      <c r="J442" s="12">
        <v>15</v>
      </c>
      <c r="K442" s="3">
        <v>75</v>
      </c>
      <c r="L442" s="14">
        <f t="shared" si="26"/>
        <v>75</v>
      </c>
      <c r="M442" s="12">
        <v>3</v>
      </c>
      <c r="N442">
        <v>0</v>
      </c>
      <c r="O442" s="1">
        <v>0.73</v>
      </c>
      <c r="P442" s="1">
        <f t="shared" si="27"/>
        <v>0.73</v>
      </c>
    </row>
    <row r="443" spans="1:16" x14ac:dyDescent="0.35">
      <c r="A443" t="s">
        <v>959</v>
      </c>
      <c r="B443" t="s">
        <v>960</v>
      </c>
      <c r="C443" t="str">
        <f t="shared" si="24"/>
        <v>Timothy Wright</v>
      </c>
      <c r="D443" t="s">
        <v>94</v>
      </c>
      <c r="E443" t="str">
        <f t="shared" si="25"/>
        <v>Male</v>
      </c>
      <c r="F443" s="12">
        <v>43</v>
      </c>
      <c r="G443" t="s">
        <v>82</v>
      </c>
      <c r="H443" s="12" t="s">
        <v>83</v>
      </c>
      <c r="I443" t="s">
        <v>43</v>
      </c>
      <c r="J443" s="12">
        <v>11</v>
      </c>
      <c r="K443" s="3" t="s">
        <v>308</v>
      </c>
      <c r="L443" s="14" t="str">
        <f t="shared" si="26"/>
        <v>$ 20</v>
      </c>
      <c r="M443" s="12">
        <v>2.8</v>
      </c>
      <c r="N443">
        <v>1</v>
      </c>
      <c r="O443" s="1">
        <v>0.99</v>
      </c>
      <c r="P443" s="1">
        <f t="shared" si="27"/>
        <v>0.99</v>
      </c>
    </row>
    <row r="444" spans="1:16" x14ac:dyDescent="0.35">
      <c r="A444" t="s">
        <v>961</v>
      </c>
      <c r="B444" t="s">
        <v>962</v>
      </c>
      <c r="C444" t="str">
        <f t="shared" si="24"/>
        <v>Joseph Gonzalez</v>
      </c>
      <c r="D444" t="s">
        <v>27</v>
      </c>
      <c r="E444" t="str">
        <f t="shared" si="25"/>
        <v>Male</v>
      </c>
      <c r="F444" s="12">
        <v>31</v>
      </c>
      <c r="G444" t="s">
        <v>170</v>
      </c>
      <c r="H444" s="12" t="s">
        <v>171</v>
      </c>
      <c r="I444" t="s">
        <v>30</v>
      </c>
      <c r="J444" s="12">
        <v>5</v>
      </c>
      <c r="K444" s="3">
        <v>40</v>
      </c>
      <c r="L444" s="14">
        <f t="shared" si="26"/>
        <v>40</v>
      </c>
      <c r="M444" s="12">
        <v>2.7</v>
      </c>
      <c r="N444">
        <v>1</v>
      </c>
      <c r="O444">
        <v>94</v>
      </c>
      <c r="P444" s="1">
        <f t="shared" si="27"/>
        <v>0.94</v>
      </c>
    </row>
    <row r="445" spans="1:16" x14ac:dyDescent="0.35">
      <c r="A445" t="s">
        <v>963</v>
      </c>
      <c r="B445" t="s">
        <v>964</v>
      </c>
      <c r="C445" t="str">
        <f t="shared" si="24"/>
        <v>Andrea Perez</v>
      </c>
      <c r="D445" t="s">
        <v>20</v>
      </c>
      <c r="E445" t="str">
        <f t="shared" si="25"/>
        <v>Female</v>
      </c>
      <c r="F445" s="12">
        <v>34</v>
      </c>
      <c r="G445" t="s">
        <v>170</v>
      </c>
      <c r="H445" s="12" t="s">
        <v>171</v>
      </c>
      <c r="I445" t="s">
        <v>17</v>
      </c>
      <c r="J445" s="12">
        <v>11</v>
      </c>
      <c r="K445" s="3">
        <v>50</v>
      </c>
      <c r="L445" s="14">
        <f t="shared" si="26"/>
        <v>50</v>
      </c>
      <c r="M445" s="12">
        <v>0</v>
      </c>
      <c r="N445">
        <v>0</v>
      </c>
      <c r="O445">
        <v>84</v>
      </c>
      <c r="P445" s="1">
        <f t="shared" si="27"/>
        <v>0.84</v>
      </c>
    </row>
    <row r="446" spans="1:16" x14ac:dyDescent="0.35">
      <c r="A446" t="s">
        <v>965</v>
      </c>
      <c r="B446" t="s">
        <v>966</v>
      </c>
      <c r="C446" t="str">
        <f t="shared" si="24"/>
        <v>Angel Collins</v>
      </c>
      <c r="D446" t="s">
        <v>38</v>
      </c>
      <c r="E446" t="str">
        <f t="shared" si="25"/>
        <v>Female</v>
      </c>
      <c r="F446" s="12">
        <v>32</v>
      </c>
      <c r="G446" t="s">
        <v>120</v>
      </c>
      <c r="H446" s="12" t="s">
        <v>121</v>
      </c>
      <c r="I446" t="s">
        <v>75</v>
      </c>
      <c r="J446" s="12">
        <v>10</v>
      </c>
      <c r="K446" s="3">
        <v>20</v>
      </c>
      <c r="L446" s="14">
        <f t="shared" si="26"/>
        <v>20</v>
      </c>
      <c r="M446" s="12">
        <v>3</v>
      </c>
      <c r="N446">
        <v>1</v>
      </c>
      <c r="O446" s="1">
        <v>0.92</v>
      </c>
      <c r="P446" s="1">
        <f t="shared" si="27"/>
        <v>0.92</v>
      </c>
    </row>
    <row r="447" spans="1:16" x14ac:dyDescent="0.35">
      <c r="A447" t="s">
        <v>967</v>
      </c>
      <c r="B447" t="s">
        <v>968</v>
      </c>
      <c r="C447" t="str">
        <f t="shared" si="24"/>
        <v>Daniel Terry</v>
      </c>
      <c r="D447" t="s">
        <v>27</v>
      </c>
      <c r="E447" t="str">
        <f t="shared" si="25"/>
        <v>Male</v>
      </c>
      <c r="F447" s="12">
        <v>24</v>
      </c>
      <c r="G447" t="s">
        <v>135</v>
      </c>
      <c r="H447" s="12" t="s">
        <v>136</v>
      </c>
      <c r="I447" t="s">
        <v>86</v>
      </c>
      <c r="J447" s="12">
        <v>6</v>
      </c>
      <c r="K447" s="3">
        <v>75</v>
      </c>
      <c r="L447" s="14">
        <f t="shared" si="26"/>
        <v>75</v>
      </c>
      <c r="M447" s="12">
        <v>4.3</v>
      </c>
      <c r="N447">
        <v>1</v>
      </c>
      <c r="O447">
        <v>16</v>
      </c>
      <c r="P447" s="1">
        <f t="shared" si="27"/>
        <v>0.16</v>
      </c>
    </row>
    <row r="448" spans="1:16" x14ac:dyDescent="0.35">
      <c r="A448" t="s">
        <v>969</v>
      </c>
      <c r="B448" t="s">
        <v>970</v>
      </c>
      <c r="C448" t="str">
        <f t="shared" si="24"/>
        <v>Steven Whitaker</v>
      </c>
      <c r="D448" t="s">
        <v>27</v>
      </c>
      <c r="E448" t="str">
        <f t="shared" si="25"/>
        <v>Male</v>
      </c>
      <c r="F448" s="12">
        <v>35</v>
      </c>
      <c r="G448" t="s">
        <v>64</v>
      </c>
      <c r="H448" s="12" t="s">
        <v>22</v>
      </c>
      <c r="I448" t="s">
        <v>43</v>
      </c>
      <c r="J448" s="12">
        <v>8</v>
      </c>
      <c r="K448" s="3" t="s">
        <v>95</v>
      </c>
      <c r="L448" s="14" t="str">
        <f t="shared" si="26"/>
        <v>$ 50</v>
      </c>
      <c r="M448" s="12">
        <v>3</v>
      </c>
      <c r="N448">
        <v>1</v>
      </c>
      <c r="O448">
        <v>90</v>
      </c>
      <c r="P448" s="1">
        <f t="shared" si="27"/>
        <v>0.9</v>
      </c>
    </row>
    <row r="449" spans="1:16" x14ac:dyDescent="0.35">
      <c r="A449" t="s">
        <v>971</v>
      </c>
      <c r="B449" t="s">
        <v>972</v>
      </c>
      <c r="C449" t="str">
        <f t="shared" si="24"/>
        <v>Denise Neal</v>
      </c>
      <c r="D449" t="s">
        <v>20</v>
      </c>
      <c r="E449" t="str">
        <f t="shared" si="25"/>
        <v>Female</v>
      </c>
      <c r="F449" s="12">
        <v>22</v>
      </c>
      <c r="G449" t="s">
        <v>21</v>
      </c>
      <c r="H449" s="12" t="s">
        <v>22</v>
      </c>
      <c r="I449" t="s">
        <v>23</v>
      </c>
      <c r="J449" s="12">
        <v>4</v>
      </c>
      <c r="K449" s="3">
        <v>20</v>
      </c>
      <c r="L449" s="14">
        <f t="shared" si="26"/>
        <v>20</v>
      </c>
      <c r="M449" s="12">
        <v>3</v>
      </c>
      <c r="N449">
        <v>0</v>
      </c>
      <c r="O449" s="1">
        <v>0.73</v>
      </c>
      <c r="P449" s="1">
        <f t="shared" si="27"/>
        <v>0.73</v>
      </c>
    </row>
    <row r="450" spans="1:16" x14ac:dyDescent="0.35">
      <c r="A450" t="s">
        <v>973</v>
      </c>
      <c r="B450" t="s">
        <v>974</v>
      </c>
      <c r="C450" t="str">
        <f t="shared" si="24"/>
        <v>Amanda Jacobs</v>
      </c>
      <c r="D450" t="s">
        <v>38</v>
      </c>
      <c r="E450" t="str">
        <f t="shared" si="25"/>
        <v>Female</v>
      </c>
      <c r="F450" s="12">
        <v>55</v>
      </c>
      <c r="G450" t="s">
        <v>135</v>
      </c>
      <c r="H450" s="12" t="s">
        <v>136</v>
      </c>
      <c r="I450" t="s">
        <v>43</v>
      </c>
      <c r="J450" s="12">
        <v>3</v>
      </c>
      <c r="K450" s="3">
        <v>100</v>
      </c>
      <c r="L450" s="14">
        <f t="shared" si="26"/>
        <v>100</v>
      </c>
      <c r="M450" s="12">
        <v>3</v>
      </c>
      <c r="N450">
        <v>1</v>
      </c>
      <c r="O450" s="1">
        <v>0.73</v>
      </c>
      <c r="P450" s="1">
        <f t="shared" si="27"/>
        <v>0.73</v>
      </c>
    </row>
    <row r="451" spans="1:16" x14ac:dyDescent="0.35">
      <c r="A451" t="s">
        <v>975</v>
      </c>
      <c r="B451" t="s">
        <v>976</v>
      </c>
      <c r="C451" t="str">
        <f t="shared" ref="C451:C514" si="28">PROPER(B451)</f>
        <v>Karen Mercer</v>
      </c>
      <c r="D451" t="s">
        <v>38</v>
      </c>
      <c r="E451" t="str">
        <f t="shared" ref="E451:E514" si="29">PROPER(D451)</f>
        <v>Female</v>
      </c>
      <c r="F451" s="12">
        <v>54</v>
      </c>
      <c r="G451" t="s">
        <v>68</v>
      </c>
      <c r="H451" s="12" t="s">
        <v>69</v>
      </c>
      <c r="I451" t="s">
        <v>111</v>
      </c>
      <c r="J451" s="12">
        <v>11</v>
      </c>
      <c r="K451" s="3">
        <v>30</v>
      </c>
      <c r="L451" s="14">
        <f t="shared" ref="L451:L514" si="30">IF(K451="","",IF(LEFT(K451,3)="USD","$"&amp;MID(K451,4,LEN(K451)-3),K451))</f>
        <v>30</v>
      </c>
      <c r="M451" s="12">
        <v>2.9</v>
      </c>
      <c r="N451">
        <v>1</v>
      </c>
      <c r="O451" s="1">
        <v>0.78</v>
      </c>
      <c r="P451" s="1">
        <f t="shared" ref="P451:P514" si="31">IF(O451="","",IF(O451&lt;1,O451,O451/100))</f>
        <v>0.78</v>
      </c>
    </row>
    <row r="452" spans="1:16" x14ac:dyDescent="0.35">
      <c r="A452" t="s">
        <v>977</v>
      </c>
      <c r="B452" t="s">
        <v>978</v>
      </c>
      <c r="C452" t="str">
        <f t="shared" si="28"/>
        <v>Lindsay Hudson</v>
      </c>
      <c r="D452" t="s">
        <v>38</v>
      </c>
      <c r="E452" t="str">
        <f t="shared" si="29"/>
        <v>Female</v>
      </c>
      <c r="F452" s="12">
        <v>36</v>
      </c>
      <c r="G452" t="s">
        <v>41</v>
      </c>
      <c r="H452" s="12" t="s">
        <v>42</v>
      </c>
      <c r="I452" t="s">
        <v>75</v>
      </c>
      <c r="J452" s="12">
        <v>11</v>
      </c>
      <c r="K452" s="3">
        <v>30</v>
      </c>
      <c r="L452" s="14">
        <f t="shared" si="30"/>
        <v>30</v>
      </c>
      <c r="M452" s="12">
        <v>0</v>
      </c>
      <c r="N452">
        <v>1</v>
      </c>
      <c r="O452" s="1">
        <v>0.63</v>
      </c>
      <c r="P452" s="1">
        <f t="shared" si="31"/>
        <v>0.63</v>
      </c>
    </row>
    <row r="453" spans="1:16" x14ac:dyDescent="0.35">
      <c r="A453" t="s">
        <v>979</v>
      </c>
      <c r="B453" t="s">
        <v>980</v>
      </c>
      <c r="C453" t="str">
        <f t="shared" si="28"/>
        <v>Stephanie Armstrong</v>
      </c>
      <c r="D453" t="s">
        <v>38</v>
      </c>
      <c r="E453" t="str">
        <f t="shared" si="29"/>
        <v>Female</v>
      </c>
      <c r="F453" s="12">
        <v>36</v>
      </c>
      <c r="G453" t="s">
        <v>41</v>
      </c>
      <c r="H453" s="12" t="s">
        <v>42</v>
      </c>
      <c r="I453" t="s">
        <v>43</v>
      </c>
      <c r="J453" s="12">
        <v>17</v>
      </c>
      <c r="K453" s="3">
        <v>50</v>
      </c>
      <c r="L453" s="14">
        <f t="shared" si="30"/>
        <v>50</v>
      </c>
      <c r="M453" s="12">
        <v>1.3</v>
      </c>
      <c r="N453">
        <v>1</v>
      </c>
      <c r="O453" s="1">
        <v>0.64</v>
      </c>
      <c r="P453" s="1">
        <f t="shared" si="31"/>
        <v>0.64</v>
      </c>
    </row>
    <row r="454" spans="1:16" x14ac:dyDescent="0.35">
      <c r="A454" t="s">
        <v>981</v>
      </c>
      <c r="B454" t="s">
        <v>982</v>
      </c>
      <c r="C454" t="str">
        <f t="shared" si="28"/>
        <v>Dr. Jessica Campbell</v>
      </c>
      <c r="D454" t="s">
        <v>38</v>
      </c>
      <c r="E454" t="str">
        <f t="shared" si="29"/>
        <v>Female</v>
      </c>
      <c r="F454" s="12">
        <v>25</v>
      </c>
      <c r="G454" t="s">
        <v>68</v>
      </c>
      <c r="H454" s="12" t="s">
        <v>69</v>
      </c>
      <c r="I454" t="s">
        <v>35</v>
      </c>
      <c r="J454" s="12">
        <v>1</v>
      </c>
      <c r="K454" s="3">
        <v>75</v>
      </c>
      <c r="L454" s="14">
        <f t="shared" si="30"/>
        <v>75</v>
      </c>
      <c r="M454" s="12">
        <v>0</v>
      </c>
      <c r="N454">
        <v>1</v>
      </c>
      <c r="O454">
        <v>16</v>
      </c>
      <c r="P454" s="1">
        <f t="shared" si="31"/>
        <v>0.16</v>
      </c>
    </row>
    <row r="455" spans="1:16" x14ac:dyDescent="0.35">
      <c r="A455" t="s">
        <v>983</v>
      </c>
      <c r="B455" t="s">
        <v>984</v>
      </c>
      <c r="C455" t="str">
        <f t="shared" si="28"/>
        <v>Curtis Maxwell</v>
      </c>
      <c r="D455" t="s">
        <v>94</v>
      </c>
      <c r="E455" t="str">
        <f t="shared" si="29"/>
        <v>Male</v>
      </c>
      <c r="F455" s="12">
        <v>46</v>
      </c>
      <c r="G455" t="s">
        <v>47</v>
      </c>
      <c r="H455" s="12" t="s">
        <v>48</v>
      </c>
      <c r="I455" t="s">
        <v>43</v>
      </c>
      <c r="J455" s="12">
        <v>16</v>
      </c>
      <c r="K455" s="3">
        <v>20</v>
      </c>
      <c r="L455" s="14">
        <f t="shared" si="30"/>
        <v>20</v>
      </c>
      <c r="M455" s="12">
        <v>4.8</v>
      </c>
      <c r="N455">
        <v>1</v>
      </c>
      <c r="O455" s="1">
        <v>0.86</v>
      </c>
      <c r="P455" s="1">
        <f t="shared" si="31"/>
        <v>0.86</v>
      </c>
    </row>
    <row r="456" spans="1:16" x14ac:dyDescent="0.35">
      <c r="A456" t="s">
        <v>985</v>
      </c>
      <c r="B456" t="s">
        <v>986</v>
      </c>
      <c r="C456" t="str">
        <f t="shared" si="28"/>
        <v>Adam Kelly Phd</v>
      </c>
      <c r="D456" t="s">
        <v>27</v>
      </c>
      <c r="E456" t="str">
        <f t="shared" si="29"/>
        <v>Male</v>
      </c>
      <c r="F456" s="12">
        <v>41</v>
      </c>
      <c r="G456" t="s">
        <v>68</v>
      </c>
      <c r="H456" s="12" t="s">
        <v>69</v>
      </c>
      <c r="I456" t="s">
        <v>111</v>
      </c>
      <c r="J456" s="12">
        <v>11</v>
      </c>
      <c r="K456" s="3">
        <v>40</v>
      </c>
      <c r="L456" s="14">
        <f t="shared" si="30"/>
        <v>40</v>
      </c>
      <c r="M456" s="12">
        <v>2.4</v>
      </c>
      <c r="N456">
        <v>0</v>
      </c>
      <c r="O456">
        <v>16</v>
      </c>
      <c r="P456" s="1">
        <f t="shared" si="31"/>
        <v>0.16</v>
      </c>
    </row>
    <row r="457" spans="1:16" x14ac:dyDescent="0.35">
      <c r="A457" t="s">
        <v>987</v>
      </c>
      <c r="B457" t="s">
        <v>988</v>
      </c>
      <c r="C457" t="str">
        <f t="shared" si="28"/>
        <v>Julie Becker</v>
      </c>
      <c r="D457" t="s">
        <v>20</v>
      </c>
      <c r="E457" t="str">
        <f t="shared" si="29"/>
        <v>Female</v>
      </c>
      <c r="F457" s="12">
        <v>21</v>
      </c>
      <c r="G457" t="s">
        <v>120</v>
      </c>
      <c r="H457" s="12" t="s">
        <v>121</v>
      </c>
      <c r="I457" t="s">
        <v>23</v>
      </c>
      <c r="J457" s="12">
        <v>3</v>
      </c>
      <c r="K457" s="3">
        <v>100</v>
      </c>
      <c r="L457" s="14">
        <f t="shared" si="30"/>
        <v>100</v>
      </c>
      <c r="M457" s="12">
        <v>4.7</v>
      </c>
      <c r="N457">
        <v>0</v>
      </c>
      <c r="O457" s="1">
        <v>0.96</v>
      </c>
      <c r="P457" s="1">
        <f t="shared" si="31"/>
        <v>0.96</v>
      </c>
    </row>
    <row r="458" spans="1:16" x14ac:dyDescent="0.35">
      <c r="A458" t="s">
        <v>989</v>
      </c>
      <c r="B458" t="s">
        <v>990</v>
      </c>
      <c r="C458" t="str">
        <f t="shared" si="28"/>
        <v>James Moore</v>
      </c>
      <c r="D458" t="s">
        <v>94</v>
      </c>
      <c r="E458" t="str">
        <f t="shared" si="29"/>
        <v>Male</v>
      </c>
      <c r="F458" s="12">
        <v>29</v>
      </c>
      <c r="G458" t="s">
        <v>56</v>
      </c>
      <c r="H458" s="12" t="s">
        <v>22</v>
      </c>
      <c r="I458" t="s">
        <v>30</v>
      </c>
      <c r="J458" s="12">
        <v>11</v>
      </c>
      <c r="K458" s="3">
        <v>75</v>
      </c>
      <c r="L458" s="14">
        <f t="shared" si="30"/>
        <v>75</v>
      </c>
      <c r="M458" s="12">
        <v>2</v>
      </c>
      <c r="N458">
        <v>0</v>
      </c>
      <c r="O458">
        <v>16</v>
      </c>
      <c r="P458" s="1">
        <f t="shared" si="31"/>
        <v>0.16</v>
      </c>
    </row>
    <row r="459" spans="1:16" x14ac:dyDescent="0.35">
      <c r="A459" t="s">
        <v>991</v>
      </c>
      <c r="B459" t="s">
        <v>992</v>
      </c>
      <c r="C459" t="str">
        <f t="shared" si="28"/>
        <v>Danielle Barrera</v>
      </c>
      <c r="D459" t="s">
        <v>38</v>
      </c>
      <c r="E459" t="str">
        <f t="shared" si="29"/>
        <v>Female</v>
      </c>
      <c r="F459" s="12">
        <v>44</v>
      </c>
      <c r="G459" t="s">
        <v>56</v>
      </c>
      <c r="H459" s="12" t="s">
        <v>22</v>
      </c>
      <c r="I459" t="s">
        <v>23</v>
      </c>
      <c r="J459" s="12">
        <v>3</v>
      </c>
      <c r="K459" s="3">
        <v>50</v>
      </c>
      <c r="L459" s="14">
        <f t="shared" si="30"/>
        <v>50</v>
      </c>
      <c r="M459" s="12">
        <v>2.2000000000000002</v>
      </c>
      <c r="N459">
        <v>0</v>
      </c>
      <c r="O459" s="1">
        <v>0.77</v>
      </c>
      <c r="P459" s="1">
        <f t="shared" si="31"/>
        <v>0.77</v>
      </c>
    </row>
    <row r="460" spans="1:16" x14ac:dyDescent="0.35">
      <c r="A460" t="s">
        <v>993</v>
      </c>
      <c r="B460" t="s">
        <v>994</v>
      </c>
      <c r="C460" t="str">
        <f t="shared" si="28"/>
        <v>David Sanchez</v>
      </c>
      <c r="D460" t="s">
        <v>94</v>
      </c>
      <c r="E460" t="str">
        <f t="shared" si="29"/>
        <v>Male</v>
      </c>
      <c r="F460" s="12">
        <v>40</v>
      </c>
      <c r="G460" t="s">
        <v>124</v>
      </c>
      <c r="H460" s="12" t="s">
        <v>22</v>
      </c>
      <c r="I460" t="s">
        <v>111</v>
      </c>
      <c r="J460" s="12">
        <v>1</v>
      </c>
      <c r="K460" s="3">
        <v>100</v>
      </c>
      <c r="L460" s="14">
        <f t="shared" si="30"/>
        <v>100</v>
      </c>
      <c r="M460" s="12">
        <v>2.1</v>
      </c>
      <c r="N460">
        <v>1</v>
      </c>
      <c r="O460">
        <v>16</v>
      </c>
      <c r="P460" s="1">
        <f t="shared" si="31"/>
        <v>0.16</v>
      </c>
    </row>
    <row r="461" spans="1:16" x14ac:dyDescent="0.35">
      <c r="A461" t="s">
        <v>995</v>
      </c>
      <c r="B461" t="s">
        <v>996</v>
      </c>
      <c r="C461" t="str">
        <f t="shared" si="28"/>
        <v>Tiffany Bowman</v>
      </c>
      <c r="D461" t="s">
        <v>38</v>
      </c>
      <c r="E461" t="str">
        <f t="shared" si="29"/>
        <v>Female</v>
      </c>
      <c r="F461" s="12">
        <v>27</v>
      </c>
      <c r="G461" t="s">
        <v>135</v>
      </c>
      <c r="H461" s="12" t="s">
        <v>136</v>
      </c>
      <c r="I461" t="s">
        <v>49</v>
      </c>
      <c r="J461" s="12">
        <v>1</v>
      </c>
      <c r="K461" s="3">
        <v>30</v>
      </c>
      <c r="L461" s="14">
        <f t="shared" si="30"/>
        <v>30</v>
      </c>
      <c r="M461" s="12">
        <v>1.7</v>
      </c>
      <c r="N461">
        <v>0</v>
      </c>
      <c r="O461" s="1">
        <v>0.65</v>
      </c>
      <c r="P461" s="1">
        <f t="shared" si="31"/>
        <v>0.65</v>
      </c>
    </row>
    <row r="462" spans="1:16" x14ac:dyDescent="0.35">
      <c r="A462" t="s">
        <v>997</v>
      </c>
      <c r="B462" t="s">
        <v>998</v>
      </c>
      <c r="C462" t="str">
        <f t="shared" si="28"/>
        <v>Jesus Quinn</v>
      </c>
      <c r="D462" t="s">
        <v>59</v>
      </c>
      <c r="E462" t="str">
        <f t="shared" si="29"/>
        <v>Male</v>
      </c>
      <c r="F462" s="12">
        <v>53</v>
      </c>
      <c r="G462" t="s">
        <v>131</v>
      </c>
      <c r="H462" s="12" t="s">
        <v>132</v>
      </c>
      <c r="I462" t="s">
        <v>23</v>
      </c>
      <c r="J462" s="12">
        <v>35</v>
      </c>
      <c r="K462" s="3">
        <v>40</v>
      </c>
      <c r="L462" s="14">
        <f t="shared" si="30"/>
        <v>40</v>
      </c>
      <c r="M462" s="12">
        <v>5</v>
      </c>
      <c r="N462">
        <v>1</v>
      </c>
      <c r="O462" s="1">
        <v>0.62</v>
      </c>
      <c r="P462" s="1">
        <f t="shared" si="31"/>
        <v>0.62</v>
      </c>
    </row>
    <row r="463" spans="1:16" x14ac:dyDescent="0.35">
      <c r="A463" t="s">
        <v>999</v>
      </c>
      <c r="B463" t="s">
        <v>1000</v>
      </c>
      <c r="C463" t="str">
        <f t="shared" si="28"/>
        <v>Mr. Danny Morris Dds</v>
      </c>
      <c r="D463" t="s">
        <v>27</v>
      </c>
      <c r="E463" t="str">
        <f t="shared" si="29"/>
        <v>Male</v>
      </c>
      <c r="F463" s="12">
        <v>20</v>
      </c>
      <c r="G463" t="s">
        <v>60</v>
      </c>
      <c r="H463" s="12" t="s">
        <v>61</v>
      </c>
      <c r="I463" t="s">
        <v>49</v>
      </c>
      <c r="J463" s="12">
        <v>1</v>
      </c>
      <c r="K463" s="3">
        <v>50</v>
      </c>
      <c r="L463" s="14">
        <f t="shared" si="30"/>
        <v>50</v>
      </c>
      <c r="M463" s="12">
        <v>2.9</v>
      </c>
      <c r="N463">
        <v>1</v>
      </c>
      <c r="O463" s="1">
        <v>0.81</v>
      </c>
      <c r="P463" s="1">
        <f t="shared" si="31"/>
        <v>0.81</v>
      </c>
    </row>
    <row r="464" spans="1:16" x14ac:dyDescent="0.35">
      <c r="A464" t="s">
        <v>1001</v>
      </c>
      <c r="B464" t="s">
        <v>1002</v>
      </c>
      <c r="C464" t="str">
        <f t="shared" si="28"/>
        <v>Nicole York</v>
      </c>
      <c r="D464" t="s">
        <v>38</v>
      </c>
      <c r="E464" t="str">
        <f t="shared" si="29"/>
        <v>Female</v>
      </c>
      <c r="F464" s="12">
        <v>41</v>
      </c>
      <c r="G464" t="s">
        <v>82</v>
      </c>
      <c r="H464" s="12" t="s">
        <v>83</v>
      </c>
      <c r="I464" t="s">
        <v>86</v>
      </c>
      <c r="J464" s="12">
        <v>12</v>
      </c>
      <c r="K464" s="3">
        <v>50</v>
      </c>
      <c r="L464" s="14">
        <f t="shared" si="30"/>
        <v>50</v>
      </c>
      <c r="M464" s="12">
        <v>4.0999999999999996</v>
      </c>
      <c r="N464">
        <v>1</v>
      </c>
      <c r="O464" s="1">
        <v>0.62</v>
      </c>
      <c r="P464" s="1">
        <f t="shared" si="31"/>
        <v>0.62</v>
      </c>
    </row>
    <row r="465" spans="1:16" x14ac:dyDescent="0.35">
      <c r="A465" t="s">
        <v>1003</v>
      </c>
      <c r="B465" t="s">
        <v>1004</v>
      </c>
      <c r="C465" t="str">
        <f t="shared" si="28"/>
        <v>John Mathis</v>
      </c>
      <c r="D465" t="s">
        <v>27</v>
      </c>
      <c r="E465" t="str">
        <f t="shared" si="29"/>
        <v>Male</v>
      </c>
      <c r="F465" s="12">
        <v>26</v>
      </c>
      <c r="G465" t="s">
        <v>174</v>
      </c>
      <c r="H465" s="12" t="s">
        <v>69</v>
      </c>
      <c r="I465" t="s">
        <v>35</v>
      </c>
      <c r="J465" s="12">
        <v>8</v>
      </c>
      <c r="K465" s="3">
        <v>40</v>
      </c>
      <c r="L465" s="14">
        <f t="shared" si="30"/>
        <v>40</v>
      </c>
      <c r="M465" s="12">
        <v>4.9000000000000004</v>
      </c>
      <c r="N465">
        <v>0</v>
      </c>
      <c r="O465" s="1">
        <v>0.87</v>
      </c>
      <c r="P465" s="1">
        <f t="shared" si="31"/>
        <v>0.87</v>
      </c>
    </row>
    <row r="466" spans="1:16" x14ac:dyDescent="0.35">
      <c r="A466" t="s">
        <v>1005</v>
      </c>
      <c r="B466" t="s">
        <v>1006</v>
      </c>
      <c r="C466" t="str">
        <f t="shared" si="28"/>
        <v>Julie Barnett</v>
      </c>
      <c r="D466" t="s">
        <v>38</v>
      </c>
      <c r="E466" t="str">
        <f t="shared" si="29"/>
        <v>Female</v>
      </c>
      <c r="F466" s="12">
        <v>49</v>
      </c>
      <c r="G466" t="s">
        <v>104</v>
      </c>
      <c r="H466" s="12" t="s">
        <v>105</v>
      </c>
      <c r="I466" t="s">
        <v>111</v>
      </c>
      <c r="J466" s="12">
        <v>13</v>
      </c>
      <c r="K466" s="3">
        <v>100</v>
      </c>
      <c r="L466" s="14">
        <f t="shared" si="30"/>
        <v>100</v>
      </c>
      <c r="M466" s="12">
        <v>2.5</v>
      </c>
      <c r="N466">
        <v>0</v>
      </c>
      <c r="O466">
        <v>16</v>
      </c>
      <c r="P466" s="1">
        <f t="shared" si="31"/>
        <v>0.16</v>
      </c>
    </row>
    <row r="467" spans="1:16" x14ac:dyDescent="0.35">
      <c r="A467" t="s">
        <v>1007</v>
      </c>
      <c r="B467" t="s">
        <v>1008</v>
      </c>
      <c r="C467" t="str">
        <f t="shared" si="28"/>
        <v>Jasmine Harris</v>
      </c>
      <c r="D467" t="s">
        <v>38</v>
      </c>
      <c r="E467" t="str">
        <f t="shared" si="29"/>
        <v>Female</v>
      </c>
      <c r="F467" s="12">
        <v>20</v>
      </c>
      <c r="G467" t="s">
        <v>135</v>
      </c>
      <c r="H467" s="12" t="s">
        <v>136</v>
      </c>
      <c r="I467" t="s">
        <v>49</v>
      </c>
      <c r="J467" s="12">
        <v>11</v>
      </c>
      <c r="K467" s="3" t="s">
        <v>106</v>
      </c>
      <c r="L467" s="14" t="str">
        <f t="shared" si="30"/>
        <v>$ 30</v>
      </c>
      <c r="M467" s="12">
        <v>0</v>
      </c>
      <c r="N467">
        <v>1</v>
      </c>
      <c r="O467">
        <v>76</v>
      </c>
      <c r="P467" s="1">
        <f t="shared" si="31"/>
        <v>0.76</v>
      </c>
    </row>
    <row r="468" spans="1:16" x14ac:dyDescent="0.35">
      <c r="A468" t="s">
        <v>1009</v>
      </c>
      <c r="B468" t="s">
        <v>1010</v>
      </c>
      <c r="C468" t="str">
        <f t="shared" si="28"/>
        <v>Mary Henry</v>
      </c>
      <c r="D468" t="s">
        <v>38</v>
      </c>
      <c r="E468" t="str">
        <f t="shared" si="29"/>
        <v>Female</v>
      </c>
      <c r="F468" s="12">
        <v>39</v>
      </c>
      <c r="G468" t="s">
        <v>170</v>
      </c>
      <c r="H468" s="12" t="s">
        <v>171</v>
      </c>
      <c r="I468" t="s">
        <v>17</v>
      </c>
      <c r="J468" s="12">
        <v>11</v>
      </c>
      <c r="K468" s="3">
        <v>100</v>
      </c>
      <c r="L468" s="14">
        <f t="shared" si="30"/>
        <v>100</v>
      </c>
      <c r="M468" s="12">
        <v>2.8</v>
      </c>
      <c r="N468">
        <v>1</v>
      </c>
      <c r="O468">
        <v>70</v>
      </c>
      <c r="P468" s="1">
        <f t="shared" si="31"/>
        <v>0.7</v>
      </c>
    </row>
    <row r="469" spans="1:16" x14ac:dyDescent="0.35">
      <c r="A469" t="s">
        <v>1011</v>
      </c>
      <c r="B469" t="s">
        <v>1012</v>
      </c>
      <c r="C469" t="str">
        <f t="shared" si="28"/>
        <v>Judith Riggs</v>
      </c>
      <c r="D469" t="s">
        <v>38</v>
      </c>
      <c r="E469" t="str">
        <f t="shared" si="29"/>
        <v>Female</v>
      </c>
      <c r="F469" s="12">
        <v>41</v>
      </c>
      <c r="G469" t="s">
        <v>170</v>
      </c>
      <c r="H469" s="12" t="s">
        <v>171</v>
      </c>
      <c r="I469" t="s">
        <v>111</v>
      </c>
      <c r="J469" s="12">
        <v>19</v>
      </c>
      <c r="K469" s="3">
        <v>100</v>
      </c>
      <c r="L469" s="14">
        <f t="shared" si="30"/>
        <v>100</v>
      </c>
      <c r="M469" s="12">
        <v>3.8</v>
      </c>
      <c r="N469">
        <v>1</v>
      </c>
      <c r="O469" s="1">
        <v>0.71</v>
      </c>
      <c r="P469" s="1">
        <f t="shared" si="31"/>
        <v>0.71</v>
      </c>
    </row>
    <row r="470" spans="1:16" x14ac:dyDescent="0.35">
      <c r="A470" t="s">
        <v>1013</v>
      </c>
      <c r="B470" t="s">
        <v>1014</v>
      </c>
      <c r="C470" t="str">
        <f t="shared" si="28"/>
        <v>Justin Ruiz</v>
      </c>
      <c r="D470" t="s">
        <v>94</v>
      </c>
      <c r="E470" t="str">
        <f t="shared" si="29"/>
        <v>Male</v>
      </c>
      <c r="F470" s="12">
        <v>59</v>
      </c>
      <c r="G470" t="s">
        <v>124</v>
      </c>
      <c r="H470" s="12" t="s">
        <v>22</v>
      </c>
      <c r="I470" t="s">
        <v>23</v>
      </c>
      <c r="J470" s="12">
        <v>30</v>
      </c>
      <c r="K470" s="3" t="s">
        <v>106</v>
      </c>
      <c r="L470" s="14" t="str">
        <f t="shared" si="30"/>
        <v>$ 30</v>
      </c>
      <c r="M470" s="12">
        <v>4.3</v>
      </c>
      <c r="N470">
        <v>1</v>
      </c>
      <c r="O470" s="1">
        <v>0.83</v>
      </c>
      <c r="P470" s="1">
        <f t="shared" si="31"/>
        <v>0.83</v>
      </c>
    </row>
    <row r="471" spans="1:16" x14ac:dyDescent="0.35">
      <c r="A471" t="s">
        <v>1015</v>
      </c>
      <c r="B471" t="s">
        <v>1016</v>
      </c>
      <c r="C471" t="str">
        <f t="shared" si="28"/>
        <v>Jennifer Sullivan</v>
      </c>
      <c r="D471" t="s">
        <v>74</v>
      </c>
      <c r="E471" t="str">
        <f t="shared" si="29"/>
        <v>Female</v>
      </c>
      <c r="F471" s="12">
        <v>45</v>
      </c>
      <c r="G471" t="s">
        <v>21</v>
      </c>
      <c r="H471" s="12" t="s">
        <v>22</v>
      </c>
      <c r="I471" t="s">
        <v>17</v>
      </c>
      <c r="J471" s="12">
        <v>8</v>
      </c>
      <c r="K471" s="3">
        <v>40</v>
      </c>
      <c r="L471" s="14">
        <f t="shared" si="30"/>
        <v>40</v>
      </c>
      <c r="M471" s="12">
        <v>0</v>
      </c>
      <c r="N471">
        <v>0</v>
      </c>
      <c r="O471">
        <v>78</v>
      </c>
      <c r="P471" s="1">
        <f t="shared" si="31"/>
        <v>0.78</v>
      </c>
    </row>
    <row r="472" spans="1:16" x14ac:dyDescent="0.35">
      <c r="A472" t="s">
        <v>1017</v>
      </c>
      <c r="B472" t="s">
        <v>1018</v>
      </c>
      <c r="C472" t="str">
        <f t="shared" si="28"/>
        <v>Jesse Moran</v>
      </c>
      <c r="D472" t="s">
        <v>59</v>
      </c>
      <c r="E472" t="str">
        <f t="shared" si="29"/>
        <v>Male</v>
      </c>
      <c r="F472" s="12">
        <v>22</v>
      </c>
      <c r="G472" t="s">
        <v>47</v>
      </c>
      <c r="H472" s="12" t="s">
        <v>48</v>
      </c>
      <c r="I472" t="s">
        <v>75</v>
      </c>
      <c r="J472" s="12">
        <v>11</v>
      </c>
      <c r="K472" s="3">
        <v>40</v>
      </c>
      <c r="L472" s="14">
        <f t="shared" si="30"/>
        <v>40</v>
      </c>
      <c r="M472" s="12">
        <v>1.3</v>
      </c>
      <c r="N472">
        <v>1</v>
      </c>
      <c r="O472" s="1">
        <v>0.78</v>
      </c>
      <c r="P472" s="1">
        <f t="shared" si="31"/>
        <v>0.78</v>
      </c>
    </row>
    <row r="473" spans="1:16" x14ac:dyDescent="0.35">
      <c r="A473" t="s">
        <v>1019</v>
      </c>
      <c r="B473" t="s">
        <v>1020</v>
      </c>
      <c r="C473" t="str">
        <f t="shared" si="28"/>
        <v>Monica Smith</v>
      </c>
      <c r="D473" t="s">
        <v>38</v>
      </c>
      <c r="E473" t="str">
        <f t="shared" si="29"/>
        <v>Female</v>
      </c>
      <c r="F473" s="12">
        <v>48</v>
      </c>
      <c r="G473" t="s">
        <v>90</v>
      </c>
      <c r="H473" s="12" t="s">
        <v>91</v>
      </c>
      <c r="I473" t="s">
        <v>23</v>
      </c>
      <c r="J473" s="12">
        <v>7</v>
      </c>
      <c r="K473" s="3">
        <v>50</v>
      </c>
      <c r="L473" s="14">
        <f t="shared" si="30"/>
        <v>50</v>
      </c>
      <c r="M473" s="12">
        <v>4.7</v>
      </c>
      <c r="N473">
        <v>1</v>
      </c>
      <c r="O473" s="1">
        <v>0.6</v>
      </c>
      <c r="P473" s="1">
        <f t="shared" si="31"/>
        <v>0.6</v>
      </c>
    </row>
    <row r="474" spans="1:16" x14ac:dyDescent="0.35">
      <c r="A474" t="s">
        <v>1021</v>
      </c>
      <c r="B474" t="s">
        <v>1022</v>
      </c>
      <c r="C474" t="str">
        <f t="shared" si="28"/>
        <v>Ian May</v>
      </c>
      <c r="D474" t="s">
        <v>59</v>
      </c>
      <c r="E474" t="str">
        <f t="shared" si="29"/>
        <v>Male</v>
      </c>
      <c r="F474" s="12">
        <v>36</v>
      </c>
      <c r="G474" t="s">
        <v>131</v>
      </c>
      <c r="H474" s="12" t="s">
        <v>132</v>
      </c>
      <c r="I474" t="s">
        <v>17</v>
      </c>
      <c r="J474" s="12">
        <v>11</v>
      </c>
      <c r="K474" s="3">
        <v>40</v>
      </c>
      <c r="L474" s="14">
        <f t="shared" si="30"/>
        <v>40</v>
      </c>
      <c r="M474" s="12">
        <v>1.3</v>
      </c>
      <c r="N474">
        <v>1</v>
      </c>
      <c r="O474">
        <v>16</v>
      </c>
      <c r="P474" s="1">
        <f t="shared" si="31"/>
        <v>0.16</v>
      </c>
    </row>
    <row r="475" spans="1:16" x14ac:dyDescent="0.35">
      <c r="A475" t="s">
        <v>1023</v>
      </c>
      <c r="B475" t="s">
        <v>1024</v>
      </c>
      <c r="C475" t="str">
        <f t="shared" si="28"/>
        <v>Kayla Meyers</v>
      </c>
      <c r="D475" t="s">
        <v>20</v>
      </c>
      <c r="E475" t="str">
        <f t="shared" si="29"/>
        <v>Female</v>
      </c>
      <c r="F475" s="12">
        <v>57</v>
      </c>
      <c r="G475" t="s">
        <v>170</v>
      </c>
      <c r="H475" s="12" t="s">
        <v>171</v>
      </c>
      <c r="I475" t="s">
        <v>17</v>
      </c>
      <c r="J475" s="12">
        <v>11</v>
      </c>
      <c r="K475" s="3">
        <v>75</v>
      </c>
      <c r="L475" s="14">
        <f t="shared" si="30"/>
        <v>75</v>
      </c>
      <c r="M475" s="12">
        <v>4.8</v>
      </c>
      <c r="N475">
        <v>1</v>
      </c>
      <c r="O475">
        <v>16</v>
      </c>
      <c r="P475" s="1">
        <f t="shared" si="31"/>
        <v>0.16</v>
      </c>
    </row>
    <row r="476" spans="1:16" x14ac:dyDescent="0.35">
      <c r="A476" t="s">
        <v>1025</v>
      </c>
      <c r="B476" t="s">
        <v>1026</v>
      </c>
      <c r="C476" t="str">
        <f t="shared" si="28"/>
        <v>John Bray</v>
      </c>
      <c r="D476" t="s">
        <v>59</v>
      </c>
      <c r="E476" t="str">
        <f t="shared" si="29"/>
        <v>Male</v>
      </c>
      <c r="F476" s="12">
        <v>42</v>
      </c>
      <c r="G476" t="s">
        <v>56</v>
      </c>
      <c r="H476" s="12" t="s">
        <v>22</v>
      </c>
      <c r="I476" t="s">
        <v>70</v>
      </c>
      <c r="J476" s="12">
        <v>14</v>
      </c>
      <c r="K476" s="3">
        <v>30</v>
      </c>
      <c r="L476" s="14">
        <f t="shared" si="30"/>
        <v>30</v>
      </c>
      <c r="M476" s="12">
        <v>1.3</v>
      </c>
      <c r="N476">
        <v>0</v>
      </c>
      <c r="O476" s="1">
        <v>0.94</v>
      </c>
      <c r="P476" s="1">
        <f t="shared" si="31"/>
        <v>0.94</v>
      </c>
    </row>
    <row r="477" spans="1:16" x14ac:dyDescent="0.35">
      <c r="A477" t="s">
        <v>1027</v>
      </c>
      <c r="B477" t="s">
        <v>1028</v>
      </c>
      <c r="C477" t="str">
        <f t="shared" si="28"/>
        <v>James Smith</v>
      </c>
      <c r="D477" t="s">
        <v>27</v>
      </c>
      <c r="E477" t="str">
        <f t="shared" si="29"/>
        <v>Male</v>
      </c>
      <c r="F477" s="12">
        <v>31</v>
      </c>
      <c r="G477" t="s">
        <v>47</v>
      </c>
      <c r="H477" s="12" t="s">
        <v>48</v>
      </c>
      <c r="I477" t="s">
        <v>75</v>
      </c>
      <c r="J477" s="12">
        <v>11</v>
      </c>
      <c r="K477" s="3">
        <v>50</v>
      </c>
      <c r="L477" s="14">
        <f t="shared" si="30"/>
        <v>50</v>
      </c>
      <c r="M477" s="12">
        <v>4.3</v>
      </c>
      <c r="N477">
        <v>0</v>
      </c>
      <c r="O477">
        <v>62</v>
      </c>
      <c r="P477" s="1">
        <f t="shared" si="31"/>
        <v>0.62</v>
      </c>
    </row>
    <row r="478" spans="1:16" x14ac:dyDescent="0.35">
      <c r="A478" t="s">
        <v>1029</v>
      </c>
      <c r="B478" t="s">
        <v>1030</v>
      </c>
      <c r="C478" t="str">
        <f t="shared" si="28"/>
        <v>Mark Duncan</v>
      </c>
      <c r="D478" t="s">
        <v>27</v>
      </c>
      <c r="E478" t="str">
        <f t="shared" si="29"/>
        <v>Male</v>
      </c>
      <c r="F478" s="12">
        <v>52</v>
      </c>
      <c r="G478" t="s">
        <v>185</v>
      </c>
      <c r="H478" s="12" t="s">
        <v>69</v>
      </c>
      <c r="I478" t="s">
        <v>75</v>
      </c>
      <c r="J478" s="12">
        <v>31</v>
      </c>
      <c r="K478" s="3">
        <v>30</v>
      </c>
      <c r="L478" s="14">
        <f t="shared" si="30"/>
        <v>30</v>
      </c>
      <c r="M478" s="12">
        <v>3</v>
      </c>
      <c r="N478">
        <v>1</v>
      </c>
      <c r="O478">
        <v>16</v>
      </c>
      <c r="P478" s="1">
        <f t="shared" si="31"/>
        <v>0.16</v>
      </c>
    </row>
    <row r="479" spans="1:16" x14ac:dyDescent="0.35">
      <c r="A479" t="s">
        <v>1031</v>
      </c>
      <c r="B479" t="s">
        <v>1032</v>
      </c>
      <c r="C479" t="str">
        <f t="shared" si="28"/>
        <v>Matthew Gay</v>
      </c>
      <c r="D479" t="s">
        <v>27</v>
      </c>
      <c r="E479" t="str">
        <f t="shared" si="29"/>
        <v>Male</v>
      </c>
      <c r="F479" s="12">
        <v>56</v>
      </c>
      <c r="G479" t="s">
        <v>41</v>
      </c>
      <c r="H479" s="12" t="s">
        <v>42</v>
      </c>
      <c r="I479" t="s">
        <v>86</v>
      </c>
      <c r="J479" s="12">
        <v>16</v>
      </c>
      <c r="K479" s="3" t="s">
        <v>106</v>
      </c>
      <c r="L479" s="14" t="str">
        <f t="shared" si="30"/>
        <v>$ 30</v>
      </c>
      <c r="M479" s="12">
        <v>0</v>
      </c>
      <c r="N479">
        <v>1</v>
      </c>
      <c r="O479">
        <v>16</v>
      </c>
      <c r="P479" s="1">
        <f t="shared" si="31"/>
        <v>0.16</v>
      </c>
    </row>
    <row r="480" spans="1:16" x14ac:dyDescent="0.35">
      <c r="A480" t="s">
        <v>1033</v>
      </c>
      <c r="B480" t="s">
        <v>1034</v>
      </c>
      <c r="C480" t="str">
        <f t="shared" si="28"/>
        <v>Cheryl Freeman</v>
      </c>
      <c r="D480" t="s">
        <v>74</v>
      </c>
      <c r="E480" t="str">
        <f t="shared" si="29"/>
        <v>Female</v>
      </c>
      <c r="F480" s="12">
        <v>24</v>
      </c>
      <c r="G480" t="s">
        <v>41</v>
      </c>
      <c r="H480" s="12" t="s">
        <v>42</v>
      </c>
      <c r="I480" t="s">
        <v>86</v>
      </c>
      <c r="J480" s="12">
        <v>6</v>
      </c>
      <c r="K480" s="3">
        <v>30</v>
      </c>
      <c r="L480" s="14">
        <f t="shared" si="30"/>
        <v>30</v>
      </c>
      <c r="M480" s="12">
        <v>0</v>
      </c>
      <c r="N480">
        <v>1</v>
      </c>
      <c r="O480" s="1">
        <v>0.84</v>
      </c>
      <c r="P480" s="1">
        <f t="shared" si="31"/>
        <v>0.84</v>
      </c>
    </row>
    <row r="481" spans="1:16" x14ac:dyDescent="0.35">
      <c r="A481" t="s">
        <v>1035</v>
      </c>
      <c r="B481" t="s">
        <v>1036</v>
      </c>
      <c r="C481" t="str">
        <f t="shared" si="28"/>
        <v>Patrick Welch</v>
      </c>
      <c r="D481" t="s">
        <v>27</v>
      </c>
      <c r="E481" t="str">
        <f t="shared" si="29"/>
        <v>Male</v>
      </c>
      <c r="F481" s="12">
        <v>48</v>
      </c>
      <c r="G481" t="s">
        <v>124</v>
      </c>
      <c r="H481" s="12" t="s">
        <v>22</v>
      </c>
      <c r="I481" t="s">
        <v>86</v>
      </c>
      <c r="J481" s="12">
        <v>21</v>
      </c>
      <c r="K481" s="3">
        <v>75</v>
      </c>
      <c r="L481" s="14">
        <f t="shared" si="30"/>
        <v>75</v>
      </c>
      <c r="M481" s="12">
        <v>2.7</v>
      </c>
      <c r="N481">
        <v>1</v>
      </c>
      <c r="O481">
        <v>16</v>
      </c>
      <c r="P481" s="1">
        <f t="shared" si="31"/>
        <v>0.16</v>
      </c>
    </row>
    <row r="482" spans="1:16" x14ac:dyDescent="0.35">
      <c r="A482" t="s">
        <v>1037</v>
      </c>
      <c r="B482" t="s">
        <v>1038</v>
      </c>
      <c r="C482" t="str">
        <f t="shared" si="28"/>
        <v>Craig Levine</v>
      </c>
      <c r="D482" t="s">
        <v>94</v>
      </c>
      <c r="E482" t="str">
        <f t="shared" si="29"/>
        <v>Male</v>
      </c>
      <c r="F482" s="12">
        <v>59</v>
      </c>
      <c r="G482" t="s">
        <v>131</v>
      </c>
      <c r="H482" s="12" t="s">
        <v>132</v>
      </c>
      <c r="I482" t="s">
        <v>75</v>
      </c>
      <c r="J482" s="12">
        <v>13</v>
      </c>
      <c r="K482" s="3">
        <v>40</v>
      </c>
      <c r="L482" s="14">
        <f t="shared" si="30"/>
        <v>40</v>
      </c>
      <c r="M482" s="12">
        <v>2.4</v>
      </c>
      <c r="N482">
        <v>1</v>
      </c>
      <c r="O482">
        <v>65</v>
      </c>
      <c r="P482" s="1">
        <f t="shared" si="31"/>
        <v>0.65</v>
      </c>
    </row>
    <row r="483" spans="1:16" x14ac:dyDescent="0.35">
      <c r="A483" t="s">
        <v>1039</v>
      </c>
      <c r="B483" t="s">
        <v>1040</v>
      </c>
      <c r="C483" t="str">
        <f t="shared" si="28"/>
        <v>Richard Harvey</v>
      </c>
      <c r="D483" t="s">
        <v>59</v>
      </c>
      <c r="E483" t="str">
        <f t="shared" si="29"/>
        <v>Male</v>
      </c>
      <c r="F483" s="12">
        <v>41</v>
      </c>
      <c r="G483" t="s">
        <v>64</v>
      </c>
      <c r="H483" s="12" t="s">
        <v>22</v>
      </c>
      <c r="I483" t="s">
        <v>35</v>
      </c>
      <c r="J483" s="12">
        <v>11</v>
      </c>
      <c r="K483" s="3">
        <v>40</v>
      </c>
      <c r="L483" s="14">
        <f t="shared" si="30"/>
        <v>40</v>
      </c>
      <c r="M483" s="12">
        <v>1.9</v>
      </c>
      <c r="N483">
        <v>1</v>
      </c>
      <c r="O483" s="1">
        <v>0.94</v>
      </c>
      <c r="P483" s="1">
        <f t="shared" si="31"/>
        <v>0.94</v>
      </c>
    </row>
    <row r="484" spans="1:16" x14ac:dyDescent="0.35">
      <c r="A484" t="s">
        <v>1041</v>
      </c>
      <c r="B484" t="s">
        <v>1042</v>
      </c>
      <c r="C484" t="str">
        <f t="shared" si="28"/>
        <v>Bonnie Sherman</v>
      </c>
      <c r="D484" t="s">
        <v>38</v>
      </c>
      <c r="E484" t="str">
        <f t="shared" si="29"/>
        <v>Female</v>
      </c>
      <c r="F484" s="12">
        <v>41</v>
      </c>
      <c r="G484" t="s">
        <v>41</v>
      </c>
      <c r="H484" s="12" t="s">
        <v>42</v>
      </c>
      <c r="I484" t="s">
        <v>23</v>
      </c>
      <c r="J484" s="12">
        <v>11</v>
      </c>
      <c r="K484" s="3">
        <v>20</v>
      </c>
      <c r="L484" s="14">
        <f t="shared" si="30"/>
        <v>20</v>
      </c>
      <c r="M484" s="12">
        <v>3.6</v>
      </c>
      <c r="N484">
        <v>1</v>
      </c>
      <c r="O484" s="1">
        <v>0.69</v>
      </c>
      <c r="P484" s="1">
        <f t="shared" si="31"/>
        <v>0.69</v>
      </c>
    </row>
    <row r="485" spans="1:16" x14ac:dyDescent="0.35">
      <c r="A485" t="s">
        <v>1043</v>
      </c>
      <c r="B485" t="s">
        <v>1044</v>
      </c>
      <c r="C485" t="str">
        <f t="shared" si="28"/>
        <v>Keith Trujillo</v>
      </c>
      <c r="D485" t="s">
        <v>27</v>
      </c>
      <c r="E485" t="str">
        <f t="shared" si="29"/>
        <v>Male</v>
      </c>
      <c r="F485" s="12">
        <v>25</v>
      </c>
      <c r="G485" t="s">
        <v>41</v>
      </c>
      <c r="H485" s="12" t="s">
        <v>42</v>
      </c>
      <c r="I485" t="s">
        <v>23</v>
      </c>
      <c r="J485" s="12">
        <v>11</v>
      </c>
      <c r="K485" s="3">
        <v>50</v>
      </c>
      <c r="L485" s="14">
        <f t="shared" si="30"/>
        <v>50</v>
      </c>
      <c r="M485" s="12">
        <v>2.9</v>
      </c>
      <c r="N485">
        <v>1</v>
      </c>
      <c r="O485" s="1">
        <v>0.65</v>
      </c>
      <c r="P485" s="1">
        <f t="shared" si="31"/>
        <v>0.65</v>
      </c>
    </row>
    <row r="486" spans="1:16" x14ac:dyDescent="0.35">
      <c r="A486" t="s">
        <v>1045</v>
      </c>
      <c r="B486" t="s">
        <v>1046</v>
      </c>
      <c r="C486" t="str">
        <f t="shared" si="28"/>
        <v>Corey Combs</v>
      </c>
      <c r="D486" t="s">
        <v>27</v>
      </c>
      <c r="E486" t="str">
        <f t="shared" si="29"/>
        <v>Male</v>
      </c>
      <c r="F486" s="12">
        <v>31</v>
      </c>
      <c r="G486" t="s">
        <v>135</v>
      </c>
      <c r="H486" s="12" t="s">
        <v>136</v>
      </c>
      <c r="I486" t="s">
        <v>23</v>
      </c>
      <c r="J486" s="12">
        <v>2</v>
      </c>
      <c r="K486" s="3">
        <v>75</v>
      </c>
      <c r="L486" s="14">
        <f t="shared" si="30"/>
        <v>75</v>
      </c>
      <c r="M486" s="12">
        <v>2.8</v>
      </c>
      <c r="N486">
        <v>0</v>
      </c>
      <c r="O486" s="1">
        <v>0.6</v>
      </c>
      <c r="P486" s="1">
        <f t="shared" si="31"/>
        <v>0.6</v>
      </c>
    </row>
    <row r="487" spans="1:16" x14ac:dyDescent="0.35">
      <c r="A487" t="s">
        <v>1047</v>
      </c>
      <c r="B487" t="s">
        <v>1048</v>
      </c>
      <c r="C487" t="str">
        <f t="shared" si="28"/>
        <v>Antonio King</v>
      </c>
      <c r="D487" t="s">
        <v>59</v>
      </c>
      <c r="E487" t="str">
        <f t="shared" si="29"/>
        <v>Male</v>
      </c>
      <c r="F487" s="12">
        <v>40</v>
      </c>
      <c r="G487" t="s">
        <v>60</v>
      </c>
      <c r="H487" s="12" t="s">
        <v>61</v>
      </c>
      <c r="I487" t="s">
        <v>86</v>
      </c>
      <c r="J487" s="12">
        <v>12</v>
      </c>
      <c r="K487" s="3">
        <v>75</v>
      </c>
      <c r="L487" s="14">
        <f t="shared" si="30"/>
        <v>75</v>
      </c>
      <c r="M487" s="12">
        <v>2.6</v>
      </c>
      <c r="N487">
        <v>0</v>
      </c>
      <c r="O487">
        <v>16</v>
      </c>
      <c r="P487" s="1">
        <f t="shared" si="31"/>
        <v>0.16</v>
      </c>
    </row>
    <row r="488" spans="1:16" x14ac:dyDescent="0.35">
      <c r="A488" t="s">
        <v>1049</v>
      </c>
      <c r="B488" t="s">
        <v>669</v>
      </c>
      <c r="C488" t="str">
        <f t="shared" si="28"/>
        <v>Amy Lee</v>
      </c>
      <c r="D488" t="s">
        <v>38</v>
      </c>
      <c r="E488" t="str">
        <f t="shared" si="29"/>
        <v>Female</v>
      </c>
      <c r="F488" s="12">
        <v>48</v>
      </c>
      <c r="G488" t="s">
        <v>120</v>
      </c>
      <c r="H488" s="12" t="s">
        <v>121</v>
      </c>
      <c r="I488" t="s">
        <v>17</v>
      </c>
      <c r="J488" s="12">
        <v>13</v>
      </c>
      <c r="K488" s="3">
        <v>100</v>
      </c>
      <c r="L488" s="14">
        <f t="shared" si="30"/>
        <v>100</v>
      </c>
      <c r="M488" s="12">
        <v>2.7</v>
      </c>
      <c r="N488">
        <v>1</v>
      </c>
      <c r="O488" s="1">
        <v>0.62</v>
      </c>
      <c r="P488" s="1">
        <f t="shared" si="31"/>
        <v>0.62</v>
      </c>
    </row>
    <row r="489" spans="1:16" x14ac:dyDescent="0.35">
      <c r="A489" t="s">
        <v>1050</v>
      </c>
      <c r="B489" t="s">
        <v>1051</v>
      </c>
      <c r="C489" t="str">
        <f t="shared" si="28"/>
        <v>Jennifer Rogers</v>
      </c>
      <c r="D489" t="s">
        <v>38</v>
      </c>
      <c r="E489" t="str">
        <f t="shared" si="29"/>
        <v>Female</v>
      </c>
      <c r="F489" s="12">
        <v>24</v>
      </c>
      <c r="G489" t="s">
        <v>149</v>
      </c>
      <c r="H489" s="12" t="s">
        <v>150</v>
      </c>
      <c r="I489" t="s">
        <v>23</v>
      </c>
      <c r="J489" s="12">
        <v>6</v>
      </c>
      <c r="K489" s="3">
        <v>30</v>
      </c>
      <c r="L489" s="14">
        <f t="shared" si="30"/>
        <v>30</v>
      </c>
      <c r="M489" s="12">
        <v>1.1000000000000001</v>
      </c>
      <c r="N489">
        <v>1</v>
      </c>
      <c r="O489">
        <v>16</v>
      </c>
      <c r="P489" s="1">
        <f t="shared" si="31"/>
        <v>0.16</v>
      </c>
    </row>
    <row r="490" spans="1:16" x14ac:dyDescent="0.35">
      <c r="A490" t="s">
        <v>1052</v>
      </c>
      <c r="B490" t="s">
        <v>1053</v>
      </c>
      <c r="C490" t="str">
        <f t="shared" si="28"/>
        <v>Jeffrey Cooper</v>
      </c>
      <c r="D490" t="s">
        <v>59</v>
      </c>
      <c r="E490" t="str">
        <f t="shared" si="29"/>
        <v>Male</v>
      </c>
      <c r="F490" s="12">
        <v>33</v>
      </c>
      <c r="G490" t="s">
        <v>47</v>
      </c>
      <c r="H490" s="12" t="s">
        <v>48</v>
      </c>
      <c r="I490" t="s">
        <v>35</v>
      </c>
      <c r="J490" s="12">
        <v>10</v>
      </c>
      <c r="K490" s="3" t="s">
        <v>106</v>
      </c>
      <c r="L490" s="14" t="str">
        <f t="shared" si="30"/>
        <v>$ 30</v>
      </c>
      <c r="M490" s="12">
        <v>0</v>
      </c>
      <c r="N490">
        <v>1</v>
      </c>
      <c r="O490" s="1">
        <v>0.89</v>
      </c>
      <c r="P490" s="1">
        <f t="shared" si="31"/>
        <v>0.89</v>
      </c>
    </row>
    <row r="491" spans="1:16" x14ac:dyDescent="0.35">
      <c r="A491" t="s">
        <v>1054</v>
      </c>
      <c r="B491" t="s">
        <v>1055</v>
      </c>
      <c r="C491" t="str">
        <f t="shared" si="28"/>
        <v>Allison Williams</v>
      </c>
      <c r="D491" t="s">
        <v>74</v>
      </c>
      <c r="E491" t="str">
        <f t="shared" si="29"/>
        <v>Female</v>
      </c>
      <c r="F491" s="12">
        <v>43</v>
      </c>
      <c r="G491" t="s">
        <v>104</v>
      </c>
      <c r="H491" s="12" t="s">
        <v>105</v>
      </c>
      <c r="I491" t="s">
        <v>70</v>
      </c>
      <c r="J491" s="12">
        <v>2</v>
      </c>
      <c r="K491" s="3">
        <v>40</v>
      </c>
      <c r="L491" s="14">
        <f t="shared" si="30"/>
        <v>40</v>
      </c>
      <c r="M491" s="12">
        <v>0</v>
      </c>
      <c r="N491">
        <v>1</v>
      </c>
      <c r="O491" s="1">
        <v>0.89</v>
      </c>
      <c r="P491" s="1">
        <f t="shared" si="31"/>
        <v>0.89</v>
      </c>
    </row>
    <row r="492" spans="1:16" x14ac:dyDescent="0.35">
      <c r="A492" t="s">
        <v>1056</v>
      </c>
      <c r="B492" t="s">
        <v>1057</v>
      </c>
      <c r="C492" t="str">
        <f t="shared" si="28"/>
        <v>Raymond Sherman</v>
      </c>
      <c r="D492" t="s">
        <v>27</v>
      </c>
      <c r="E492" t="str">
        <f t="shared" si="29"/>
        <v>Male</v>
      </c>
      <c r="F492" s="12">
        <v>43</v>
      </c>
      <c r="G492" t="s">
        <v>185</v>
      </c>
      <c r="H492" s="12" t="s">
        <v>69</v>
      </c>
      <c r="I492" t="s">
        <v>17</v>
      </c>
      <c r="J492" s="12">
        <v>4</v>
      </c>
      <c r="K492" s="3">
        <v>50</v>
      </c>
      <c r="L492" s="14">
        <f t="shared" si="30"/>
        <v>50</v>
      </c>
      <c r="M492" s="12">
        <v>0</v>
      </c>
      <c r="N492">
        <v>1</v>
      </c>
      <c r="O492" s="1">
        <v>1</v>
      </c>
      <c r="P492" s="1">
        <f t="shared" si="31"/>
        <v>0.01</v>
      </c>
    </row>
    <row r="493" spans="1:16" x14ac:dyDescent="0.35">
      <c r="A493" t="s">
        <v>1058</v>
      </c>
      <c r="B493" t="s">
        <v>1059</v>
      </c>
      <c r="C493" t="str">
        <f t="shared" si="28"/>
        <v>Jennifer Nelson</v>
      </c>
      <c r="D493" t="s">
        <v>20</v>
      </c>
      <c r="E493" t="str">
        <f t="shared" si="29"/>
        <v>Female</v>
      </c>
      <c r="F493" s="12">
        <v>33</v>
      </c>
      <c r="G493" t="s">
        <v>21</v>
      </c>
      <c r="H493" s="12" t="s">
        <v>22</v>
      </c>
      <c r="I493" t="s">
        <v>35</v>
      </c>
      <c r="J493" s="12">
        <v>11</v>
      </c>
      <c r="K493" s="3">
        <v>40</v>
      </c>
      <c r="L493" s="14">
        <f t="shared" si="30"/>
        <v>40</v>
      </c>
      <c r="M493" s="12">
        <v>4.5999999999999996</v>
      </c>
      <c r="N493">
        <v>1</v>
      </c>
      <c r="O493">
        <v>16</v>
      </c>
      <c r="P493" s="1">
        <f t="shared" si="31"/>
        <v>0.16</v>
      </c>
    </row>
    <row r="494" spans="1:16" x14ac:dyDescent="0.35">
      <c r="A494" t="s">
        <v>1060</v>
      </c>
      <c r="B494" t="s">
        <v>1061</v>
      </c>
      <c r="C494" t="str">
        <f t="shared" si="28"/>
        <v>Jennifer Carter</v>
      </c>
      <c r="D494" t="s">
        <v>20</v>
      </c>
      <c r="E494" t="str">
        <f t="shared" si="29"/>
        <v>Female</v>
      </c>
      <c r="F494" s="12">
        <v>49</v>
      </c>
      <c r="G494" t="s">
        <v>120</v>
      </c>
      <c r="H494" s="12" t="s">
        <v>121</v>
      </c>
      <c r="I494" t="s">
        <v>70</v>
      </c>
      <c r="J494" s="12">
        <v>14</v>
      </c>
      <c r="K494" s="3">
        <v>40</v>
      </c>
      <c r="L494" s="14">
        <f t="shared" si="30"/>
        <v>40</v>
      </c>
      <c r="M494" s="12">
        <v>1.5</v>
      </c>
      <c r="N494">
        <v>1</v>
      </c>
      <c r="O494" s="1">
        <v>0.6</v>
      </c>
      <c r="P494" s="1">
        <f t="shared" si="31"/>
        <v>0.6</v>
      </c>
    </row>
    <row r="495" spans="1:16" x14ac:dyDescent="0.35">
      <c r="A495" t="s">
        <v>1062</v>
      </c>
      <c r="B495" t="s">
        <v>1063</v>
      </c>
      <c r="C495" t="str">
        <f t="shared" si="28"/>
        <v>Todd Williams</v>
      </c>
      <c r="D495" t="s">
        <v>27</v>
      </c>
      <c r="E495" t="str">
        <f t="shared" si="29"/>
        <v>Male</v>
      </c>
      <c r="F495" s="12">
        <v>55</v>
      </c>
      <c r="G495" t="s">
        <v>124</v>
      </c>
      <c r="H495" s="12" t="s">
        <v>22</v>
      </c>
      <c r="I495" t="s">
        <v>70</v>
      </c>
      <c r="J495" s="12">
        <v>10</v>
      </c>
      <c r="K495" s="3">
        <v>40</v>
      </c>
      <c r="L495" s="14">
        <f t="shared" si="30"/>
        <v>40</v>
      </c>
      <c r="M495" s="12">
        <v>2</v>
      </c>
      <c r="N495">
        <v>1</v>
      </c>
      <c r="O495" s="1">
        <v>0.85</v>
      </c>
      <c r="P495" s="1">
        <f t="shared" si="31"/>
        <v>0.85</v>
      </c>
    </row>
    <row r="496" spans="1:16" x14ac:dyDescent="0.35">
      <c r="A496" t="s">
        <v>1064</v>
      </c>
      <c r="B496" t="s">
        <v>1065</v>
      </c>
      <c r="C496" t="str">
        <f t="shared" si="28"/>
        <v>Emily Horton</v>
      </c>
      <c r="D496" t="s">
        <v>38</v>
      </c>
      <c r="E496" t="str">
        <f t="shared" si="29"/>
        <v>Female</v>
      </c>
      <c r="F496" s="12">
        <v>33</v>
      </c>
      <c r="G496" t="s">
        <v>109</v>
      </c>
      <c r="H496" s="12" t="s">
        <v>110</v>
      </c>
      <c r="I496" t="s">
        <v>30</v>
      </c>
      <c r="J496" s="12">
        <v>3</v>
      </c>
      <c r="K496" s="3">
        <v>40</v>
      </c>
      <c r="L496" s="14">
        <f t="shared" si="30"/>
        <v>40</v>
      </c>
      <c r="M496" s="12">
        <v>1.6</v>
      </c>
      <c r="N496">
        <v>1</v>
      </c>
      <c r="O496" s="1">
        <v>0.83</v>
      </c>
      <c r="P496" s="1">
        <f t="shared" si="31"/>
        <v>0.83</v>
      </c>
    </row>
    <row r="497" spans="1:16" x14ac:dyDescent="0.35">
      <c r="A497" t="s">
        <v>1066</v>
      </c>
      <c r="B497" t="s">
        <v>1067</v>
      </c>
      <c r="C497" t="str">
        <f t="shared" si="28"/>
        <v>Lance Lester</v>
      </c>
      <c r="D497" t="s">
        <v>94</v>
      </c>
      <c r="E497" t="str">
        <f t="shared" si="29"/>
        <v>Male</v>
      </c>
      <c r="F497" s="12">
        <v>32</v>
      </c>
      <c r="G497" t="s">
        <v>68</v>
      </c>
      <c r="H497" s="12" t="s">
        <v>69</v>
      </c>
      <c r="I497" t="s">
        <v>43</v>
      </c>
      <c r="J497" s="12">
        <v>3</v>
      </c>
      <c r="K497" s="3">
        <v>30</v>
      </c>
      <c r="L497" s="14">
        <f t="shared" si="30"/>
        <v>30</v>
      </c>
      <c r="M497" s="12">
        <v>1.5</v>
      </c>
      <c r="N497">
        <v>0</v>
      </c>
      <c r="O497" s="1">
        <v>0.96</v>
      </c>
      <c r="P497" s="1">
        <f t="shared" si="31"/>
        <v>0.96</v>
      </c>
    </row>
    <row r="498" spans="1:16" x14ac:dyDescent="0.35">
      <c r="A498" t="s">
        <v>1068</v>
      </c>
      <c r="B498" t="s">
        <v>1069</v>
      </c>
      <c r="C498" t="str">
        <f t="shared" si="28"/>
        <v>Kevin Flores</v>
      </c>
      <c r="D498" t="s">
        <v>27</v>
      </c>
      <c r="E498" t="str">
        <f t="shared" si="29"/>
        <v>Male</v>
      </c>
      <c r="F498" s="12">
        <v>58</v>
      </c>
      <c r="G498" t="s">
        <v>41</v>
      </c>
      <c r="H498" s="12" t="s">
        <v>42</v>
      </c>
      <c r="I498" t="s">
        <v>17</v>
      </c>
      <c r="J498" s="12">
        <v>33</v>
      </c>
      <c r="K498" s="3">
        <v>40</v>
      </c>
      <c r="L498" s="14">
        <f t="shared" si="30"/>
        <v>40</v>
      </c>
      <c r="M498" s="12">
        <v>4.0999999999999996</v>
      </c>
      <c r="N498">
        <v>1</v>
      </c>
      <c r="O498" s="1">
        <v>0.83</v>
      </c>
      <c r="P498" s="1">
        <f t="shared" si="31"/>
        <v>0.83</v>
      </c>
    </row>
    <row r="499" spans="1:16" x14ac:dyDescent="0.35">
      <c r="A499" t="s">
        <v>1070</v>
      </c>
      <c r="B499" t="s">
        <v>1071</v>
      </c>
      <c r="C499" t="str">
        <f t="shared" si="28"/>
        <v>Aaron Stewart Phd</v>
      </c>
      <c r="D499" t="s">
        <v>27</v>
      </c>
      <c r="E499" t="str">
        <f t="shared" si="29"/>
        <v>Male</v>
      </c>
      <c r="F499" s="12">
        <v>49</v>
      </c>
      <c r="G499" t="s">
        <v>47</v>
      </c>
      <c r="H499" s="12" t="s">
        <v>48</v>
      </c>
      <c r="I499" t="s">
        <v>49</v>
      </c>
      <c r="J499" s="12">
        <v>24</v>
      </c>
      <c r="K499" s="3">
        <v>100</v>
      </c>
      <c r="L499" s="14">
        <f t="shared" si="30"/>
        <v>100</v>
      </c>
      <c r="M499" s="12">
        <v>4.7</v>
      </c>
      <c r="N499">
        <v>0</v>
      </c>
      <c r="O499" s="1">
        <v>0.6</v>
      </c>
      <c r="P499" s="1">
        <f t="shared" si="31"/>
        <v>0.6</v>
      </c>
    </row>
    <row r="500" spans="1:16" x14ac:dyDescent="0.35">
      <c r="A500" t="s">
        <v>1072</v>
      </c>
      <c r="B500" t="s">
        <v>1073</v>
      </c>
      <c r="C500" t="str">
        <f t="shared" si="28"/>
        <v>Robin Moore</v>
      </c>
      <c r="D500" t="s">
        <v>74</v>
      </c>
      <c r="E500" t="str">
        <f t="shared" si="29"/>
        <v>Female</v>
      </c>
      <c r="F500" s="12">
        <v>22</v>
      </c>
      <c r="G500" t="s">
        <v>120</v>
      </c>
      <c r="H500" s="12" t="s">
        <v>121</v>
      </c>
      <c r="I500" t="s">
        <v>70</v>
      </c>
      <c r="J500" s="12">
        <v>3</v>
      </c>
      <c r="K500" s="3" t="s">
        <v>24</v>
      </c>
      <c r="L500" s="14" t="str">
        <f t="shared" si="30"/>
        <v>$ 100</v>
      </c>
      <c r="M500" s="12">
        <v>3.6</v>
      </c>
      <c r="N500">
        <v>1</v>
      </c>
      <c r="O500" s="1">
        <v>0.78</v>
      </c>
      <c r="P500" s="1">
        <f t="shared" si="31"/>
        <v>0.78</v>
      </c>
    </row>
    <row r="501" spans="1:16" x14ac:dyDescent="0.35">
      <c r="A501" t="s">
        <v>1074</v>
      </c>
      <c r="B501" t="s">
        <v>1075</v>
      </c>
      <c r="C501" t="str">
        <f t="shared" si="28"/>
        <v>Suzanne Ingram</v>
      </c>
      <c r="D501" t="s">
        <v>38</v>
      </c>
      <c r="E501" t="str">
        <f t="shared" si="29"/>
        <v>Female</v>
      </c>
      <c r="F501" s="12">
        <v>40</v>
      </c>
      <c r="G501" t="s">
        <v>135</v>
      </c>
      <c r="H501" s="12" t="s">
        <v>136</v>
      </c>
      <c r="I501" t="s">
        <v>35</v>
      </c>
      <c r="J501" s="12">
        <v>11</v>
      </c>
      <c r="K501" s="3">
        <v>20</v>
      </c>
      <c r="L501" s="14">
        <f t="shared" si="30"/>
        <v>20</v>
      </c>
      <c r="M501" s="12">
        <v>1.8</v>
      </c>
      <c r="N501">
        <v>1</v>
      </c>
      <c r="O501" s="1">
        <v>0.9</v>
      </c>
      <c r="P501" s="1">
        <f t="shared" si="31"/>
        <v>0.9</v>
      </c>
    </row>
    <row r="502" spans="1:16" x14ac:dyDescent="0.35">
      <c r="A502" t="s">
        <v>1076</v>
      </c>
      <c r="B502" t="s">
        <v>1077</v>
      </c>
      <c r="C502" t="str">
        <f t="shared" si="28"/>
        <v>Jacob Mclaughlin</v>
      </c>
      <c r="D502" t="s">
        <v>27</v>
      </c>
      <c r="E502" t="str">
        <f t="shared" si="29"/>
        <v>Male</v>
      </c>
      <c r="F502" s="12">
        <v>55</v>
      </c>
      <c r="G502" t="s">
        <v>21</v>
      </c>
      <c r="H502" s="12" t="s">
        <v>22</v>
      </c>
      <c r="I502" t="s">
        <v>49</v>
      </c>
      <c r="J502" s="12">
        <v>7</v>
      </c>
      <c r="K502" s="3" t="s">
        <v>24</v>
      </c>
      <c r="L502" s="14" t="str">
        <f t="shared" si="30"/>
        <v>$ 100</v>
      </c>
      <c r="M502" s="12">
        <v>2.1</v>
      </c>
      <c r="N502">
        <v>0</v>
      </c>
      <c r="O502" s="1">
        <v>0.66</v>
      </c>
      <c r="P502" s="1">
        <f t="shared" si="31"/>
        <v>0.66</v>
      </c>
    </row>
    <row r="503" spans="1:16" x14ac:dyDescent="0.35">
      <c r="A503" t="s">
        <v>1078</v>
      </c>
      <c r="B503" t="s">
        <v>1079</v>
      </c>
      <c r="C503" t="str">
        <f t="shared" si="28"/>
        <v>Michael Nunez</v>
      </c>
      <c r="D503" t="s">
        <v>27</v>
      </c>
      <c r="E503" t="str">
        <f t="shared" si="29"/>
        <v>Male</v>
      </c>
      <c r="F503" s="12">
        <v>32</v>
      </c>
      <c r="G503" t="s">
        <v>174</v>
      </c>
      <c r="H503" s="12" t="s">
        <v>69</v>
      </c>
      <c r="I503" t="s">
        <v>86</v>
      </c>
      <c r="J503" s="12">
        <v>1</v>
      </c>
      <c r="K503" s="3">
        <v>50</v>
      </c>
      <c r="L503" s="14">
        <f t="shared" si="30"/>
        <v>50</v>
      </c>
      <c r="M503" s="12">
        <v>3</v>
      </c>
      <c r="N503">
        <v>1</v>
      </c>
      <c r="O503" s="1">
        <v>0.7</v>
      </c>
      <c r="P503" s="1">
        <f t="shared" si="31"/>
        <v>0.7</v>
      </c>
    </row>
    <row r="504" spans="1:16" x14ac:dyDescent="0.35">
      <c r="A504" t="s">
        <v>1080</v>
      </c>
      <c r="B504" t="s">
        <v>1081</v>
      </c>
      <c r="C504" t="str">
        <f t="shared" si="28"/>
        <v>Isabel Brown</v>
      </c>
      <c r="D504" t="s">
        <v>20</v>
      </c>
      <c r="E504" t="str">
        <f t="shared" si="29"/>
        <v>Female</v>
      </c>
      <c r="F504" s="12">
        <v>21</v>
      </c>
      <c r="G504" t="s">
        <v>82</v>
      </c>
      <c r="H504" s="12" t="s">
        <v>83</v>
      </c>
      <c r="I504" t="s">
        <v>70</v>
      </c>
      <c r="J504" s="12">
        <v>11</v>
      </c>
      <c r="K504" s="3" t="s">
        <v>106</v>
      </c>
      <c r="L504" s="14" t="str">
        <f t="shared" si="30"/>
        <v>$ 30</v>
      </c>
      <c r="M504" s="12">
        <v>4.2</v>
      </c>
      <c r="N504">
        <v>1</v>
      </c>
      <c r="O504" s="1">
        <v>0.79</v>
      </c>
      <c r="P504" s="1">
        <f t="shared" si="31"/>
        <v>0.79</v>
      </c>
    </row>
    <row r="505" spans="1:16" x14ac:dyDescent="0.35">
      <c r="A505" t="s">
        <v>1082</v>
      </c>
      <c r="B505" t="s">
        <v>1083</v>
      </c>
      <c r="C505" t="str">
        <f t="shared" si="28"/>
        <v>Michael Stein</v>
      </c>
      <c r="D505" t="s">
        <v>27</v>
      </c>
      <c r="E505" t="str">
        <f t="shared" si="29"/>
        <v>Male</v>
      </c>
      <c r="F505" s="12">
        <v>23</v>
      </c>
      <c r="G505" t="s">
        <v>109</v>
      </c>
      <c r="H505" s="12" t="s">
        <v>110</v>
      </c>
      <c r="I505" t="s">
        <v>17</v>
      </c>
      <c r="J505" s="12">
        <v>1</v>
      </c>
      <c r="K505" s="3">
        <v>40</v>
      </c>
      <c r="L505" s="14">
        <f t="shared" si="30"/>
        <v>40</v>
      </c>
      <c r="M505" s="12">
        <v>0</v>
      </c>
      <c r="N505">
        <v>0</v>
      </c>
      <c r="O505" s="1">
        <v>0.64</v>
      </c>
      <c r="P505" s="1">
        <f t="shared" si="31"/>
        <v>0.64</v>
      </c>
    </row>
    <row r="506" spans="1:16" x14ac:dyDescent="0.35">
      <c r="A506" t="s">
        <v>1084</v>
      </c>
      <c r="B506" t="s">
        <v>1085</v>
      </c>
      <c r="C506" t="str">
        <f t="shared" si="28"/>
        <v>Robert Stone</v>
      </c>
      <c r="D506" t="s">
        <v>94</v>
      </c>
      <c r="E506" t="str">
        <f t="shared" si="29"/>
        <v>Male</v>
      </c>
      <c r="F506" s="12">
        <v>21</v>
      </c>
      <c r="G506" t="s">
        <v>64</v>
      </c>
      <c r="H506" s="12" t="s">
        <v>22</v>
      </c>
      <c r="I506" t="s">
        <v>23</v>
      </c>
      <c r="J506" s="12">
        <v>1</v>
      </c>
      <c r="K506" s="3" t="s">
        <v>106</v>
      </c>
      <c r="L506" s="14" t="str">
        <f t="shared" si="30"/>
        <v>$ 30</v>
      </c>
      <c r="M506" s="12">
        <v>1</v>
      </c>
      <c r="N506">
        <v>0</v>
      </c>
      <c r="O506" s="1">
        <v>0.81</v>
      </c>
      <c r="P506" s="1">
        <f t="shared" si="31"/>
        <v>0.81</v>
      </c>
    </row>
    <row r="507" spans="1:16" x14ac:dyDescent="0.35">
      <c r="A507" t="s">
        <v>1086</v>
      </c>
      <c r="B507" t="s">
        <v>1087</v>
      </c>
      <c r="C507" t="str">
        <f t="shared" si="28"/>
        <v>Dillon Henry</v>
      </c>
      <c r="D507" t="s">
        <v>94</v>
      </c>
      <c r="E507" t="str">
        <f t="shared" si="29"/>
        <v>Male</v>
      </c>
      <c r="F507" s="12">
        <v>31</v>
      </c>
      <c r="G507" t="s">
        <v>68</v>
      </c>
      <c r="H507" s="12" t="s">
        <v>69</v>
      </c>
      <c r="I507" t="s">
        <v>43</v>
      </c>
      <c r="J507" s="12">
        <v>7</v>
      </c>
      <c r="K507" s="3">
        <v>75</v>
      </c>
      <c r="L507" s="14">
        <f t="shared" si="30"/>
        <v>75</v>
      </c>
      <c r="M507" s="12">
        <v>4.4000000000000004</v>
      </c>
      <c r="N507">
        <v>0</v>
      </c>
      <c r="O507" s="1">
        <v>0.83</v>
      </c>
      <c r="P507" s="1">
        <f t="shared" si="31"/>
        <v>0.83</v>
      </c>
    </row>
    <row r="508" spans="1:16" x14ac:dyDescent="0.35">
      <c r="A508" t="s">
        <v>1088</v>
      </c>
      <c r="B508" t="s">
        <v>1089</v>
      </c>
      <c r="C508" t="str">
        <f t="shared" si="28"/>
        <v>James Todd</v>
      </c>
      <c r="D508" t="s">
        <v>27</v>
      </c>
      <c r="E508" t="str">
        <f t="shared" si="29"/>
        <v>Male</v>
      </c>
      <c r="F508" s="12">
        <v>21</v>
      </c>
      <c r="G508" t="s">
        <v>174</v>
      </c>
      <c r="H508" s="12" t="s">
        <v>69</v>
      </c>
      <c r="I508" t="s">
        <v>17</v>
      </c>
      <c r="J508" s="12">
        <v>11</v>
      </c>
      <c r="K508" s="3">
        <v>40</v>
      </c>
      <c r="L508" s="14">
        <f t="shared" si="30"/>
        <v>40</v>
      </c>
      <c r="M508" s="12">
        <v>4</v>
      </c>
      <c r="N508">
        <v>0</v>
      </c>
      <c r="O508" s="1">
        <v>0.91</v>
      </c>
      <c r="P508" s="1">
        <f t="shared" si="31"/>
        <v>0.91</v>
      </c>
    </row>
    <row r="509" spans="1:16" x14ac:dyDescent="0.35">
      <c r="A509" t="s">
        <v>1090</v>
      </c>
      <c r="B509" t="s">
        <v>1091</v>
      </c>
      <c r="C509" t="str">
        <f t="shared" si="28"/>
        <v>Clifford Moore Md</v>
      </c>
      <c r="D509" t="s">
        <v>27</v>
      </c>
      <c r="E509" t="str">
        <f t="shared" si="29"/>
        <v>Male</v>
      </c>
      <c r="F509" s="12">
        <v>33</v>
      </c>
      <c r="G509" t="s">
        <v>64</v>
      </c>
      <c r="H509" s="12" t="s">
        <v>22</v>
      </c>
      <c r="I509" t="s">
        <v>75</v>
      </c>
      <c r="J509" s="12">
        <v>6</v>
      </c>
      <c r="K509" s="3" t="s">
        <v>95</v>
      </c>
      <c r="L509" s="14" t="str">
        <f t="shared" si="30"/>
        <v>$ 50</v>
      </c>
      <c r="M509" s="12">
        <v>3.1</v>
      </c>
      <c r="N509">
        <v>0</v>
      </c>
      <c r="O509">
        <v>16</v>
      </c>
      <c r="P509" s="1">
        <f t="shared" si="31"/>
        <v>0.16</v>
      </c>
    </row>
    <row r="510" spans="1:16" x14ac:dyDescent="0.35">
      <c r="A510" t="s">
        <v>1092</v>
      </c>
      <c r="B510" t="s">
        <v>1093</v>
      </c>
      <c r="C510" t="str">
        <f t="shared" si="28"/>
        <v>John Rios</v>
      </c>
      <c r="D510" t="s">
        <v>27</v>
      </c>
      <c r="E510" t="str">
        <f t="shared" si="29"/>
        <v>Male</v>
      </c>
      <c r="F510" s="12">
        <v>57</v>
      </c>
      <c r="G510" t="s">
        <v>104</v>
      </c>
      <c r="H510" s="12" t="s">
        <v>105</v>
      </c>
      <c r="I510" t="s">
        <v>35</v>
      </c>
      <c r="J510" s="12">
        <v>5</v>
      </c>
      <c r="K510" s="3">
        <v>75</v>
      </c>
      <c r="L510" s="14">
        <f t="shared" si="30"/>
        <v>75</v>
      </c>
      <c r="M510" s="12">
        <v>1.1000000000000001</v>
      </c>
      <c r="N510">
        <v>1</v>
      </c>
      <c r="O510" s="1">
        <v>0.77</v>
      </c>
      <c r="P510" s="1">
        <f t="shared" si="31"/>
        <v>0.77</v>
      </c>
    </row>
    <row r="511" spans="1:16" x14ac:dyDescent="0.35">
      <c r="A511" t="s">
        <v>1094</v>
      </c>
      <c r="B511" t="s">
        <v>1095</v>
      </c>
      <c r="C511" t="str">
        <f t="shared" si="28"/>
        <v>Anthony Gaines</v>
      </c>
      <c r="D511" t="s">
        <v>27</v>
      </c>
      <c r="E511" t="str">
        <f t="shared" si="29"/>
        <v>Male</v>
      </c>
      <c r="F511" s="12">
        <v>52</v>
      </c>
      <c r="G511" t="s">
        <v>56</v>
      </c>
      <c r="H511" s="12" t="s">
        <v>22</v>
      </c>
      <c r="I511" t="s">
        <v>86</v>
      </c>
      <c r="J511" s="12">
        <v>17</v>
      </c>
      <c r="K511" s="3" t="s">
        <v>50</v>
      </c>
      <c r="L511" s="14" t="str">
        <f t="shared" si="30"/>
        <v>$ 75</v>
      </c>
      <c r="M511" s="12">
        <v>0</v>
      </c>
      <c r="N511">
        <v>0</v>
      </c>
      <c r="O511" s="1">
        <v>0.94</v>
      </c>
      <c r="P511" s="1">
        <f t="shared" si="31"/>
        <v>0.94</v>
      </c>
    </row>
    <row r="512" spans="1:16" x14ac:dyDescent="0.35">
      <c r="A512" t="s">
        <v>1096</v>
      </c>
      <c r="B512" t="s">
        <v>1097</v>
      </c>
      <c r="C512" t="str">
        <f t="shared" si="28"/>
        <v>Kristi Brown Dvm</v>
      </c>
      <c r="D512" t="s">
        <v>74</v>
      </c>
      <c r="E512" t="str">
        <f t="shared" si="29"/>
        <v>Female</v>
      </c>
      <c r="F512" s="12">
        <v>21</v>
      </c>
      <c r="G512" t="s">
        <v>28</v>
      </c>
      <c r="H512" s="12" t="s">
        <v>29</v>
      </c>
      <c r="I512" t="s">
        <v>35</v>
      </c>
      <c r="J512" s="12">
        <v>11</v>
      </c>
      <c r="K512" s="3">
        <v>20</v>
      </c>
      <c r="L512" s="14">
        <f t="shared" si="30"/>
        <v>20</v>
      </c>
      <c r="M512" s="12">
        <v>3.8</v>
      </c>
      <c r="N512">
        <v>1</v>
      </c>
      <c r="O512" s="1">
        <v>0.61</v>
      </c>
      <c r="P512" s="1">
        <f t="shared" si="31"/>
        <v>0.61</v>
      </c>
    </row>
    <row r="513" spans="1:16" x14ac:dyDescent="0.35">
      <c r="A513" t="s">
        <v>1098</v>
      </c>
      <c r="B513" t="s">
        <v>1099</v>
      </c>
      <c r="C513" t="str">
        <f t="shared" si="28"/>
        <v>Ashley Odonnell</v>
      </c>
      <c r="D513" t="s">
        <v>20</v>
      </c>
      <c r="E513" t="str">
        <f t="shared" si="29"/>
        <v>Female</v>
      </c>
      <c r="F513" s="12">
        <v>36</v>
      </c>
      <c r="G513" t="s">
        <v>68</v>
      </c>
      <c r="H513" s="12" t="s">
        <v>69</v>
      </c>
      <c r="I513" t="s">
        <v>70</v>
      </c>
      <c r="J513" s="12">
        <v>8</v>
      </c>
      <c r="K513" s="3">
        <v>100</v>
      </c>
      <c r="L513" s="14">
        <f t="shared" si="30"/>
        <v>100</v>
      </c>
      <c r="M513" s="12">
        <v>1.7</v>
      </c>
      <c r="N513">
        <v>0</v>
      </c>
      <c r="O513" s="1">
        <v>0.68</v>
      </c>
      <c r="P513" s="1">
        <f t="shared" si="31"/>
        <v>0.68</v>
      </c>
    </row>
    <row r="514" spans="1:16" x14ac:dyDescent="0.35">
      <c r="A514" t="s">
        <v>1100</v>
      </c>
      <c r="B514" t="s">
        <v>1101</v>
      </c>
      <c r="C514" t="str">
        <f t="shared" si="28"/>
        <v>Ronald Elliott</v>
      </c>
      <c r="D514" t="s">
        <v>27</v>
      </c>
      <c r="E514" t="str">
        <f t="shared" si="29"/>
        <v>Male</v>
      </c>
      <c r="F514" s="12">
        <v>33</v>
      </c>
      <c r="G514" t="s">
        <v>185</v>
      </c>
      <c r="H514" s="12" t="s">
        <v>69</v>
      </c>
      <c r="I514" t="s">
        <v>111</v>
      </c>
      <c r="J514" s="12">
        <v>13</v>
      </c>
      <c r="K514" s="3">
        <v>50</v>
      </c>
      <c r="L514" s="14">
        <f t="shared" si="30"/>
        <v>50</v>
      </c>
      <c r="M514" s="12">
        <v>2.2000000000000002</v>
      </c>
      <c r="N514">
        <v>0</v>
      </c>
      <c r="O514" s="1">
        <v>0.7</v>
      </c>
      <c r="P514" s="1">
        <f t="shared" si="31"/>
        <v>0.7</v>
      </c>
    </row>
    <row r="515" spans="1:16" x14ac:dyDescent="0.35">
      <c r="A515" t="s">
        <v>1102</v>
      </c>
      <c r="B515" t="s">
        <v>1103</v>
      </c>
      <c r="C515" t="str">
        <f t="shared" ref="C515:C578" si="32">PROPER(B515)</f>
        <v>Lorraine Lowery</v>
      </c>
      <c r="D515" t="s">
        <v>38</v>
      </c>
      <c r="E515" t="str">
        <f t="shared" ref="E515:E578" si="33">PROPER(D515)</f>
        <v>Female</v>
      </c>
      <c r="F515" s="12">
        <v>54</v>
      </c>
      <c r="G515" t="s">
        <v>64</v>
      </c>
      <c r="H515" s="12" t="s">
        <v>22</v>
      </c>
      <c r="I515" t="s">
        <v>49</v>
      </c>
      <c r="J515" s="12">
        <v>15</v>
      </c>
      <c r="K515" s="3">
        <v>40</v>
      </c>
      <c r="L515" s="14">
        <f t="shared" ref="L515:L578" si="34">IF(K515="","",IF(LEFT(K515,3)="USD","$"&amp;MID(K515,4,LEN(K515)-3),K515))</f>
        <v>40</v>
      </c>
      <c r="M515" s="12">
        <v>4.0999999999999996</v>
      </c>
      <c r="N515">
        <v>1</v>
      </c>
      <c r="O515">
        <v>71</v>
      </c>
      <c r="P515" s="1">
        <f t="shared" ref="P515:P578" si="35">IF(O515="","",IF(O515&lt;1,O515,O515/100))</f>
        <v>0.71</v>
      </c>
    </row>
    <row r="516" spans="1:16" x14ac:dyDescent="0.35">
      <c r="A516" t="s">
        <v>1104</v>
      </c>
      <c r="B516" t="s">
        <v>1105</v>
      </c>
      <c r="C516" t="str">
        <f t="shared" si="32"/>
        <v>Victoria Chapman</v>
      </c>
      <c r="D516" t="s">
        <v>38</v>
      </c>
      <c r="E516" t="str">
        <f t="shared" si="33"/>
        <v>Female</v>
      </c>
      <c r="F516" s="12">
        <v>33</v>
      </c>
      <c r="G516" t="s">
        <v>56</v>
      </c>
      <c r="H516" s="12" t="s">
        <v>22</v>
      </c>
      <c r="I516" t="s">
        <v>17</v>
      </c>
      <c r="J516" s="12">
        <v>2</v>
      </c>
      <c r="K516" s="3" t="s">
        <v>24</v>
      </c>
      <c r="L516" s="14" t="str">
        <f t="shared" si="34"/>
        <v>$ 100</v>
      </c>
      <c r="M516" s="12">
        <v>3.8</v>
      </c>
      <c r="N516">
        <v>0</v>
      </c>
      <c r="O516">
        <v>16</v>
      </c>
      <c r="P516" s="1">
        <f t="shared" si="35"/>
        <v>0.16</v>
      </c>
    </row>
    <row r="517" spans="1:16" x14ac:dyDescent="0.35">
      <c r="A517" t="s">
        <v>1106</v>
      </c>
      <c r="B517" t="s">
        <v>1107</v>
      </c>
      <c r="C517" t="str">
        <f t="shared" si="32"/>
        <v>Heather Davis</v>
      </c>
      <c r="D517" t="s">
        <v>38</v>
      </c>
      <c r="E517" t="str">
        <f t="shared" si="33"/>
        <v>Female</v>
      </c>
      <c r="F517" s="12">
        <v>36</v>
      </c>
      <c r="G517" t="s">
        <v>82</v>
      </c>
      <c r="H517" s="12" t="s">
        <v>83</v>
      </c>
      <c r="I517" t="s">
        <v>111</v>
      </c>
      <c r="J517" s="12">
        <v>9</v>
      </c>
      <c r="K517" s="3">
        <v>30</v>
      </c>
      <c r="L517" s="14">
        <f t="shared" si="34"/>
        <v>30</v>
      </c>
      <c r="M517" s="12">
        <v>0</v>
      </c>
      <c r="N517">
        <v>1</v>
      </c>
      <c r="O517" s="1">
        <v>0.78</v>
      </c>
      <c r="P517" s="1">
        <f t="shared" si="35"/>
        <v>0.78</v>
      </c>
    </row>
    <row r="518" spans="1:16" x14ac:dyDescent="0.35">
      <c r="A518" t="s">
        <v>1108</v>
      </c>
      <c r="B518" t="s">
        <v>1109</v>
      </c>
      <c r="C518" t="str">
        <f t="shared" si="32"/>
        <v>Diana Chase</v>
      </c>
      <c r="D518" t="s">
        <v>20</v>
      </c>
      <c r="E518" t="str">
        <f t="shared" si="33"/>
        <v>Female</v>
      </c>
      <c r="F518" s="12">
        <v>36</v>
      </c>
      <c r="G518" t="s">
        <v>60</v>
      </c>
      <c r="H518" s="12" t="s">
        <v>61</v>
      </c>
      <c r="I518" t="s">
        <v>43</v>
      </c>
      <c r="J518" s="12">
        <v>3</v>
      </c>
      <c r="K518" s="3" t="s">
        <v>95</v>
      </c>
      <c r="L518" s="14" t="str">
        <f t="shared" si="34"/>
        <v>$ 50</v>
      </c>
      <c r="M518" s="12">
        <v>0</v>
      </c>
      <c r="N518">
        <v>1</v>
      </c>
      <c r="O518">
        <v>75</v>
      </c>
      <c r="P518" s="1">
        <f t="shared" si="35"/>
        <v>0.75</v>
      </c>
    </row>
    <row r="519" spans="1:16" x14ac:dyDescent="0.35">
      <c r="A519" t="s">
        <v>1110</v>
      </c>
      <c r="B519" t="s">
        <v>1111</v>
      </c>
      <c r="C519" t="str">
        <f t="shared" si="32"/>
        <v>Danielle Adkins</v>
      </c>
      <c r="D519" t="s">
        <v>38</v>
      </c>
      <c r="E519" t="str">
        <f t="shared" si="33"/>
        <v>Female</v>
      </c>
      <c r="F519" s="12">
        <v>43</v>
      </c>
      <c r="G519" t="s">
        <v>170</v>
      </c>
      <c r="H519" s="12" t="s">
        <v>171</v>
      </c>
      <c r="I519" t="s">
        <v>43</v>
      </c>
      <c r="J519" s="12">
        <v>15</v>
      </c>
      <c r="K519" s="3">
        <v>20</v>
      </c>
      <c r="L519" s="14">
        <f t="shared" si="34"/>
        <v>20</v>
      </c>
      <c r="M519" s="12">
        <v>4.2</v>
      </c>
      <c r="N519">
        <v>1</v>
      </c>
      <c r="O519" s="1">
        <v>0.91</v>
      </c>
      <c r="P519" s="1">
        <f t="shared" si="35"/>
        <v>0.91</v>
      </c>
    </row>
    <row r="520" spans="1:16" x14ac:dyDescent="0.35">
      <c r="A520" t="s">
        <v>1112</v>
      </c>
      <c r="B520" t="s">
        <v>1113</v>
      </c>
      <c r="C520" t="str">
        <f t="shared" si="32"/>
        <v>Kenneth Arias</v>
      </c>
      <c r="D520" t="s">
        <v>94</v>
      </c>
      <c r="E520" t="str">
        <f t="shared" si="33"/>
        <v>Male</v>
      </c>
      <c r="F520" s="12">
        <v>52</v>
      </c>
      <c r="G520" t="s">
        <v>64</v>
      </c>
      <c r="H520" s="12" t="s">
        <v>22</v>
      </c>
      <c r="I520" t="s">
        <v>49</v>
      </c>
      <c r="J520" s="12">
        <v>21</v>
      </c>
      <c r="K520" s="3" t="s">
        <v>50</v>
      </c>
      <c r="L520" s="14" t="str">
        <f t="shared" si="34"/>
        <v>$ 75</v>
      </c>
      <c r="M520" s="12">
        <v>2.2000000000000002</v>
      </c>
      <c r="N520">
        <v>1</v>
      </c>
      <c r="O520" s="1">
        <v>0.66</v>
      </c>
      <c r="P520" s="1">
        <f t="shared" si="35"/>
        <v>0.66</v>
      </c>
    </row>
    <row r="521" spans="1:16" x14ac:dyDescent="0.35">
      <c r="A521" t="s">
        <v>1114</v>
      </c>
      <c r="B521" t="s">
        <v>1115</v>
      </c>
      <c r="C521" t="str">
        <f t="shared" si="32"/>
        <v>Victoria Owen</v>
      </c>
      <c r="D521" t="s">
        <v>38</v>
      </c>
      <c r="E521" t="str">
        <f t="shared" si="33"/>
        <v>Female</v>
      </c>
      <c r="F521" s="12">
        <v>28</v>
      </c>
      <c r="G521" t="s">
        <v>47</v>
      </c>
      <c r="H521" s="12" t="s">
        <v>48</v>
      </c>
      <c r="I521" t="s">
        <v>75</v>
      </c>
      <c r="J521" s="12">
        <v>2</v>
      </c>
      <c r="K521" s="3" t="s">
        <v>50</v>
      </c>
      <c r="L521" s="14" t="str">
        <f t="shared" si="34"/>
        <v>$ 75</v>
      </c>
      <c r="M521" s="12">
        <v>1.5</v>
      </c>
      <c r="N521">
        <v>1</v>
      </c>
      <c r="O521" s="1">
        <v>0.68</v>
      </c>
      <c r="P521" s="1">
        <f t="shared" si="35"/>
        <v>0.68</v>
      </c>
    </row>
    <row r="522" spans="1:16" x14ac:dyDescent="0.35">
      <c r="A522" t="s">
        <v>1116</v>
      </c>
      <c r="B522" t="s">
        <v>1117</v>
      </c>
      <c r="C522" t="str">
        <f t="shared" si="32"/>
        <v>Christina King</v>
      </c>
      <c r="D522" t="s">
        <v>74</v>
      </c>
      <c r="E522" t="str">
        <f t="shared" si="33"/>
        <v>Female</v>
      </c>
      <c r="F522" s="12">
        <v>47</v>
      </c>
      <c r="G522" t="s">
        <v>170</v>
      </c>
      <c r="H522" s="12" t="s">
        <v>171</v>
      </c>
      <c r="I522" t="s">
        <v>75</v>
      </c>
      <c r="J522" s="12">
        <v>21</v>
      </c>
      <c r="K522" s="3">
        <v>100</v>
      </c>
      <c r="L522" s="14">
        <f t="shared" si="34"/>
        <v>100</v>
      </c>
      <c r="M522" s="12">
        <v>0</v>
      </c>
      <c r="N522">
        <v>0</v>
      </c>
      <c r="O522">
        <v>16</v>
      </c>
      <c r="P522" s="1">
        <f t="shared" si="35"/>
        <v>0.16</v>
      </c>
    </row>
    <row r="523" spans="1:16" x14ac:dyDescent="0.35">
      <c r="A523" t="s">
        <v>1118</v>
      </c>
      <c r="B523" t="s">
        <v>1119</v>
      </c>
      <c r="C523" t="str">
        <f t="shared" si="32"/>
        <v>Samantha King</v>
      </c>
      <c r="D523" t="s">
        <v>38</v>
      </c>
      <c r="E523" t="str">
        <f t="shared" si="33"/>
        <v>Female</v>
      </c>
      <c r="F523" s="12">
        <v>30</v>
      </c>
      <c r="G523" t="s">
        <v>131</v>
      </c>
      <c r="H523" s="12" t="s">
        <v>132</v>
      </c>
      <c r="I523" t="s">
        <v>86</v>
      </c>
      <c r="J523" s="12">
        <v>11</v>
      </c>
      <c r="K523" s="3" t="s">
        <v>24</v>
      </c>
      <c r="L523" s="14" t="str">
        <f t="shared" si="34"/>
        <v>$ 100</v>
      </c>
      <c r="M523" s="12">
        <v>4.0999999999999996</v>
      </c>
      <c r="N523">
        <v>0</v>
      </c>
      <c r="O523" s="1">
        <v>0.62</v>
      </c>
      <c r="P523" s="1">
        <f t="shared" si="35"/>
        <v>0.62</v>
      </c>
    </row>
    <row r="524" spans="1:16" x14ac:dyDescent="0.35">
      <c r="A524" t="s">
        <v>1120</v>
      </c>
      <c r="B524" t="s">
        <v>1121</v>
      </c>
      <c r="C524" t="str">
        <f t="shared" si="32"/>
        <v>Scott Compton</v>
      </c>
      <c r="D524" t="s">
        <v>27</v>
      </c>
      <c r="E524" t="str">
        <f t="shared" si="33"/>
        <v>Male</v>
      </c>
      <c r="F524" s="12">
        <v>36</v>
      </c>
      <c r="G524" t="s">
        <v>135</v>
      </c>
      <c r="H524" s="12" t="s">
        <v>136</v>
      </c>
      <c r="I524" t="s">
        <v>17</v>
      </c>
      <c r="J524" s="12">
        <v>4</v>
      </c>
      <c r="K524" s="3">
        <v>40</v>
      </c>
      <c r="L524" s="14">
        <f t="shared" si="34"/>
        <v>40</v>
      </c>
      <c r="M524" s="12">
        <v>2.6</v>
      </c>
      <c r="N524">
        <v>1</v>
      </c>
      <c r="O524" s="1">
        <v>0.9</v>
      </c>
      <c r="P524" s="1">
        <f t="shared" si="35"/>
        <v>0.9</v>
      </c>
    </row>
    <row r="525" spans="1:16" x14ac:dyDescent="0.35">
      <c r="A525" t="s">
        <v>1122</v>
      </c>
      <c r="B525" t="s">
        <v>1123</v>
      </c>
      <c r="C525" t="str">
        <f t="shared" si="32"/>
        <v>Monica West</v>
      </c>
      <c r="D525" t="s">
        <v>20</v>
      </c>
      <c r="E525" t="str">
        <f t="shared" si="33"/>
        <v>Female</v>
      </c>
      <c r="F525" s="12">
        <v>45</v>
      </c>
      <c r="G525" t="s">
        <v>56</v>
      </c>
      <c r="H525" s="12" t="s">
        <v>22</v>
      </c>
      <c r="I525" t="s">
        <v>70</v>
      </c>
      <c r="J525" s="12">
        <v>23</v>
      </c>
      <c r="K525" s="3">
        <v>100</v>
      </c>
      <c r="L525" s="14">
        <f t="shared" si="34"/>
        <v>100</v>
      </c>
      <c r="M525" s="12">
        <v>2.4</v>
      </c>
      <c r="N525">
        <v>0</v>
      </c>
      <c r="O525" s="1">
        <v>0.96</v>
      </c>
      <c r="P525" s="1">
        <f t="shared" si="35"/>
        <v>0.96</v>
      </c>
    </row>
    <row r="526" spans="1:16" x14ac:dyDescent="0.35">
      <c r="A526" t="s">
        <v>1124</v>
      </c>
      <c r="B526" t="s">
        <v>1125</v>
      </c>
      <c r="C526" t="str">
        <f t="shared" si="32"/>
        <v>Theresa Stewart</v>
      </c>
      <c r="D526" t="s">
        <v>38</v>
      </c>
      <c r="E526" t="str">
        <f t="shared" si="33"/>
        <v>Female</v>
      </c>
      <c r="F526" s="12">
        <v>51</v>
      </c>
      <c r="G526" t="s">
        <v>56</v>
      </c>
      <c r="H526" s="12" t="s">
        <v>22</v>
      </c>
      <c r="I526" t="s">
        <v>17</v>
      </c>
      <c r="J526" s="12">
        <v>25</v>
      </c>
      <c r="K526" s="3">
        <v>50</v>
      </c>
      <c r="L526" s="14">
        <f t="shared" si="34"/>
        <v>50</v>
      </c>
      <c r="M526" s="12">
        <v>1.4</v>
      </c>
      <c r="N526">
        <v>1</v>
      </c>
      <c r="O526" s="1">
        <v>0.6</v>
      </c>
      <c r="P526" s="1">
        <f t="shared" si="35"/>
        <v>0.6</v>
      </c>
    </row>
    <row r="527" spans="1:16" x14ac:dyDescent="0.35">
      <c r="A527" t="s">
        <v>1126</v>
      </c>
      <c r="B527" t="s">
        <v>1127</v>
      </c>
      <c r="C527" t="str">
        <f t="shared" si="32"/>
        <v>Steven Kim</v>
      </c>
      <c r="D527" t="s">
        <v>27</v>
      </c>
      <c r="E527" t="str">
        <f t="shared" si="33"/>
        <v>Male</v>
      </c>
      <c r="F527" s="12">
        <v>46</v>
      </c>
      <c r="G527" t="s">
        <v>60</v>
      </c>
      <c r="H527" s="12" t="s">
        <v>61</v>
      </c>
      <c r="I527" t="s">
        <v>23</v>
      </c>
      <c r="J527" s="12">
        <v>10</v>
      </c>
      <c r="K527" s="3">
        <v>40</v>
      </c>
      <c r="L527" s="14">
        <f t="shared" si="34"/>
        <v>40</v>
      </c>
      <c r="M527" s="12">
        <v>4.5999999999999996</v>
      </c>
      <c r="N527">
        <v>1</v>
      </c>
      <c r="O527" s="1">
        <v>0.62</v>
      </c>
      <c r="P527" s="1">
        <f t="shared" si="35"/>
        <v>0.62</v>
      </c>
    </row>
    <row r="528" spans="1:16" x14ac:dyDescent="0.35">
      <c r="A528" t="s">
        <v>1128</v>
      </c>
      <c r="B528" t="s">
        <v>1129</v>
      </c>
      <c r="C528" t="str">
        <f t="shared" si="32"/>
        <v>Kristi Knight</v>
      </c>
      <c r="D528" t="s">
        <v>20</v>
      </c>
      <c r="E528" t="str">
        <f t="shared" si="33"/>
        <v>Female</v>
      </c>
      <c r="F528" s="12">
        <v>38</v>
      </c>
      <c r="G528" t="s">
        <v>15</v>
      </c>
      <c r="H528" s="12" t="s">
        <v>16</v>
      </c>
      <c r="I528" t="s">
        <v>49</v>
      </c>
      <c r="J528" s="12">
        <v>18</v>
      </c>
      <c r="K528" s="3" t="s">
        <v>53</v>
      </c>
      <c r="L528" s="14" t="str">
        <f t="shared" si="34"/>
        <v>$ 40</v>
      </c>
      <c r="M528" s="12">
        <v>4.9000000000000004</v>
      </c>
      <c r="N528">
        <v>0</v>
      </c>
      <c r="O528" s="1">
        <v>0.74</v>
      </c>
      <c r="P528" s="1">
        <f t="shared" si="35"/>
        <v>0.74</v>
      </c>
    </row>
    <row r="529" spans="1:16" x14ac:dyDescent="0.35">
      <c r="A529" t="s">
        <v>1130</v>
      </c>
      <c r="B529" t="s">
        <v>1131</v>
      </c>
      <c r="C529" t="str">
        <f t="shared" si="32"/>
        <v>Jason Bryant</v>
      </c>
      <c r="D529" t="s">
        <v>94</v>
      </c>
      <c r="E529" t="str">
        <f t="shared" si="33"/>
        <v>Male</v>
      </c>
      <c r="F529" s="12">
        <v>26</v>
      </c>
      <c r="G529" t="s">
        <v>185</v>
      </c>
      <c r="H529" s="12" t="s">
        <v>69</v>
      </c>
      <c r="I529" t="s">
        <v>17</v>
      </c>
      <c r="J529" s="12">
        <v>1</v>
      </c>
      <c r="K529" s="3">
        <v>20</v>
      </c>
      <c r="L529" s="14">
        <f t="shared" si="34"/>
        <v>20</v>
      </c>
      <c r="M529" s="12">
        <v>0</v>
      </c>
      <c r="N529">
        <v>1</v>
      </c>
      <c r="O529">
        <v>16</v>
      </c>
      <c r="P529" s="1">
        <f t="shared" si="35"/>
        <v>0.16</v>
      </c>
    </row>
    <row r="530" spans="1:16" x14ac:dyDescent="0.35">
      <c r="A530" t="s">
        <v>1132</v>
      </c>
      <c r="B530" t="s">
        <v>1133</v>
      </c>
      <c r="C530" t="str">
        <f t="shared" si="32"/>
        <v>Maureen Keith</v>
      </c>
      <c r="D530" t="s">
        <v>74</v>
      </c>
      <c r="E530" t="str">
        <f t="shared" si="33"/>
        <v>Female</v>
      </c>
      <c r="F530" s="12">
        <v>40</v>
      </c>
      <c r="G530" t="s">
        <v>64</v>
      </c>
      <c r="H530" s="12" t="s">
        <v>22</v>
      </c>
      <c r="I530" t="s">
        <v>86</v>
      </c>
      <c r="J530" s="12">
        <v>12</v>
      </c>
      <c r="K530" s="3">
        <v>30</v>
      </c>
      <c r="L530" s="14">
        <f t="shared" si="34"/>
        <v>30</v>
      </c>
      <c r="M530" s="12">
        <v>3.5</v>
      </c>
      <c r="N530">
        <v>1</v>
      </c>
      <c r="O530" s="1">
        <v>0.98</v>
      </c>
      <c r="P530" s="1">
        <f t="shared" si="35"/>
        <v>0.98</v>
      </c>
    </row>
    <row r="531" spans="1:16" x14ac:dyDescent="0.35">
      <c r="A531" t="s">
        <v>1134</v>
      </c>
      <c r="B531" t="s">
        <v>1135</v>
      </c>
      <c r="C531" t="str">
        <f t="shared" si="32"/>
        <v>Shawn Hogan</v>
      </c>
      <c r="D531" t="s">
        <v>94</v>
      </c>
      <c r="E531" t="str">
        <f t="shared" si="33"/>
        <v>Male</v>
      </c>
      <c r="F531" s="12">
        <v>37</v>
      </c>
      <c r="G531" t="s">
        <v>28</v>
      </c>
      <c r="H531" s="12" t="s">
        <v>29</v>
      </c>
      <c r="I531" t="s">
        <v>111</v>
      </c>
      <c r="J531" s="12">
        <v>11</v>
      </c>
      <c r="K531" s="3">
        <v>40</v>
      </c>
      <c r="L531" s="14">
        <f t="shared" si="34"/>
        <v>40</v>
      </c>
      <c r="M531" s="12">
        <v>1.7</v>
      </c>
      <c r="N531">
        <v>1</v>
      </c>
      <c r="O531" s="1">
        <v>0.63</v>
      </c>
      <c r="P531" s="1">
        <f t="shared" si="35"/>
        <v>0.63</v>
      </c>
    </row>
    <row r="532" spans="1:16" x14ac:dyDescent="0.35">
      <c r="A532" t="s">
        <v>1136</v>
      </c>
      <c r="B532" t="s">
        <v>1137</v>
      </c>
      <c r="C532" t="str">
        <f t="shared" si="32"/>
        <v>William Davis</v>
      </c>
      <c r="D532" t="s">
        <v>27</v>
      </c>
      <c r="E532" t="str">
        <f t="shared" si="33"/>
        <v>Male</v>
      </c>
      <c r="F532" s="12">
        <v>28</v>
      </c>
      <c r="G532" t="s">
        <v>124</v>
      </c>
      <c r="H532" s="12" t="s">
        <v>22</v>
      </c>
      <c r="I532" t="s">
        <v>17</v>
      </c>
      <c r="J532" s="12">
        <v>5</v>
      </c>
      <c r="K532" s="3">
        <v>50</v>
      </c>
      <c r="L532" s="14">
        <f t="shared" si="34"/>
        <v>50</v>
      </c>
      <c r="M532" s="12">
        <v>0</v>
      </c>
      <c r="N532">
        <v>1</v>
      </c>
      <c r="O532">
        <v>96</v>
      </c>
      <c r="P532" s="1">
        <f t="shared" si="35"/>
        <v>0.96</v>
      </c>
    </row>
    <row r="533" spans="1:16" x14ac:dyDescent="0.35">
      <c r="A533" t="s">
        <v>1138</v>
      </c>
      <c r="B533" t="s">
        <v>1139</v>
      </c>
      <c r="C533" t="str">
        <f t="shared" si="32"/>
        <v>Stacy Bailey</v>
      </c>
      <c r="D533" t="s">
        <v>38</v>
      </c>
      <c r="E533" t="str">
        <f t="shared" si="33"/>
        <v>Female</v>
      </c>
      <c r="F533" s="12">
        <v>48</v>
      </c>
      <c r="G533" t="s">
        <v>90</v>
      </c>
      <c r="H533" s="12" t="s">
        <v>91</v>
      </c>
      <c r="I533" t="s">
        <v>23</v>
      </c>
      <c r="J533" s="12">
        <v>28</v>
      </c>
      <c r="K533" s="3" t="s">
        <v>308</v>
      </c>
      <c r="L533" s="14" t="str">
        <f t="shared" si="34"/>
        <v>$ 20</v>
      </c>
      <c r="M533" s="12">
        <v>0</v>
      </c>
      <c r="N533">
        <v>0</v>
      </c>
      <c r="O533" s="1">
        <v>0.88</v>
      </c>
      <c r="P533" s="1">
        <f t="shared" si="35"/>
        <v>0.88</v>
      </c>
    </row>
    <row r="534" spans="1:16" x14ac:dyDescent="0.35">
      <c r="A534" t="s">
        <v>1140</v>
      </c>
      <c r="B534" t="s">
        <v>1141</v>
      </c>
      <c r="C534" t="str">
        <f t="shared" si="32"/>
        <v>Thomas Dixon</v>
      </c>
      <c r="D534" t="s">
        <v>59</v>
      </c>
      <c r="E534" t="str">
        <f t="shared" si="33"/>
        <v>Male</v>
      </c>
      <c r="F534" s="12">
        <v>22</v>
      </c>
      <c r="G534" t="s">
        <v>90</v>
      </c>
      <c r="H534" s="12" t="s">
        <v>91</v>
      </c>
      <c r="I534" t="s">
        <v>43</v>
      </c>
      <c r="J534" s="12">
        <v>11</v>
      </c>
      <c r="K534" s="3">
        <v>40</v>
      </c>
      <c r="L534" s="14">
        <f t="shared" si="34"/>
        <v>40</v>
      </c>
      <c r="M534" s="12">
        <v>4.5999999999999996</v>
      </c>
      <c r="N534">
        <v>0</v>
      </c>
      <c r="O534">
        <v>16</v>
      </c>
      <c r="P534" s="1">
        <f t="shared" si="35"/>
        <v>0.16</v>
      </c>
    </row>
    <row r="535" spans="1:16" x14ac:dyDescent="0.35">
      <c r="A535" t="s">
        <v>1142</v>
      </c>
      <c r="B535" t="s">
        <v>1143</v>
      </c>
      <c r="C535" t="str">
        <f t="shared" si="32"/>
        <v>Maria Hall</v>
      </c>
      <c r="D535" t="s">
        <v>38</v>
      </c>
      <c r="E535" t="str">
        <f t="shared" si="33"/>
        <v>Female</v>
      </c>
      <c r="F535" s="12">
        <v>41</v>
      </c>
      <c r="G535" t="s">
        <v>28</v>
      </c>
      <c r="H535" s="12" t="s">
        <v>29</v>
      </c>
      <c r="I535" t="s">
        <v>35</v>
      </c>
      <c r="J535" s="12">
        <v>14</v>
      </c>
      <c r="K535" s="3">
        <v>40</v>
      </c>
      <c r="L535" s="14">
        <f t="shared" si="34"/>
        <v>40</v>
      </c>
      <c r="M535" s="12">
        <v>1.1000000000000001</v>
      </c>
      <c r="N535">
        <v>1</v>
      </c>
      <c r="O535" s="1">
        <v>0.73</v>
      </c>
      <c r="P535" s="1">
        <f t="shared" si="35"/>
        <v>0.73</v>
      </c>
    </row>
    <row r="536" spans="1:16" x14ac:dyDescent="0.35">
      <c r="A536" t="s">
        <v>1144</v>
      </c>
      <c r="B536" t="s">
        <v>1145</v>
      </c>
      <c r="C536" t="str">
        <f t="shared" si="32"/>
        <v>Tony Lee</v>
      </c>
      <c r="D536" t="s">
        <v>59</v>
      </c>
      <c r="E536" t="str">
        <f t="shared" si="33"/>
        <v>Male</v>
      </c>
      <c r="F536" s="12">
        <v>38</v>
      </c>
      <c r="G536" t="s">
        <v>56</v>
      </c>
      <c r="H536" s="12" t="s">
        <v>22</v>
      </c>
      <c r="I536" t="s">
        <v>30</v>
      </c>
      <c r="J536" s="12">
        <v>15</v>
      </c>
      <c r="K536" s="3">
        <v>40</v>
      </c>
      <c r="L536" s="14">
        <f t="shared" si="34"/>
        <v>40</v>
      </c>
      <c r="M536" s="12">
        <v>4.2</v>
      </c>
      <c r="N536">
        <v>0</v>
      </c>
      <c r="O536" s="1">
        <v>0.88</v>
      </c>
      <c r="P536" s="1">
        <f t="shared" si="35"/>
        <v>0.88</v>
      </c>
    </row>
    <row r="537" spans="1:16" x14ac:dyDescent="0.35">
      <c r="A537" t="s">
        <v>1146</v>
      </c>
      <c r="B537" t="s">
        <v>1147</v>
      </c>
      <c r="C537" t="str">
        <f t="shared" si="32"/>
        <v>Catherine Mccoy Md</v>
      </c>
      <c r="D537" t="s">
        <v>20</v>
      </c>
      <c r="E537" t="str">
        <f t="shared" si="33"/>
        <v>Female</v>
      </c>
      <c r="F537" s="12">
        <v>31</v>
      </c>
      <c r="G537" t="s">
        <v>149</v>
      </c>
      <c r="H537" s="12" t="s">
        <v>150</v>
      </c>
      <c r="I537" t="s">
        <v>70</v>
      </c>
      <c r="J537" s="12">
        <v>9</v>
      </c>
      <c r="K537" s="3">
        <v>40</v>
      </c>
      <c r="L537" s="14">
        <f t="shared" si="34"/>
        <v>40</v>
      </c>
      <c r="M537" s="12">
        <v>0</v>
      </c>
      <c r="N537">
        <v>0</v>
      </c>
      <c r="O537" s="1">
        <v>0.91</v>
      </c>
      <c r="P537" s="1">
        <f t="shared" si="35"/>
        <v>0.91</v>
      </c>
    </row>
    <row r="538" spans="1:16" x14ac:dyDescent="0.35">
      <c r="A538" t="s">
        <v>1148</v>
      </c>
      <c r="B538" t="s">
        <v>1149</v>
      </c>
      <c r="C538" t="str">
        <f t="shared" si="32"/>
        <v>Maria Benitez</v>
      </c>
      <c r="D538" t="s">
        <v>38</v>
      </c>
      <c r="E538" t="str">
        <f t="shared" si="33"/>
        <v>Female</v>
      </c>
      <c r="F538" s="12">
        <v>30</v>
      </c>
      <c r="G538" t="s">
        <v>170</v>
      </c>
      <c r="H538" s="12" t="s">
        <v>171</v>
      </c>
      <c r="I538" t="s">
        <v>23</v>
      </c>
      <c r="J538" s="12">
        <v>9</v>
      </c>
      <c r="K538" s="3">
        <v>30</v>
      </c>
      <c r="L538" s="14">
        <f t="shared" si="34"/>
        <v>30</v>
      </c>
      <c r="M538" s="12">
        <v>3.9</v>
      </c>
      <c r="N538">
        <v>1</v>
      </c>
      <c r="O538" s="1">
        <v>0.65</v>
      </c>
      <c r="P538" s="1">
        <f t="shared" si="35"/>
        <v>0.65</v>
      </c>
    </row>
    <row r="539" spans="1:16" x14ac:dyDescent="0.35">
      <c r="A539" t="s">
        <v>1150</v>
      </c>
      <c r="B539" t="s">
        <v>1151</v>
      </c>
      <c r="C539" t="str">
        <f t="shared" si="32"/>
        <v>Joshua Chambers</v>
      </c>
      <c r="D539" t="s">
        <v>59</v>
      </c>
      <c r="E539" t="str">
        <f t="shared" si="33"/>
        <v>Male</v>
      </c>
      <c r="F539" s="12">
        <v>51</v>
      </c>
      <c r="G539" t="s">
        <v>174</v>
      </c>
      <c r="H539" s="12" t="s">
        <v>69</v>
      </c>
      <c r="I539" t="s">
        <v>70</v>
      </c>
      <c r="J539" s="12">
        <v>22</v>
      </c>
      <c r="K539" s="3">
        <v>20</v>
      </c>
      <c r="L539" s="14">
        <f t="shared" si="34"/>
        <v>20</v>
      </c>
      <c r="M539" s="12">
        <v>3.4</v>
      </c>
      <c r="N539">
        <v>1</v>
      </c>
      <c r="O539">
        <v>90</v>
      </c>
      <c r="P539" s="1">
        <f t="shared" si="35"/>
        <v>0.9</v>
      </c>
    </row>
    <row r="540" spans="1:16" x14ac:dyDescent="0.35">
      <c r="A540" t="s">
        <v>1152</v>
      </c>
      <c r="B540" t="s">
        <v>1153</v>
      </c>
      <c r="C540" t="str">
        <f t="shared" si="32"/>
        <v>Janice Daniels</v>
      </c>
      <c r="D540" t="s">
        <v>38</v>
      </c>
      <c r="E540" t="str">
        <f t="shared" si="33"/>
        <v>Female</v>
      </c>
      <c r="F540" s="12">
        <v>21</v>
      </c>
      <c r="G540" t="s">
        <v>28</v>
      </c>
      <c r="H540" s="12" t="s">
        <v>29</v>
      </c>
      <c r="I540" t="s">
        <v>86</v>
      </c>
      <c r="J540" s="12">
        <v>11</v>
      </c>
      <c r="K540" s="3">
        <v>20</v>
      </c>
      <c r="L540" s="14">
        <f t="shared" si="34"/>
        <v>20</v>
      </c>
      <c r="M540" s="12">
        <v>2.6</v>
      </c>
      <c r="N540">
        <v>0</v>
      </c>
      <c r="O540" s="1">
        <v>0.72</v>
      </c>
      <c r="P540" s="1">
        <f t="shared" si="35"/>
        <v>0.72</v>
      </c>
    </row>
    <row r="541" spans="1:16" x14ac:dyDescent="0.35">
      <c r="A541" t="s">
        <v>1154</v>
      </c>
      <c r="B541" t="s">
        <v>1155</v>
      </c>
      <c r="C541" t="str">
        <f t="shared" si="32"/>
        <v>Carla Wood</v>
      </c>
      <c r="D541" t="s">
        <v>20</v>
      </c>
      <c r="E541" t="str">
        <f t="shared" si="33"/>
        <v>Female</v>
      </c>
      <c r="F541" s="12">
        <v>20</v>
      </c>
      <c r="G541" t="s">
        <v>15</v>
      </c>
      <c r="H541" s="12" t="s">
        <v>16</v>
      </c>
      <c r="I541" t="s">
        <v>86</v>
      </c>
      <c r="J541" s="12">
        <v>1</v>
      </c>
      <c r="K541" s="3" t="s">
        <v>53</v>
      </c>
      <c r="L541" s="14" t="str">
        <f t="shared" si="34"/>
        <v>$ 40</v>
      </c>
      <c r="M541" s="12">
        <v>2.2999999999999998</v>
      </c>
      <c r="N541">
        <v>1</v>
      </c>
      <c r="O541" s="1">
        <v>0.72</v>
      </c>
      <c r="P541" s="1">
        <f t="shared" si="35"/>
        <v>0.72</v>
      </c>
    </row>
    <row r="542" spans="1:16" x14ac:dyDescent="0.35">
      <c r="A542" t="s">
        <v>1156</v>
      </c>
      <c r="B542" t="s">
        <v>1157</v>
      </c>
      <c r="C542" t="str">
        <f t="shared" si="32"/>
        <v>Kenneth Vasquez</v>
      </c>
      <c r="D542" t="s">
        <v>94</v>
      </c>
      <c r="E542" t="str">
        <f t="shared" si="33"/>
        <v>Male</v>
      </c>
      <c r="F542" s="12">
        <v>30</v>
      </c>
      <c r="G542" t="s">
        <v>82</v>
      </c>
      <c r="H542" s="12" t="s">
        <v>83</v>
      </c>
      <c r="I542" t="s">
        <v>17</v>
      </c>
      <c r="J542" s="12">
        <v>5</v>
      </c>
      <c r="K542" s="3">
        <v>30</v>
      </c>
      <c r="L542" s="14">
        <f t="shared" si="34"/>
        <v>30</v>
      </c>
      <c r="M542" s="12">
        <v>4.8</v>
      </c>
      <c r="N542">
        <v>0</v>
      </c>
      <c r="O542">
        <v>16</v>
      </c>
      <c r="P542" s="1">
        <f t="shared" si="35"/>
        <v>0.16</v>
      </c>
    </row>
    <row r="543" spans="1:16" x14ac:dyDescent="0.35">
      <c r="A543" t="s">
        <v>1158</v>
      </c>
      <c r="B543" t="s">
        <v>1159</v>
      </c>
      <c r="C543" t="str">
        <f t="shared" si="32"/>
        <v>Kevin Smith</v>
      </c>
      <c r="D543" t="s">
        <v>59</v>
      </c>
      <c r="E543" t="str">
        <f t="shared" si="33"/>
        <v>Male</v>
      </c>
      <c r="F543" s="12">
        <v>41</v>
      </c>
      <c r="G543" t="s">
        <v>170</v>
      </c>
      <c r="H543" s="12" t="s">
        <v>171</v>
      </c>
      <c r="I543" t="s">
        <v>49</v>
      </c>
      <c r="J543" s="12">
        <v>11</v>
      </c>
      <c r="K543" s="3" t="s">
        <v>53</v>
      </c>
      <c r="L543" s="14" t="str">
        <f t="shared" si="34"/>
        <v>$ 40</v>
      </c>
      <c r="M543" s="12">
        <v>4.5</v>
      </c>
      <c r="N543">
        <v>0</v>
      </c>
      <c r="O543" s="1">
        <v>0.68</v>
      </c>
      <c r="P543" s="1">
        <f t="shared" si="35"/>
        <v>0.68</v>
      </c>
    </row>
    <row r="544" spans="1:16" x14ac:dyDescent="0.35">
      <c r="A544" t="s">
        <v>1160</v>
      </c>
      <c r="B544" t="s">
        <v>1161</v>
      </c>
      <c r="C544" t="str">
        <f t="shared" si="32"/>
        <v>Thomas Kim</v>
      </c>
      <c r="D544" t="s">
        <v>94</v>
      </c>
      <c r="E544" t="str">
        <f t="shared" si="33"/>
        <v>Male</v>
      </c>
      <c r="F544" s="12">
        <v>22</v>
      </c>
      <c r="G544" t="s">
        <v>185</v>
      </c>
      <c r="H544" s="12" t="s">
        <v>69</v>
      </c>
      <c r="I544" t="s">
        <v>17</v>
      </c>
      <c r="J544" s="12">
        <v>11</v>
      </c>
      <c r="K544" s="3">
        <v>30</v>
      </c>
      <c r="L544" s="14">
        <f t="shared" si="34"/>
        <v>30</v>
      </c>
      <c r="M544" s="12">
        <v>0</v>
      </c>
      <c r="N544">
        <v>0</v>
      </c>
      <c r="O544" s="1">
        <v>0.87</v>
      </c>
      <c r="P544" s="1">
        <f t="shared" si="35"/>
        <v>0.87</v>
      </c>
    </row>
    <row r="545" spans="1:16" x14ac:dyDescent="0.35">
      <c r="A545" t="s">
        <v>1162</v>
      </c>
      <c r="B545" t="s">
        <v>1163</v>
      </c>
      <c r="C545" t="str">
        <f t="shared" si="32"/>
        <v>Sean Park</v>
      </c>
      <c r="D545" t="s">
        <v>59</v>
      </c>
      <c r="E545" t="str">
        <f t="shared" si="33"/>
        <v>Male</v>
      </c>
      <c r="F545" s="12">
        <v>45</v>
      </c>
      <c r="G545" t="s">
        <v>174</v>
      </c>
      <c r="H545" s="12" t="s">
        <v>69</v>
      </c>
      <c r="I545" t="s">
        <v>75</v>
      </c>
      <c r="J545" s="12">
        <v>19</v>
      </c>
      <c r="K545" s="3">
        <v>75</v>
      </c>
      <c r="L545" s="14">
        <f t="shared" si="34"/>
        <v>75</v>
      </c>
      <c r="M545" s="12">
        <v>0</v>
      </c>
      <c r="N545">
        <v>1</v>
      </c>
      <c r="O545" s="1">
        <v>0.72</v>
      </c>
      <c r="P545" s="1">
        <f t="shared" si="35"/>
        <v>0.72</v>
      </c>
    </row>
    <row r="546" spans="1:16" x14ac:dyDescent="0.35">
      <c r="A546" t="s">
        <v>1164</v>
      </c>
      <c r="B546" t="s">
        <v>1165</v>
      </c>
      <c r="C546" t="str">
        <f t="shared" si="32"/>
        <v>Judith Poole</v>
      </c>
      <c r="D546" t="s">
        <v>74</v>
      </c>
      <c r="E546" t="str">
        <f t="shared" si="33"/>
        <v>Female</v>
      </c>
      <c r="F546" s="12">
        <v>22</v>
      </c>
      <c r="G546" t="s">
        <v>21</v>
      </c>
      <c r="H546" s="12" t="s">
        <v>22</v>
      </c>
      <c r="I546" t="s">
        <v>49</v>
      </c>
      <c r="J546" s="12">
        <v>2</v>
      </c>
      <c r="K546" s="3">
        <v>40</v>
      </c>
      <c r="L546" s="14">
        <f t="shared" si="34"/>
        <v>40</v>
      </c>
      <c r="M546" s="12">
        <v>1.1000000000000001</v>
      </c>
      <c r="N546">
        <v>1</v>
      </c>
      <c r="O546" s="1">
        <v>0.76</v>
      </c>
      <c r="P546" s="1">
        <f t="shared" si="35"/>
        <v>0.76</v>
      </c>
    </row>
    <row r="547" spans="1:16" x14ac:dyDescent="0.35">
      <c r="A547" t="s">
        <v>1166</v>
      </c>
      <c r="B547" t="s">
        <v>1167</v>
      </c>
      <c r="C547" t="str">
        <f t="shared" si="32"/>
        <v>Melanie Baird</v>
      </c>
      <c r="D547" t="s">
        <v>38</v>
      </c>
      <c r="E547" t="str">
        <f t="shared" si="33"/>
        <v>Female</v>
      </c>
      <c r="F547" s="12">
        <v>20</v>
      </c>
      <c r="G547" t="s">
        <v>60</v>
      </c>
      <c r="H547" s="12" t="s">
        <v>61</v>
      </c>
      <c r="I547" t="s">
        <v>23</v>
      </c>
      <c r="J547" s="12">
        <v>11</v>
      </c>
      <c r="K547" s="3">
        <v>100</v>
      </c>
      <c r="L547" s="14">
        <f t="shared" si="34"/>
        <v>100</v>
      </c>
      <c r="M547" s="12">
        <v>0</v>
      </c>
      <c r="N547">
        <v>0</v>
      </c>
      <c r="O547">
        <v>63</v>
      </c>
      <c r="P547" s="1">
        <f t="shared" si="35"/>
        <v>0.63</v>
      </c>
    </row>
    <row r="548" spans="1:16" x14ac:dyDescent="0.35">
      <c r="A548" t="s">
        <v>1168</v>
      </c>
      <c r="B548" t="s">
        <v>1169</v>
      </c>
      <c r="C548" t="str">
        <f t="shared" si="32"/>
        <v>Erika Mitchell</v>
      </c>
      <c r="D548" t="s">
        <v>20</v>
      </c>
      <c r="E548" t="str">
        <f t="shared" si="33"/>
        <v>Female</v>
      </c>
      <c r="F548" s="12">
        <v>20</v>
      </c>
      <c r="G548" t="s">
        <v>124</v>
      </c>
      <c r="H548" s="12" t="s">
        <v>22</v>
      </c>
      <c r="I548" t="s">
        <v>49</v>
      </c>
      <c r="J548" s="12">
        <v>2</v>
      </c>
      <c r="K548" s="3">
        <v>40</v>
      </c>
      <c r="L548" s="14">
        <f t="shared" si="34"/>
        <v>40</v>
      </c>
      <c r="M548" s="12">
        <v>3</v>
      </c>
      <c r="N548">
        <v>1</v>
      </c>
      <c r="O548" s="1">
        <v>0.91</v>
      </c>
      <c r="P548" s="1">
        <f t="shared" si="35"/>
        <v>0.91</v>
      </c>
    </row>
    <row r="549" spans="1:16" x14ac:dyDescent="0.35">
      <c r="A549" t="s">
        <v>1170</v>
      </c>
      <c r="B549" t="s">
        <v>1171</v>
      </c>
      <c r="C549" t="str">
        <f t="shared" si="32"/>
        <v>Ricky Martinez</v>
      </c>
      <c r="D549" t="s">
        <v>27</v>
      </c>
      <c r="E549" t="str">
        <f t="shared" si="33"/>
        <v>Male</v>
      </c>
      <c r="F549" s="12">
        <v>21</v>
      </c>
      <c r="G549" t="s">
        <v>64</v>
      </c>
      <c r="H549" s="12" t="s">
        <v>22</v>
      </c>
      <c r="I549" t="s">
        <v>43</v>
      </c>
      <c r="J549" s="12">
        <v>11</v>
      </c>
      <c r="K549" s="3">
        <v>100</v>
      </c>
      <c r="L549" s="14">
        <f t="shared" si="34"/>
        <v>100</v>
      </c>
      <c r="M549" s="12">
        <v>3</v>
      </c>
      <c r="N549">
        <v>0</v>
      </c>
      <c r="O549" s="1">
        <v>0.73</v>
      </c>
      <c r="P549" s="1">
        <f t="shared" si="35"/>
        <v>0.73</v>
      </c>
    </row>
    <row r="550" spans="1:16" x14ac:dyDescent="0.35">
      <c r="A550" t="s">
        <v>1172</v>
      </c>
      <c r="B550" t="s">
        <v>1173</v>
      </c>
      <c r="C550" t="str">
        <f t="shared" si="32"/>
        <v>John Christian</v>
      </c>
      <c r="D550" t="s">
        <v>94</v>
      </c>
      <c r="E550" t="str">
        <f t="shared" si="33"/>
        <v>Male</v>
      </c>
      <c r="F550" s="12">
        <v>22</v>
      </c>
      <c r="G550" t="s">
        <v>41</v>
      </c>
      <c r="H550" s="12" t="s">
        <v>42</v>
      </c>
      <c r="I550" t="s">
        <v>75</v>
      </c>
      <c r="J550" s="12">
        <v>1</v>
      </c>
      <c r="K550" s="3">
        <v>40</v>
      </c>
      <c r="L550" s="14">
        <f t="shared" si="34"/>
        <v>40</v>
      </c>
      <c r="M550" s="12">
        <v>0</v>
      </c>
      <c r="N550">
        <v>0</v>
      </c>
      <c r="O550" s="1">
        <v>0.63</v>
      </c>
      <c r="P550" s="1">
        <f t="shared" si="35"/>
        <v>0.63</v>
      </c>
    </row>
    <row r="551" spans="1:16" x14ac:dyDescent="0.35">
      <c r="A551" t="s">
        <v>1174</v>
      </c>
      <c r="B551" t="s">
        <v>1175</v>
      </c>
      <c r="C551" t="str">
        <f t="shared" si="32"/>
        <v>Nancy Smith</v>
      </c>
      <c r="D551" t="s">
        <v>38</v>
      </c>
      <c r="E551" t="str">
        <f t="shared" si="33"/>
        <v>Female</v>
      </c>
      <c r="F551" s="12">
        <v>28</v>
      </c>
      <c r="G551" t="s">
        <v>64</v>
      </c>
      <c r="H551" s="12" t="s">
        <v>22</v>
      </c>
      <c r="I551" t="s">
        <v>86</v>
      </c>
      <c r="J551" s="12">
        <v>3</v>
      </c>
      <c r="K551" s="3" t="s">
        <v>308</v>
      </c>
      <c r="L551" s="14" t="str">
        <f t="shared" si="34"/>
        <v>$ 20</v>
      </c>
      <c r="M551" s="12">
        <v>3</v>
      </c>
      <c r="N551">
        <v>1</v>
      </c>
      <c r="O551" s="1">
        <v>0.79</v>
      </c>
      <c r="P551" s="1">
        <f t="shared" si="35"/>
        <v>0.79</v>
      </c>
    </row>
    <row r="552" spans="1:16" x14ac:dyDescent="0.35">
      <c r="A552" t="s">
        <v>1176</v>
      </c>
      <c r="B552" t="s">
        <v>1177</v>
      </c>
      <c r="C552" t="str">
        <f t="shared" si="32"/>
        <v>Cassandra Stephens</v>
      </c>
      <c r="D552" t="s">
        <v>38</v>
      </c>
      <c r="E552" t="str">
        <f t="shared" si="33"/>
        <v>Female</v>
      </c>
      <c r="F552" s="12">
        <v>59</v>
      </c>
      <c r="G552" t="s">
        <v>68</v>
      </c>
      <c r="H552" s="12" t="s">
        <v>69</v>
      </c>
      <c r="I552" t="s">
        <v>43</v>
      </c>
      <c r="J552" s="12">
        <v>11</v>
      </c>
      <c r="K552" s="3">
        <v>20</v>
      </c>
      <c r="L552" s="14">
        <f t="shared" si="34"/>
        <v>20</v>
      </c>
      <c r="M552" s="12">
        <v>4.0999999999999996</v>
      </c>
      <c r="N552">
        <v>0</v>
      </c>
      <c r="O552">
        <v>75</v>
      </c>
      <c r="P552" s="1">
        <f t="shared" si="35"/>
        <v>0.75</v>
      </c>
    </row>
    <row r="553" spans="1:16" x14ac:dyDescent="0.35">
      <c r="A553" t="s">
        <v>1178</v>
      </c>
      <c r="B553" t="s">
        <v>1179</v>
      </c>
      <c r="C553" t="str">
        <f t="shared" si="32"/>
        <v>Miss Janet Donovan Md</v>
      </c>
      <c r="D553" t="s">
        <v>38</v>
      </c>
      <c r="E553" t="str">
        <f t="shared" si="33"/>
        <v>Female</v>
      </c>
      <c r="F553" s="12">
        <v>28</v>
      </c>
      <c r="G553" t="s">
        <v>131</v>
      </c>
      <c r="H553" s="12" t="s">
        <v>132</v>
      </c>
      <c r="I553" t="s">
        <v>35</v>
      </c>
      <c r="J553" s="12">
        <v>1</v>
      </c>
      <c r="K553" s="3">
        <v>40</v>
      </c>
      <c r="L553" s="14">
        <f t="shared" si="34"/>
        <v>40</v>
      </c>
      <c r="M553" s="12">
        <v>0</v>
      </c>
      <c r="N553">
        <v>0</v>
      </c>
      <c r="O553" s="1">
        <v>0.7</v>
      </c>
      <c r="P553" s="1">
        <f t="shared" si="35"/>
        <v>0.7</v>
      </c>
    </row>
    <row r="554" spans="1:16" x14ac:dyDescent="0.35">
      <c r="A554" t="s">
        <v>1180</v>
      </c>
      <c r="B554" t="s">
        <v>1181</v>
      </c>
      <c r="C554" t="str">
        <f t="shared" si="32"/>
        <v>Kristina Williams</v>
      </c>
      <c r="D554" t="s">
        <v>38</v>
      </c>
      <c r="E554" t="str">
        <f t="shared" si="33"/>
        <v>Female</v>
      </c>
      <c r="F554" s="12">
        <v>40</v>
      </c>
      <c r="G554" t="s">
        <v>21</v>
      </c>
      <c r="H554" s="12" t="s">
        <v>22</v>
      </c>
      <c r="I554" t="s">
        <v>86</v>
      </c>
      <c r="J554" s="12">
        <v>11</v>
      </c>
      <c r="K554" s="3">
        <v>100</v>
      </c>
      <c r="L554" s="14">
        <f t="shared" si="34"/>
        <v>100</v>
      </c>
      <c r="M554" s="12">
        <v>1.2</v>
      </c>
      <c r="N554">
        <v>1</v>
      </c>
      <c r="O554" s="1">
        <v>0.87</v>
      </c>
      <c r="P554" s="1">
        <f t="shared" si="35"/>
        <v>0.87</v>
      </c>
    </row>
    <row r="555" spans="1:16" x14ac:dyDescent="0.35">
      <c r="A555" t="s">
        <v>1182</v>
      </c>
      <c r="B555" t="s">
        <v>1183</v>
      </c>
      <c r="C555" t="str">
        <f t="shared" si="32"/>
        <v>Wayne Barnes</v>
      </c>
      <c r="D555" t="s">
        <v>27</v>
      </c>
      <c r="E555" t="str">
        <f t="shared" si="33"/>
        <v>Male</v>
      </c>
      <c r="F555" s="12">
        <v>57</v>
      </c>
      <c r="G555" t="s">
        <v>15</v>
      </c>
      <c r="H555" s="12" t="s">
        <v>16</v>
      </c>
      <c r="I555" t="s">
        <v>17</v>
      </c>
      <c r="J555" s="12">
        <v>7</v>
      </c>
      <c r="K555" s="3">
        <v>30</v>
      </c>
      <c r="L555" s="14">
        <f t="shared" si="34"/>
        <v>30</v>
      </c>
      <c r="M555" s="12">
        <v>1.6</v>
      </c>
      <c r="N555">
        <v>1</v>
      </c>
      <c r="O555">
        <v>16</v>
      </c>
      <c r="P555" s="1">
        <f t="shared" si="35"/>
        <v>0.16</v>
      </c>
    </row>
    <row r="556" spans="1:16" x14ac:dyDescent="0.35">
      <c r="A556" t="s">
        <v>1184</v>
      </c>
      <c r="B556" t="s">
        <v>1185</v>
      </c>
      <c r="C556" t="str">
        <f t="shared" si="32"/>
        <v>James Hinton</v>
      </c>
      <c r="D556" t="s">
        <v>59</v>
      </c>
      <c r="E556" t="str">
        <f t="shared" si="33"/>
        <v>Male</v>
      </c>
      <c r="F556" s="12">
        <v>47</v>
      </c>
      <c r="G556" t="s">
        <v>60</v>
      </c>
      <c r="H556" s="12" t="s">
        <v>61</v>
      </c>
      <c r="I556" t="s">
        <v>86</v>
      </c>
      <c r="J556" s="12">
        <v>1</v>
      </c>
      <c r="K556" s="3">
        <v>50</v>
      </c>
      <c r="L556" s="14">
        <f t="shared" si="34"/>
        <v>50</v>
      </c>
      <c r="M556" s="12">
        <v>3.9</v>
      </c>
      <c r="N556">
        <v>1</v>
      </c>
      <c r="O556" s="1">
        <v>0.88</v>
      </c>
      <c r="P556" s="1">
        <f t="shared" si="35"/>
        <v>0.88</v>
      </c>
    </row>
    <row r="557" spans="1:16" x14ac:dyDescent="0.35">
      <c r="A557" t="s">
        <v>1186</v>
      </c>
      <c r="B557" t="s">
        <v>1187</v>
      </c>
      <c r="C557" t="str">
        <f t="shared" si="32"/>
        <v>David Spence</v>
      </c>
      <c r="D557" t="s">
        <v>27</v>
      </c>
      <c r="E557" t="str">
        <f t="shared" si="33"/>
        <v>Male</v>
      </c>
      <c r="F557" s="12">
        <v>48</v>
      </c>
      <c r="G557" t="s">
        <v>109</v>
      </c>
      <c r="H557" s="12" t="s">
        <v>110</v>
      </c>
      <c r="I557" t="s">
        <v>75</v>
      </c>
      <c r="J557" s="12">
        <v>21</v>
      </c>
      <c r="K557" s="3">
        <v>40</v>
      </c>
      <c r="L557" s="14">
        <f t="shared" si="34"/>
        <v>40</v>
      </c>
      <c r="M557" s="12">
        <v>0</v>
      </c>
      <c r="N557">
        <v>1</v>
      </c>
      <c r="O557">
        <v>16</v>
      </c>
      <c r="P557" s="1">
        <f t="shared" si="35"/>
        <v>0.16</v>
      </c>
    </row>
    <row r="558" spans="1:16" x14ac:dyDescent="0.35">
      <c r="A558" t="s">
        <v>1188</v>
      </c>
      <c r="B558" t="s">
        <v>1189</v>
      </c>
      <c r="C558" t="str">
        <f t="shared" si="32"/>
        <v>Tyler Cooper</v>
      </c>
      <c r="D558" t="s">
        <v>94</v>
      </c>
      <c r="E558" t="str">
        <f t="shared" si="33"/>
        <v>Male</v>
      </c>
      <c r="F558" s="12">
        <v>28</v>
      </c>
      <c r="G558" t="s">
        <v>56</v>
      </c>
      <c r="H558" s="12" t="s">
        <v>22</v>
      </c>
      <c r="I558" t="s">
        <v>70</v>
      </c>
      <c r="J558" s="12">
        <v>1</v>
      </c>
      <c r="K558" s="3" t="s">
        <v>308</v>
      </c>
      <c r="L558" s="14" t="str">
        <f t="shared" si="34"/>
        <v>$ 20</v>
      </c>
      <c r="M558" s="12">
        <v>4.7</v>
      </c>
      <c r="N558">
        <v>0</v>
      </c>
      <c r="O558" s="1">
        <v>0.93</v>
      </c>
      <c r="P558" s="1">
        <f t="shared" si="35"/>
        <v>0.93</v>
      </c>
    </row>
    <row r="559" spans="1:16" x14ac:dyDescent="0.35">
      <c r="A559" t="s">
        <v>1190</v>
      </c>
      <c r="B559" t="s">
        <v>1191</v>
      </c>
      <c r="C559" t="str">
        <f t="shared" si="32"/>
        <v>Sean Martinez</v>
      </c>
      <c r="D559" t="s">
        <v>27</v>
      </c>
      <c r="E559" t="str">
        <f t="shared" si="33"/>
        <v>Male</v>
      </c>
      <c r="F559" s="12">
        <v>41</v>
      </c>
      <c r="G559" t="s">
        <v>60</v>
      </c>
      <c r="H559" s="12" t="s">
        <v>61</v>
      </c>
      <c r="I559" t="s">
        <v>30</v>
      </c>
      <c r="J559" s="12">
        <v>15</v>
      </c>
      <c r="K559" s="3">
        <v>40</v>
      </c>
      <c r="L559" s="14">
        <f t="shared" si="34"/>
        <v>40</v>
      </c>
      <c r="M559" s="12">
        <v>3.8</v>
      </c>
      <c r="N559">
        <v>1</v>
      </c>
      <c r="O559">
        <v>16</v>
      </c>
      <c r="P559" s="1">
        <f t="shared" si="35"/>
        <v>0.16</v>
      </c>
    </row>
    <row r="560" spans="1:16" x14ac:dyDescent="0.35">
      <c r="A560" t="s">
        <v>1192</v>
      </c>
      <c r="B560" t="s">
        <v>1193</v>
      </c>
      <c r="C560" t="str">
        <f t="shared" si="32"/>
        <v>Janet Barron</v>
      </c>
      <c r="D560" t="s">
        <v>38</v>
      </c>
      <c r="E560" t="str">
        <f t="shared" si="33"/>
        <v>Female</v>
      </c>
      <c r="F560" s="12">
        <v>57</v>
      </c>
      <c r="G560" t="s">
        <v>149</v>
      </c>
      <c r="H560" s="12" t="s">
        <v>150</v>
      </c>
      <c r="I560" t="s">
        <v>75</v>
      </c>
      <c r="J560" s="12">
        <v>33</v>
      </c>
      <c r="K560" s="3">
        <v>100</v>
      </c>
      <c r="L560" s="14">
        <f t="shared" si="34"/>
        <v>100</v>
      </c>
      <c r="M560" s="12">
        <v>3.5</v>
      </c>
      <c r="N560">
        <v>1</v>
      </c>
      <c r="O560" s="1">
        <v>0.74</v>
      </c>
      <c r="P560" s="1">
        <f t="shared" si="35"/>
        <v>0.74</v>
      </c>
    </row>
    <row r="561" spans="1:16" x14ac:dyDescent="0.35">
      <c r="A561" t="s">
        <v>1194</v>
      </c>
      <c r="B561" t="s">
        <v>1195</v>
      </c>
      <c r="C561" t="str">
        <f t="shared" si="32"/>
        <v>Rodney Wilson</v>
      </c>
      <c r="D561" t="s">
        <v>27</v>
      </c>
      <c r="E561" t="str">
        <f t="shared" si="33"/>
        <v>Male</v>
      </c>
      <c r="F561" s="12">
        <v>60</v>
      </c>
      <c r="G561" t="s">
        <v>68</v>
      </c>
      <c r="H561" s="12" t="s">
        <v>69</v>
      </c>
      <c r="I561" t="s">
        <v>30</v>
      </c>
      <c r="J561" s="12">
        <v>39</v>
      </c>
      <c r="K561" s="3" t="s">
        <v>50</v>
      </c>
      <c r="L561" s="14" t="str">
        <f t="shared" si="34"/>
        <v>$ 75</v>
      </c>
      <c r="M561" s="12">
        <v>4</v>
      </c>
      <c r="N561">
        <v>1</v>
      </c>
      <c r="O561" s="1">
        <v>0.7</v>
      </c>
      <c r="P561" s="1">
        <f t="shared" si="35"/>
        <v>0.7</v>
      </c>
    </row>
    <row r="562" spans="1:16" x14ac:dyDescent="0.35">
      <c r="A562" t="s">
        <v>1196</v>
      </c>
      <c r="B562" t="s">
        <v>1197</v>
      </c>
      <c r="C562" t="str">
        <f t="shared" si="32"/>
        <v>Kimberly Fitzgerald</v>
      </c>
      <c r="D562" t="s">
        <v>38</v>
      </c>
      <c r="E562" t="str">
        <f t="shared" si="33"/>
        <v>Female</v>
      </c>
      <c r="F562" s="12">
        <v>48</v>
      </c>
      <c r="G562" t="s">
        <v>135</v>
      </c>
      <c r="H562" s="12" t="s">
        <v>136</v>
      </c>
      <c r="I562" t="s">
        <v>30</v>
      </c>
      <c r="J562" s="12">
        <v>21</v>
      </c>
      <c r="K562" s="3">
        <v>30</v>
      </c>
      <c r="L562" s="14">
        <f t="shared" si="34"/>
        <v>30</v>
      </c>
      <c r="M562" s="12">
        <v>1.6</v>
      </c>
      <c r="N562">
        <v>1</v>
      </c>
      <c r="O562" s="1">
        <v>0.67</v>
      </c>
      <c r="P562" s="1">
        <f t="shared" si="35"/>
        <v>0.67</v>
      </c>
    </row>
    <row r="563" spans="1:16" x14ac:dyDescent="0.35">
      <c r="A563" t="s">
        <v>1198</v>
      </c>
      <c r="B563" t="s">
        <v>1199</v>
      </c>
      <c r="C563" t="str">
        <f t="shared" si="32"/>
        <v>Nicole Davis</v>
      </c>
      <c r="D563" t="s">
        <v>74</v>
      </c>
      <c r="E563" t="str">
        <f t="shared" si="33"/>
        <v>Female</v>
      </c>
      <c r="F563" s="12">
        <v>24</v>
      </c>
      <c r="G563" t="s">
        <v>131</v>
      </c>
      <c r="H563" s="12" t="s">
        <v>132</v>
      </c>
      <c r="I563" t="s">
        <v>75</v>
      </c>
      <c r="J563" s="12">
        <v>5</v>
      </c>
      <c r="K563" s="3">
        <v>40</v>
      </c>
      <c r="L563" s="14">
        <f t="shared" si="34"/>
        <v>40</v>
      </c>
      <c r="M563" s="12">
        <v>3</v>
      </c>
      <c r="N563">
        <v>1</v>
      </c>
      <c r="O563" s="1">
        <v>0.86</v>
      </c>
      <c r="P563" s="1">
        <f t="shared" si="35"/>
        <v>0.86</v>
      </c>
    </row>
    <row r="564" spans="1:16" x14ac:dyDescent="0.35">
      <c r="A564" t="s">
        <v>1200</v>
      </c>
      <c r="B564" t="s">
        <v>1201</v>
      </c>
      <c r="C564" t="str">
        <f t="shared" si="32"/>
        <v>Elizabeth Hayes</v>
      </c>
      <c r="D564" t="s">
        <v>20</v>
      </c>
      <c r="E564" t="str">
        <f t="shared" si="33"/>
        <v>Female</v>
      </c>
      <c r="F564" s="12">
        <v>33</v>
      </c>
      <c r="G564" t="s">
        <v>174</v>
      </c>
      <c r="H564" s="12" t="s">
        <v>69</v>
      </c>
      <c r="I564" t="s">
        <v>86</v>
      </c>
      <c r="J564" s="12">
        <v>11</v>
      </c>
      <c r="K564" s="3">
        <v>50</v>
      </c>
      <c r="L564" s="14">
        <f t="shared" si="34"/>
        <v>50</v>
      </c>
      <c r="M564" s="12">
        <v>5</v>
      </c>
      <c r="N564">
        <v>1</v>
      </c>
      <c r="O564" s="1">
        <v>0.69</v>
      </c>
      <c r="P564" s="1">
        <f t="shared" si="35"/>
        <v>0.69</v>
      </c>
    </row>
    <row r="565" spans="1:16" x14ac:dyDescent="0.35">
      <c r="A565" t="s">
        <v>1202</v>
      </c>
      <c r="B565" t="s">
        <v>1203</v>
      </c>
      <c r="C565" t="str">
        <f t="shared" si="32"/>
        <v>Kathy Faulkner</v>
      </c>
      <c r="D565" t="s">
        <v>20</v>
      </c>
      <c r="E565" t="str">
        <f t="shared" si="33"/>
        <v>Female</v>
      </c>
      <c r="F565" s="12">
        <v>20</v>
      </c>
      <c r="G565" t="s">
        <v>60</v>
      </c>
      <c r="H565" s="12" t="s">
        <v>61</v>
      </c>
      <c r="I565" t="s">
        <v>30</v>
      </c>
      <c r="J565" s="12">
        <v>11</v>
      </c>
      <c r="K565" s="3">
        <v>30</v>
      </c>
      <c r="L565" s="14">
        <f t="shared" si="34"/>
        <v>30</v>
      </c>
      <c r="M565" s="12">
        <v>4.8</v>
      </c>
      <c r="N565">
        <v>1</v>
      </c>
      <c r="O565" s="1">
        <v>0.68</v>
      </c>
      <c r="P565" s="1">
        <f t="shared" si="35"/>
        <v>0.68</v>
      </c>
    </row>
    <row r="566" spans="1:16" x14ac:dyDescent="0.35">
      <c r="A566" t="s">
        <v>1204</v>
      </c>
      <c r="B566" t="s">
        <v>1205</v>
      </c>
      <c r="C566" t="str">
        <f t="shared" si="32"/>
        <v>John Gonzales</v>
      </c>
      <c r="D566" t="s">
        <v>59</v>
      </c>
      <c r="E566" t="str">
        <f t="shared" si="33"/>
        <v>Male</v>
      </c>
      <c r="F566" s="12">
        <v>59</v>
      </c>
      <c r="G566" t="s">
        <v>64</v>
      </c>
      <c r="H566" s="12" t="s">
        <v>22</v>
      </c>
      <c r="I566" t="s">
        <v>86</v>
      </c>
      <c r="J566" s="12">
        <v>15</v>
      </c>
      <c r="K566" s="3">
        <v>50</v>
      </c>
      <c r="L566" s="14">
        <f t="shared" si="34"/>
        <v>50</v>
      </c>
      <c r="M566" s="12">
        <v>3</v>
      </c>
      <c r="N566">
        <v>1</v>
      </c>
      <c r="O566">
        <v>16</v>
      </c>
      <c r="P566" s="1">
        <f t="shared" si="35"/>
        <v>0.16</v>
      </c>
    </row>
    <row r="567" spans="1:16" x14ac:dyDescent="0.35">
      <c r="A567" t="s">
        <v>1206</v>
      </c>
      <c r="B567" t="s">
        <v>1207</v>
      </c>
      <c r="C567" t="str">
        <f t="shared" si="32"/>
        <v>Shannon Luna</v>
      </c>
      <c r="D567" t="s">
        <v>38</v>
      </c>
      <c r="E567" t="str">
        <f t="shared" si="33"/>
        <v>Female</v>
      </c>
      <c r="F567" s="12">
        <v>42</v>
      </c>
      <c r="G567" t="s">
        <v>170</v>
      </c>
      <c r="H567" s="12" t="s">
        <v>171</v>
      </c>
      <c r="I567" t="s">
        <v>86</v>
      </c>
      <c r="J567" s="12">
        <v>22</v>
      </c>
      <c r="K567" s="3">
        <v>40</v>
      </c>
      <c r="L567" s="14">
        <f t="shared" si="34"/>
        <v>40</v>
      </c>
      <c r="M567" s="12">
        <v>2.9</v>
      </c>
      <c r="N567">
        <v>0</v>
      </c>
      <c r="O567" s="1">
        <v>0.61</v>
      </c>
      <c r="P567" s="1">
        <f t="shared" si="35"/>
        <v>0.61</v>
      </c>
    </row>
    <row r="568" spans="1:16" x14ac:dyDescent="0.35">
      <c r="A568" t="s">
        <v>1208</v>
      </c>
      <c r="B568" t="s">
        <v>1209</v>
      </c>
      <c r="C568" t="str">
        <f t="shared" si="32"/>
        <v>Stephanie Burton</v>
      </c>
      <c r="D568" t="s">
        <v>20</v>
      </c>
      <c r="E568" t="str">
        <f t="shared" si="33"/>
        <v>Female</v>
      </c>
      <c r="F568" s="12">
        <v>22</v>
      </c>
      <c r="G568" t="s">
        <v>60</v>
      </c>
      <c r="H568" s="12" t="s">
        <v>61</v>
      </c>
      <c r="I568" t="s">
        <v>70</v>
      </c>
      <c r="J568" s="12">
        <v>3</v>
      </c>
      <c r="K568" s="3">
        <v>40</v>
      </c>
      <c r="L568" s="14">
        <f t="shared" si="34"/>
        <v>40</v>
      </c>
      <c r="M568" s="12">
        <v>3</v>
      </c>
      <c r="N568">
        <v>1</v>
      </c>
      <c r="O568" s="1">
        <v>0.96</v>
      </c>
      <c r="P568" s="1">
        <f t="shared" si="35"/>
        <v>0.96</v>
      </c>
    </row>
    <row r="569" spans="1:16" x14ac:dyDescent="0.35">
      <c r="A569" t="s">
        <v>1210</v>
      </c>
      <c r="B569" t="s">
        <v>1211</v>
      </c>
      <c r="C569" t="str">
        <f t="shared" si="32"/>
        <v>Kevin Gonzales</v>
      </c>
      <c r="D569" t="s">
        <v>27</v>
      </c>
      <c r="E569" t="str">
        <f t="shared" si="33"/>
        <v>Male</v>
      </c>
      <c r="F569" s="12">
        <v>41</v>
      </c>
      <c r="G569" t="s">
        <v>124</v>
      </c>
      <c r="H569" s="12" t="s">
        <v>22</v>
      </c>
      <c r="I569" t="s">
        <v>75</v>
      </c>
      <c r="J569" s="12">
        <v>11</v>
      </c>
      <c r="K569" s="3">
        <v>50</v>
      </c>
      <c r="L569" s="14">
        <f t="shared" si="34"/>
        <v>50</v>
      </c>
      <c r="M569" s="12">
        <v>3.5</v>
      </c>
      <c r="N569">
        <v>1</v>
      </c>
      <c r="O569" s="1">
        <v>0.68</v>
      </c>
      <c r="P569" s="1">
        <f t="shared" si="35"/>
        <v>0.68</v>
      </c>
    </row>
    <row r="570" spans="1:16" x14ac:dyDescent="0.35">
      <c r="A570" t="s">
        <v>1212</v>
      </c>
      <c r="B570" t="s">
        <v>1213</v>
      </c>
      <c r="C570" t="str">
        <f t="shared" si="32"/>
        <v>Dawn Hardy</v>
      </c>
      <c r="D570" t="s">
        <v>74</v>
      </c>
      <c r="E570" t="str">
        <f t="shared" si="33"/>
        <v>Female</v>
      </c>
      <c r="F570" s="12">
        <v>25</v>
      </c>
      <c r="G570" t="s">
        <v>68</v>
      </c>
      <c r="H570" s="12" t="s">
        <v>69</v>
      </c>
      <c r="I570" t="s">
        <v>35</v>
      </c>
      <c r="J570" s="12">
        <v>5</v>
      </c>
      <c r="K570" s="3">
        <v>40</v>
      </c>
      <c r="L570" s="14">
        <f t="shared" si="34"/>
        <v>40</v>
      </c>
      <c r="M570" s="12">
        <v>3</v>
      </c>
      <c r="N570">
        <v>1</v>
      </c>
      <c r="O570" s="1">
        <v>0.75</v>
      </c>
      <c r="P570" s="1">
        <f t="shared" si="35"/>
        <v>0.75</v>
      </c>
    </row>
    <row r="571" spans="1:16" x14ac:dyDescent="0.35">
      <c r="A571" t="s">
        <v>1214</v>
      </c>
      <c r="B571" t="s">
        <v>1215</v>
      </c>
      <c r="C571" t="str">
        <f t="shared" si="32"/>
        <v>Margaret Perkins</v>
      </c>
      <c r="D571" t="s">
        <v>38</v>
      </c>
      <c r="E571" t="str">
        <f t="shared" si="33"/>
        <v>Female</v>
      </c>
      <c r="F571" s="12">
        <v>38</v>
      </c>
      <c r="G571" t="s">
        <v>124</v>
      </c>
      <c r="H571" s="12" t="s">
        <v>22</v>
      </c>
      <c r="I571" t="s">
        <v>70</v>
      </c>
      <c r="J571" s="12">
        <v>3</v>
      </c>
      <c r="K571" s="3">
        <v>40</v>
      </c>
      <c r="L571" s="14">
        <f t="shared" si="34"/>
        <v>40</v>
      </c>
      <c r="M571" s="12">
        <v>4.7</v>
      </c>
      <c r="N571">
        <v>0</v>
      </c>
      <c r="O571" s="1">
        <v>0.69</v>
      </c>
      <c r="P571" s="1">
        <f t="shared" si="35"/>
        <v>0.69</v>
      </c>
    </row>
    <row r="572" spans="1:16" x14ac:dyDescent="0.35">
      <c r="A572" t="s">
        <v>1216</v>
      </c>
      <c r="B572" t="s">
        <v>1217</v>
      </c>
      <c r="C572" t="str">
        <f t="shared" si="32"/>
        <v>Amanda Vargas</v>
      </c>
      <c r="D572" t="s">
        <v>38</v>
      </c>
      <c r="E572" t="str">
        <f t="shared" si="33"/>
        <v>Female</v>
      </c>
      <c r="F572" s="12">
        <v>43</v>
      </c>
      <c r="G572" t="s">
        <v>56</v>
      </c>
      <c r="H572" s="12" t="s">
        <v>22</v>
      </c>
      <c r="I572" t="s">
        <v>86</v>
      </c>
      <c r="J572" s="12">
        <v>1</v>
      </c>
      <c r="K572" s="3">
        <v>40</v>
      </c>
      <c r="L572" s="14">
        <f t="shared" si="34"/>
        <v>40</v>
      </c>
      <c r="M572" s="12">
        <v>2.9</v>
      </c>
      <c r="N572">
        <v>1</v>
      </c>
      <c r="O572" s="1">
        <v>0.78</v>
      </c>
      <c r="P572" s="1">
        <f t="shared" si="35"/>
        <v>0.78</v>
      </c>
    </row>
    <row r="573" spans="1:16" x14ac:dyDescent="0.35">
      <c r="A573" t="s">
        <v>1218</v>
      </c>
      <c r="B573" t="s">
        <v>1219</v>
      </c>
      <c r="C573" t="str">
        <f t="shared" si="32"/>
        <v>Tonya Gonzalez</v>
      </c>
      <c r="D573" t="s">
        <v>38</v>
      </c>
      <c r="E573" t="str">
        <f t="shared" si="33"/>
        <v>Female</v>
      </c>
      <c r="F573" s="12">
        <v>54</v>
      </c>
      <c r="G573" t="s">
        <v>174</v>
      </c>
      <c r="H573" s="12" t="s">
        <v>69</v>
      </c>
      <c r="I573" t="s">
        <v>43</v>
      </c>
      <c r="J573" s="12">
        <v>1</v>
      </c>
      <c r="K573" s="3">
        <v>75</v>
      </c>
      <c r="L573" s="14">
        <f t="shared" si="34"/>
        <v>75</v>
      </c>
      <c r="M573" s="12">
        <v>4.4000000000000004</v>
      </c>
      <c r="N573">
        <v>1</v>
      </c>
      <c r="O573">
        <v>16</v>
      </c>
      <c r="P573" s="1">
        <f t="shared" si="35"/>
        <v>0.16</v>
      </c>
    </row>
    <row r="574" spans="1:16" x14ac:dyDescent="0.35">
      <c r="A574" t="s">
        <v>1220</v>
      </c>
      <c r="B574" t="s">
        <v>1221</v>
      </c>
      <c r="C574" t="str">
        <f t="shared" si="32"/>
        <v>Elizabeth Bowman</v>
      </c>
      <c r="D574" t="s">
        <v>38</v>
      </c>
      <c r="E574" t="str">
        <f t="shared" si="33"/>
        <v>Female</v>
      </c>
      <c r="F574" s="12">
        <v>31</v>
      </c>
      <c r="G574" t="s">
        <v>47</v>
      </c>
      <c r="H574" s="12" t="s">
        <v>48</v>
      </c>
      <c r="I574" t="s">
        <v>23</v>
      </c>
      <c r="J574" s="12">
        <v>2</v>
      </c>
      <c r="K574" s="3">
        <v>40</v>
      </c>
      <c r="L574" s="14">
        <f t="shared" si="34"/>
        <v>40</v>
      </c>
      <c r="M574" s="12">
        <v>2.2999999999999998</v>
      </c>
      <c r="N574">
        <v>0</v>
      </c>
      <c r="O574" s="1">
        <v>0.98</v>
      </c>
      <c r="P574" s="1">
        <f t="shared" si="35"/>
        <v>0.98</v>
      </c>
    </row>
    <row r="575" spans="1:16" x14ac:dyDescent="0.35">
      <c r="A575" t="s">
        <v>1222</v>
      </c>
      <c r="B575" t="s">
        <v>1223</v>
      </c>
      <c r="C575" t="str">
        <f t="shared" si="32"/>
        <v>Ariana Pittman</v>
      </c>
      <c r="D575" t="s">
        <v>38</v>
      </c>
      <c r="E575" t="str">
        <f t="shared" si="33"/>
        <v>Female</v>
      </c>
      <c r="F575" s="12">
        <v>56</v>
      </c>
      <c r="G575" t="s">
        <v>174</v>
      </c>
      <c r="H575" s="12" t="s">
        <v>69</v>
      </c>
      <c r="I575" t="s">
        <v>43</v>
      </c>
      <c r="J575" s="12">
        <v>3</v>
      </c>
      <c r="K575" s="3">
        <v>30</v>
      </c>
      <c r="L575" s="14">
        <f t="shared" si="34"/>
        <v>30</v>
      </c>
      <c r="M575" s="12">
        <v>3.7</v>
      </c>
      <c r="N575">
        <v>1</v>
      </c>
      <c r="O575" s="1">
        <v>0.83</v>
      </c>
      <c r="P575" s="1">
        <f t="shared" si="35"/>
        <v>0.83</v>
      </c>
    </row>
    <row r="576" spans="1:16" x14ac:dyDescent="0.35">
      <c r="A576" t="s">
        <v>1224</v>
      </c>
      <c r="B576" t="s">
        <v>1225</v>
      </c>
      <c r="C576" t="str">
        <f t="shared" si="32"/>
        <v>Antonio Johnson</v>
      </c>
      <c r="D576" t="s">
        <v>59</v>
      </c>
      <c r="E576" t="str">
        <f t="shared" si="33"/>
        <v>Male</v>
      </c>
      <c r="F576" s="12">
        <v>46</v>
      </c>
      <c r="G576" t="s">
        <v>174</v>
      </c>
      <c r="H576" s="12" t="s">
        <v>69</v>
      </c>
      <c r="I576" t="s">
        <v>30</v>
      </c>
      <c r="J576" s="12">
        <v>11</v>
      </c>
      <c r="K576" s="3">
        <v>40</v>
      </c>
      <c r="L576" s="14">
        <f t="shared" si="34"/>
        <v>40</v>
      </c>
      <c r="M576" s="12">
        <v>1.8</v>
      </c>
      <c r="N576">
        <v>1</v>
      </c>
      <c r="O576" s="1">
        <v>0.91</v>
      </c>
      <c r="P576" s="1">
        <f t="shared" si="35"/>
        <v>0.91</v>
      </c>
    </row>
    <row r="577" spans="1:16" x14ac:dyDescent="0.35">
      <c r="A577" t="s">
        <v>1226</v>
      </c>
      <c r="B577" t="s">
        <v>1227</v>
      </c>
      <c r="C577" t="str">
        <f t="shared" si="32"/>
        <v>Justin Lang</v>
      </c>
      <c r="D577" t="s">
        <v>94</v>
      </c>
      <c r="E577" t="str">
        <f t="shared" si="33"/>
        <v>Male</v>
      </c>
      <c r="F577" s="12">
        <v>60</v>
      </c>
      <c r="G577" t="s">
        <v>135</v>
      </c>
      <c r="H577" s="12" t="s">
        <v>136</v>
      </c>
      <c r="I577" t="s">
        <v>43</v>
      </c>
      <c r="J577" s="12">
        <v>11</v>
      </c>
      <c r="K577" s="3">
        <v>100</v>
      </c>
      <c r="L577" s="14">
        <f t="shared" si="34"/>
        <v>100</v>
      </c>
      <c r="M577" s="12">
        <v>0</v>
      </c>
      <c r="N577">
        <v>1</v>
      </c>
      <c r="O577" s="1">
        <v>0.96</v>
      </c>
      <c r="P577" s="1">
        <f t="shared" si="35"/>
        <v>0.96</v>
      </c>
    </row>
    <row r="578" spans="1:16" x14ac:dyDescent="0.35">
      <c r="A578" t="s">
        <v>1228</v>
      </c>
      <c r="B578" t="s">
        <v>1229</v>
      </c>
      <c r="C578" t="str">
        <f t="shared" si="32"/>
        <v>Kelli Ramirez</v>
      </c>
      <c r="D578" t="s">
        <v>38</v>
      </c>
      <c r="E578" t="str">
        <f t="shared" si="33"/>
        <v>Female</v>
      </c>
      <c r="F578" s="12">
        <v>28</v>
      </c>
      <c r="G578" t="s">
        <v>109</v>
      </c>
      <c r="H578" s="12" t="s">
        <v>110</v>
      </c>
      <c r="I578" t="s">
        <v>30</v>
      </c>
      <c r="J578" s="12">
        <v>2</v>
      </c>
      <c r="K578" s="3" t="s">
        <v>95</v>
      </c>
      <c r="L578" s="14" t="str">
        <f t="shared" si="34"/>
        <v>$ 50</v>
      </c>
      <c r="M578" s="12">
        <v>3</v>
      </c>
      <c r="N578">
        <v>1</v>
      </c>
      <c r="O578" s="1">
        <v>0.85</v>
      </c>
      <c r="P578" s="1">
        <f t="shared" si="35"/>
        <v>0.85</v>
      </c>
    </row>
    <row r="579" spans="1:16" x14ac:dyDescent="0.35">
      <c r="A579" t="s">
        <v>1230</v>
      </c>
      <c r="B579" t="s">
        <v>1231</v>
      </c>
      <c r="C579" t="str">
        <f t="shared" ref="C579:C642" si="36">PROPER(B579)</f>
        <v>Deborah Torres</v>
      </c>
      <c r="D579" t="s">
        <v>38</v>
      </c>
      <c r="E579" t="str">
        <f t="shared" ref="E579:E642" si="37">PROPER(D579)</f>
        <v>Female</v>
      </c>
      <c r="F579" s="12">
        <v>43</v>
      </c>
      <c r="G579" t="s">
        <v>47</v>
      </c>
      <c r="H579" s="12" t="s">
        <v>48</v>
      </c>
      <c r="I579" t="s">
        <v>35</v>
      </c>
      <c r="J579" s="12">
        <v>20</v>
      </c>
      <c r="K579" s="3" t="s">
        <v>106</v>
      </c>
      <c r="L579" s="14" t="str">
        <f t="shared" ref="L579:L642" si="38">IF(K579="","",IF(LEFT(K579,3)="USD","$"&amp;MID(K579,4,LEN(K579)-3),K579))</f>
        <v>$ 30</v>
      </c>
      <c r="M579" s="12">
        <v>2.7</v>
      </c>
      <c r="N579">
        <v>0</v>
      </c>
      <c r="O579" s="1">
        <v>0.72</v>
      </c>
      <c r="P579" s="1">
        <f t="shared" ref="P579:P642" si="39">IF(O579="","",IF(O579&lt;1,O579,O579/100))</f>
        <v>0.72</v>
      </c>
    </row>
    <row r="580" spans="1:16" x14ac:dyDescent="0.35">
      <c r="A580" t="s">
        <v>1232</v>
      </c>
      <c r="B580" t="s">
        <v>1233</v>
      </c>
      <c r="C580" t="str">
        <f t="shared" si="36"/>
        <v>Joseph Horn</v>
      </c>
      <c r="D580" t="s">
        <v>59</v>
      </c>
      <c r="E580" t="str">
        <f t="shared" si="37"/>
        <v>Male</v>
      </c>
      <c r="F580" s="12">
        <v>41</v>
      </c>
      <c r="G580" t="s">
        <v>131</v>
      </c>
      <c r="H580" s="12" t="s">
        <v>132</v>
      </c>
      <c r="I580" t="s">
        <v>35</v>
      </c>
      <c r="J580" s="12">
        <v>11</v>
      </c>
      <c r="K580" s="3">
        <v>20</v>
      </c>
      <c r="L580" s="14">
        <f t="shared" si="38"/>
        <v>20</v>
      </c>
      <c r="M580" s="12">
        <v>4.7</v>
      </c>
      <c r="N580">
        <v>1</v>
      </c>
      <c r="O580" s="1">
        <v>0.69</v>
      </c>
      <c r="P580" s="1">
        <f t="shared" si="39"/>
        <v>0.69</v>
      </c>
    </row>
    <row r="581" spans="1:16" x14ac:dyDescent="0.35">
      <c r="A581" t="s">
        <v>1234</v>
      </c>
      <c r="B581" t="s">
        <v>1235</v>
      </c>
      <c r="C581" t="str">
        <f t="shared" si="36"/>
        <v>Christopher Robinson</v>
      </c>
      <c r="D581" t="s">
        <v>27</v>
      </c>
      <c r="E581" t="str">
        <f t="shared" si="37"/>
        <v>Male</v>
      </c>
      <c r="F581" s="12">
        <v>41</v>
      </c>
      <c r="G581" t="s">
        <v>64</v>
      </c>
      <c r="H581" s="12" t="s">
        <v>22</v>
      </c>
      <c r="I581" t="s">
        <v>86</v>
      </c>
      <c r="J581" s="12">
        <v>11</v>
      </c>
      <c r="K581" s="3">
        <v>20</v>
      </c>
      <c r="L581" s="14">
        <f t="shared" si="38"/>
        <v>20</v>
      </c>
      <c r="M581" s="12">
        <v>3.1</v>
      </c>
      <c r="N581">
        <v>0</v>
      </c>
      <c r="O581">
        <v>90</v>
      </c>
      <c r="P581" s="1">
        <f t="shared" si="39"/>
        <v>0.9</v>
      </c>
    </row>
    <row r="582" spans="1:16" x14ac:dyDescent="0.35">
      <c r="A582" t="s">
        <v>1236</v>
      </c>
      <c r="B582" t="s">
        <v>1237</v>
      </c>
      <c r="C582" t="str">
        <f t="shared" si="36"/>
        <v>Sandra Mccormick</v>
      </c>
      <c r="D582" t="s">
        <v>38</v>
      </c>
      <c r="E582" t="str">
        <f t="shared" si="37"/>
        <v>Female</v>
      </c>
      <c r="F582" s="12">
        <v>40</v>
      </c>
      <c r="G582" t="s">
        <v>64</v>
      </c>
      <c r="H582" s="12" t="s">
        <v>22</v>
      </c>
      <c r="I582" t="s">
        <v>23</v>
      </c>
      <c r="J582" s="12">
        <v>20</v>
      </c>
      <c r="K582" s="3">
        <v>20</v>
      </c>
      <c r="L582" s="14">
        <f t="shared" si="38"/>
        <v>20</v>
      </c>
      <c r="M582" s="12">
        <v>2.2999999999999998</v>
      </c>
      <c r="N582">
        <v>0</v>
      </c>
      <c r="O582" s="1">
        <v>0.92</v>
      </c>
      <c r="P582" s="1">
        <f t="shared" si="39"/>
        <v>0.92</v>
      </c>
    </row>
    <row r="583" spans="1:16" x14ac:dyDescent="0.35">
      <c r="A583" t="s">
        <v>1238</v>
      </c>
      <c r="B583" t="s">
        <v>1239</v>
      </c>
      <c r="C583" t="str">
        <f t="shared" si="36"/>
        <v>Michael Holland</v>
      </c>
      <c r="D583" t="s">
        <v>94</v>
      </c>
      <c r="E583" t="str">
        <f t="shared" si="37"/>
        <v>Male</v>
      </c>
      <c r="F583" s="12">
        <v>45</v>
      </c>
      <c r="G583" t="s">
        <v>28</v>
      </c>
      <c r="H583" s="12" t="s">
        <v>29</v>
      </c>
      <c r="I583" t="s">
        <v>86</v>
      </c>
      <c r="J583" s="12">
        <v>3</v>
      </c>
      <c r="K583" s="3" t="s">
        <v>308</v>
      </c>
      <c r="L583" s="14" t="str">
        <f t="shared" si="38"/>
        <v>$ 20</v>
      </c>
      <c r="M583" s="12">
        <v>1.3</v>
      </c>
      <c r="N583">
        <v>1</v>
      </c>
      <c r="O583" s="1">
        <v>0.91</v>
      </c>
      <c r="P583" s="1">
        <f t="shared" si="39"/>
        <v>0.91</v>
      </c>
    </row>
    <row r="584" spans="1:16" x14ac:dyDescent="0.35">
      <c r="A584" t="s">
        <v>1240</v>
      </c>
      <c r="B584" t="s">
        <v>1241</v>
      </c>
      <c r="C584" t="str">
        <f t="shared" si="36"/>
        <v>Kenneth Stevenson</v>
      </c>
      <c r="D584" t="s">
        <v>59</v>
      </c>
      <c r="E584" t="str">
        <f t="shared" si="37"/>
        <v>Male</v>
      </c>
      <c r="F584" s="12">
        <v>47</v>
      </c>
      <c r="G584" t="s">
        <v>135</v>
      </c>
      <c r="H584" s="12" t="s">
        <v>136</v>
      </c>
      <c r="I584" t="s">
        <v>86</v>
      </c>
      <c r="J584" s="12">
        <v>28</v>
      </c>
      <c r="K584" s="3" t="s">
        <v>95</v>
      </c>
      <c r="L584" s="14" t="str">
        <f t="shared" si="38"/>
        <v>$ 50</v>
      </c>
      <c r="M584" s="12">
        <v>2.9</v>
      </c>
      <c r="N584">
        <v>1</v>
      </c>
      <c r="O584">
        <v>16</v>
      </c>
      <c r="P584" s="1">
        <f t="shared" si="39"/>
        <v>0.16</v>
      </c>
    </row>
    <row r="585" spans="1:16" x14ac:dyDescent="0.35">
      <c r="A585" t="s">
        <v>1242</v>
      </c>
      <c r="B585" t="s">
        <v>1243</v>
      </c>
      <c r="C585" t="str">
        <f t="shared" si="36"/>
        <v>Timothy Bennett</v>
      </c>
      <c r="D585" t="s">
        <v>27</v>
      </c>
      <c r="E585" t="str">
        <f t="shared" si="37"/>
        <v>Male</v>
      </c>
      <c r="F585" s="12">
        <v>34</v>
      </c>
      <c r="G585" t="s">
        <v>90</v>
      </c>
      <c r="H585" s="12" t="s">
        <v>91</v>
      </c>
      <c r="I585" t="s">
        <v>49</v>
      </c>
      <c r="J585" s="12">
        <v>11</v>
      </c>
      <c r="K585" s="3">
        <v>40</v>
      </c>
      <c r="L585" s="14">
        <f t="shared" si="38"/>
        <v>40</v>
      </c>
      <c r="M585" s="12">
        <v>3.3</v>
      </c>
      <c r="N585">
        <v>0</v>
      </c>
      <c r="O585" s="1">
        <v>0.98</v>
      </c>
      <c r="P585" s="1">
        <f t="shared" si="39"/>
        <v>0.98</v>
      </c>
    </row>
    <row r="586" spans="1:16" x14ac:dyDescent="0.35">
      <c r="A586" t="s">
        <v>1244</v>
      </c>
      <c r="B586" t="s">
        <v>1245</v>
      </c>
      <c r="C586" t="str">
        <f t="shared" si="36"/>
        <v>Gregory Randall</v>
      </c>
      <c r="D586" t="s">
        <v>27</v>
      </c>
      <c r="E586" t="str">
        <f t="shared" si="37"/>
        <v>Male</v>
      </c>
      <c r="F586" s="12">
        <v>47</v>
      </c>
      <c r="G586" t="s">
        <v>56</v>
      </c>
      <c r="H586" s="12" t="s">
        <v>22</v>
      </c>
      <c r="I586" t="s">
        <v>70</v>
      </c>
      <c r="J586" s="12">
        <v>4</v>
      </c>
      <c r="K586" s="3" t="s">
        <v>308</v>
      </c>
      <c r="L586" s="14" t="str">
        <f t="shared" si="38"/>
        <v>$ 20</v>
      </c>
      <c r="M586" s="12">
        <v>4.2</v>
      </c>
      <c r="N586">
        <v>1</v>
      </c>
      <c r="O586" s="1">
        <v>0.82</v>
      </c>
      <c r="P586" s="1">
        <f t="shared" si="39"/>
        <v>0.82</v>
      </c>
    </row>
    <row r="587" spans="1:16" x14ac:dyDescent="0.35">
      <c r="A587" t="s">
        <v>1246</v>
      </c>
      <c r="B587" t="s">
        <v>1247</v>
      </c>
      <c r="C587" t="str">
        <f t="shared" si="36"/>
        <v>Charles Martinez</v>
      </c>
      <c r="D587" t="s">
        <v>27</v>
      </c>
      <c r="E587" t="str">
        <f t="shared" si="37"/>
        <v>Male</v>
      </c>
      <c r="F587" s="12">
        <v>32</v>
      </c>
      <c r="G587" t="s">
        <v>174</v>
      </c>
      <c r="H587" s="12" t="s">
        <v>69</v>
      </c>
      <c r="I587" t="s">
        <v>70</v>
      </c>
      <c r="J587" s="12">
        <v>9</v>
      </c>
      <c r="K587" s="3" t="s">
        <v>53</v>
      </c>
      <c r="L587" s="14" t="str">
        <f t="shared" si="38"/>
        <v>$ 40</v>
      </c>
      <c r="M587" s="12">
        <v>1.3</v>
      </c>
      <c r="N587">
        <v>1</v>
      </c>
      <c r="O587" s="1">
        <v>0.83</v>
      </c>
      <c r="P587" s="1">
        <f t="shared" si="39"/>
        <v>0.83</v>
      </c>
    </row>
    <row r="588" spans="1:16" x14ac:dyDescent="0.35">
      <c r="A588" t="s">
        <v>1248</v>
      </c>
      <c r="B588" t="s">
        <v>1249</v>
      </c>
      <c r="C588" t="str">
        <f t="shared" si="36"/>
        <v>James Hall</v>
      </c>
      <c r="D588" t="s">
        <v>27</v>
      </c>
      <c r="E588" t="str">
        <f t="shared" si="37"/>
        <v>Male</v>
      </c>
      <c r="F588" s="12">
        <v>28</v>
      </c>
      <c r="G588" t="s">
        <v>64</v>
      </c>
      <c r="H588" s="12" t="s">
        <v>22</v>
      </c>
      <c r="I588" t="s">
        <v>23</v>
      </c>
      <c r="J588" s="12">
        <v>2</v>
      </c>
      <c r="K588" s="3">
        <v>100</v>
      </c>
      <c r="L588" s="14">
        <f t="shared" si="38"/>
        <v>100</v>
      </c>
      <c r="M588" s="12">
        <v>4.4000000000000004</v>
      </c>
      <c r="N588">
        <v>1</v>
      </c>
      <c r="O588">
        <v>16</v>
      </c>
      <c r="P588" s="1">
        <f t="shared" si="39"/>
        <v>0.16</v>
      </c>
    </row>
    <row r="589" spans="1:16" x14ac:dyDescent="0.35">
      <c r="A589" t="s">
        <v>1250</v>
      </c>
      <c r="B589" t="s">
        <v>1251</v>
      </c>
      <c r="C589" t="str">
        <f t="shared" si="36"/>
        <v>Michael Garcia</v>
      </c>
      <c r="D589" t="s">
        <v>27</v>
      </c>
      <c r="E589" t="str">
        <f t="shared" si="37"/>
        <v>Male</v>
      </c>
      <c r="F589" s="12">
        <v>32</v>
      </c>
      <c r="G589" t="s">
        <v>21</v>
      </c>
      <c r="H589" s="12" t="s">
        <v>22</v>
      </c>
      <c r="I589" t="s">
        <v>86</v>
      </c>
      <c r="J589" s="12">
        <v>1</v>
      </c>
      <c r="K589" s="3">
        <v>100</v>
      </c>
      <c r="L589" s="14">
        <f t="shared" si="38"/>
        <v>100</v>
      </c>
      <c r="M589" s="12">
        <v>3.4</v>
      </c>
      <c r="N589">
        <v>1</v>
      </c>
      <c r="O589">
        <v>16</v>
      </c>
      <c r="P589" s="1">
        <f t="shared" si="39"/>
        <v>0.16</v>
      </c>
    </row>
    <row r="590" spans="1:16" x14ac:dyDescent="0.35">
      <c r="A590" t="s">
        <v>1252</v>
      </c>
      <c r="B590" t="s">
        <v>1253</v>
      </c>
      <c r="C590" t="str">
        <f t="shared" si="36"/>
        <v>Michele Duran</v>
      </c>
      <c r="D590" t="s">
        <v>38</v>
      </c>
      <c r="E590" t="str">
        <f t="shared" si="37"/>
        <v>Female</v>
      </c>
      <c r="F590" s="12">
        <v>49</v>
      </c>
      <c r="G590" t="s">
        <v>41</v>
      </c>
      <c r="H590" s="12" t="s">
        <v>42</v>
      </c>
      <c r="I590" t="s">
        <v>43</v>
      </c>
      <c r="J590" s="12">
        <v>2</v>
      </c>
      <c r="K590" s="3">
        <v>100</v>
      </c>
      <c r="L590" s="14">
        <f t="shared" si="38"/>
        <v>100</v>
      </c>
      <c r="M590" s="12">
        <v>3.4</v>
      </c>
      <c r="N590">
        <v>1</v>
      </c>
      <c r="O590" s="1">
        <v>0.85</v>
      </c>
      <c r="P590" s="1">
        <f t="shared" si="39"/>
        <v>0.85</v>
      </c>
    </row>
    <row r="591" spans="1:16" x14ac:dyDescent="0.35">
      <c r="A591" t="s">
        <v>1254</v>
      </c>
      <c r="B591" t="s">
        <v>1255</v>
      </c>
      <c r="C591" t="str">
        <f t="shared" si="36"/>
        <v>Jessica Gray</v>
      </c>
      <c r="D591" t="s">
        <v>38</v>
      </c>
      <c r="E591" t="str">
        <f t="shared" si="37"/>
        <v>Female</v>
      </c>
      <c r="F591" s="12">
        <v>36</v>
      </c>
      <c r="G591" t="s">
        <v>68</v>
      </c>
      <c r="H591" s="12" t="s">
        <v>69</v>
      </c>
      <c r="I591" t="s">
        <v>23</v>
      </c>
      <c r="J591" s="12">
        <v>16</v>
      </c>
      <c r="K591" s="3" t="s">
        <v>308</v>
      </c>
      <c r="L591" s="14" t="str">
        <f t="shared" si="38"/>
        <v>$ 20</v>
      </c>
      <c r="M591" s="12">
        <v>3.2</v>
      </c>
      <c r="N591">
        <v>1</v>
      </c>
      <c r="O591">
        <v>16</v>
      </c>
      <c r="P591" s="1">
        <f t="shared" si="39"/>
        <v>0.16</v>
      </c>
    </row>
    <row r="592" spans="1:16" x14ac:dyDescent="0.35">
      <c r="A592" t="s">
        <v>1256</v>
      </c>
      <c r="B592" t="s">
        <v>1257</v>
      </c>
      <c r="C592" t="str">
        <f t="shared" si="36"/>
        <v>Keith Shaffer</v>
      </c>
      <c r="D592" t="s">
        <v>27</v>
      </c>
      <c r="E592" t="str">
        <f t="shared" si="37"/>
        <v>Male</v>
      </c>
      <c r="F592" s="12">
        <v>59</v>
      </c>
      <c r="G592" t="s">
        <v>174</v>
      </c>
      <c r="H592" s="12" t="s">
        <v>69</v>
      </c>
      <c r="I592" t="s">
        <v>17</v>
      </c>
      <c r="J592" s="12">
        <v>22</v>
      </c>
      <c r="K592" s="3" t="s">
        <v>308</v>
      </c>
      <c r="L592" s="14" t="str">
        <f t="shared" si="38"/>
        <v>$ 20</v>
      </c>
      <c r="M592" s="12">
        <v>3.6</v>
      </c>
      <c r="N592">
        <v>0</v>
      </c>
      <c r="O592" s="1">
        <v>0.63</v>
      </c>
      <c r="P592" s="1">
        <f t="shared" si="39"/>
        <v>0.63</v>
      </c>
    </row>
    <row r="593" spans="1:16" x14ac:dyDescent="0.35">
      <c r="A593" t="s">
        <v>1258</v>
      </c>
      <c r="B593" t="s">
        <v>1259</v>
      </c>
      <c r="C593" t="str">
        <f t="shared" si="36"/>
        <v>Jessica Decker</v>
      </c>
      <c r="D593" t="s">
        <v>38</v>
      </c>
      <c r="E593" t="str">
        <f t="shared" si="37"/>
        <v>Female</v>
      </c>
      <c r="F593" s="12">
        <v>52</v>
      </c>
      <c r="G593" t="s">
        <v>124</v>
      </c>
      <c r="H593" s="12" t="s">
        <v>22</v>
      </c>
      <c r="I593" t="s">
        <v>75</v>
      </c>
      <c r="J593" s="12">
        <v>22</v>
      </c>
      <c r="K593" s="3">
        <v>20</v>
      </c>
      <c r="L593" s="14">
        <f t="shared" si="38"/>
        <v>20</v>
      </c>
      <c r="M593" s="12">
        <v>0</v>
      </c>
      <c r="N593">
        <v>0</v>
      </c>
      <c r="O593">
        <v>16</v>
      </c>
      <c r="P593" s="1">
        <f t="shared" si="39"/>
        <v>0.16</v>
      </c>
    </row>
    <row r="594" spans="1:16" x14ac:dyDescent="0.35">
      <c r="A594" t="s">
        <v>1260</v>
      </c>
      <c r="B594" t="s">
        <v>1261</v>
      </c>
      <c r="C594" t="str">
        <f t="shared" si="36"/>
        <v>Brianna Pittman</v>
      </c>
      <c r="D594" t="s">
        <v>38</v>
      </c>
      <c r="E594" t="str">
        <f t="shared" si="37"/>
        <v>Female</v>
      </c>
      <c r="F594" s="12">
        <v>24</v>
      </c>
      <c r="G594" t="s">
        <v>170</v>
      </c>
      <c r="H594" s="12" t="s">
        <v>171</v>
      </c>
      <c r="I594" t="s">
        <v>17</v>
      </c>
      <c r="J594" s="12">
        <v>5</v>
      </c>
      <c r="K594" s="3">
        <v>40</v>
      </c>
      <c r="L594" s="14">
        <f t="shared" si="38"/>
        <v>40</v>
      </c>
      <c r="M594" s="12">
        <v>1.8</v>
      </c>
      <c r="N594">
        <v>1</v>
      </c>
      <c r="O594" s="1">
        <v>0.86</v>
      </c>
      <c r="P594" s="1">
        <f t="shared" si="39"/>
        <v>0.86</v>
      </c>
    </row>
    <row r="595" spans="1:16" x14ac:dyDescent="0.35">
      <c r="A595" t="s">
        <v>1262</v>
      </c>
      <c r="B595" t="s">
        <v>1263</v>
      </c>
      <c r="C595" t="str">
        <f t="shared" si="36"/>
        <v>Kimberly Hunter</v>
      </c>
      <c r="D595" t="s">
        <v>20</v>
      </c>
      <c r="E595" t="str">
        <f t="shared" si="37"/>
        <v>Female</v>
      </c>
      <c r="F595" s="12">
        <v>26</v>
      </c>
      <c r="G595" t="s">
        <v>21</v>
      </c>
      <c r="H595" s="12" t="s">
        <v>22</v>
      </c>
      <c r="I595" t="s">
        <v>30</v>
      </c>
      <c r="J595" s="12">
        <v>2</v>
      </c>
      <c r="K595" s="3" t="s">
        <v>50</v>
      </c>
      <c r="L595" s="14" t="str">
        <f t="shared" si="38"/>
        <v>$ 75</v>
      </c>
      <c r="M595" s="12">
        <v>2.5</v>
      </c>
      <c r="N595">
        <v>1</v>
      </c>
      <c r="O595">
        <v>60</v>
      </c>
      <c r="P595" s="1">
        <f t="shared" si="39"/>
        <v>0.6</v>
      </c>
    </row>
    <row r="596" spans="1:16" x14ac:dyDescent="0.35">
      <c r="A596" t="s">
        <v>1264</v>
      </c>
      <c r="B596" t="s">
        <v>1265</v>
      </c>
      <c r="C596" t="str">
        <f t="shared" si="36"/>
        <v>Daniel Martin</v>
      </c>
      <c r="D596" t="s">
        <v>27</v>
      </c>
      <c r="E596" t="str">
        <f t="shared" si="37"/>
        <v>Male</v>
      </c>
      <c r="F596" s="12">
        <v>55</v>
      </c>
      <c r="G596" t="s">
        <v>124</v>
      </c>
      <c r="H596" s="12" t="s">
        <v>22</v>
      </c>
      <c r="I596" t="s">
        <v>75</v>
      </c>
      <c r="J596" s="12">
        <v>24</v>
      </c>
      <c r="K596" s="3">
        <v>40</v>
      </c>
      <c r="L596" s="14">
        <f t="shared" si="38"/>
        <v>40</v>
      </c>
      <c r="M596" s="12">
        <v>2</v>
      </c>
      <c r="N596">
        <v>1</v>
      </c>
      <c r="O596">
        <v>88</v>
      </c>
      <c r="P596" s="1">
        <f t="shared" si="39"/>
        <v>0.88</v>
      </c>
    </row>
    <row r="597" spans="1:16" x14ac:dyDescent="0.35">
      <c r="A597" t="s">
        <v>1266</v>
      </c>
      <c r="B597" t="s">
        <v>1267</v>
      </c>
      <c r="C597" t="str">
        <f t="shared" si="36"/>
        <v>Rachel Smith</v>
      </c>
      <c r="D597" t="s">
        <v>20</v>
      </c>
      <c r="E597" t="str">
        <f t="shared" si="37"/>
        <v>Female</v>
      </c>
      <c r="F597" s="12">
        <v>56</v>
      </c>
      <c r="G597" t="s">
        <v>15</v>
      </c>
      <c r="H597" s="12" t="s">
        <v>16</v>
      </c>
      <c r="I597" t="s">
        <v>23</v>
      </c>
      <c r="J597" s="12">
        <v>37</v>
      </c>
      <c r="K597" s="3">
        <v>40</v>
      </c>
      <c r="L597" s="14">
        <f t="shared" si="38"/>
        <v>40</v>
      </c>
      <c r="M597" s="12">
        <v>0</v>
      </c>
      <c r="N597">
        <v>0</v>
      </c>
      <c r="O597" s="1">
        <v>0.7</v>
      </c>
      <c r="P597" s="1">
        <f t="shared" si="39"/>
        <v>0.7</v>
      </c>
    </row>
    <row r="598" spans="1:16" x14ac:dyDescent="0.35">
      <c r="A598" t="s">
        <v>1268</v>
      </c>
      <c r="B598" t="s">
        <v>1269</v>
      </c>
      <c r="C598" t="str">
        <f t="shared" si="36"/>
        <v>Michael Miller</v>
      </c>
      <c r="D598" t="s">
        <v>27</v>
      </c>
      <c r="E598" t="str">
        <f t="shared" si="37"/>
        <v>Male</v>
      </c>
      <c r="F598" s="12">
        <v>36</v>
      </c>
      <c r="G598" t="s">
        <v>131</v>
      </c>
      <c r="H598" s="12" t="s">
        <v>132</v>
      </c>
      <c r="I598" t="s">
        <v>30</v>
      </c>
      <c r="J598" s="12">
        <v>3</v>
      </c>
      <c r="K598" s="3" t="s">
        <v>95</v>
      </c>
      <c r="L598" s="14" t="str">
        <f t="shared" si="38"/>
        <v>$ 50</v>
      </c>
      <c r="M598" s="12">
        <v>1.3</v>
      </c>
      <c r="N598">
        <v>1</v>
      </c>
      <c r="O598" s="1">
        <v>0.77</v>
      </c>
      <c r="P598" s="1">
        <f t="shared" si="39"/>
        <v>0.77</v>
      </c>
    </row>
    <row r="599" spans="1:16" x14ac:dyDescent="0.35">
      <c r="A599" t="s">
        <v>1270</v>
      </c>
      <c r="B599" t="s">
        <v>1271</v>
      </c>
      <c r="C599" t="str">
        <f t="shared" si="36"/>
        <v>Willie Clark</v>
      </c>
      <c r="D599" t="s">
        <v>27</v>
      </c>
      <c r="E599" t="str">
        <f t="shared" si="37"/>
        <v>Male</v>
      </c>
      <c r="F599" s="12">
        <v>48</v>
      </c>
      <c r="G599" t="s">
        <v>68</v>
      </c>
      <c r="H599" s="12" t="s">
        <v>69</v>
      </c>
      <c r="I599" t="s">
        <v>35</v>
      </c>
      <c r="J599" s="12">
        <v>18</v>
      </c>
      <c r="K599" s="3">
        <v>75</v>
      </c>
      <c r="L599" s="14">
        <f t="shared" si="38"/>
        <v>75</v>
      </c>
      <c r="M599" s="12">
        <v>0</v>
      </c>
      <c r="N599">
        <v>0</v>
      </c>
      <c r="O599" s="1">
        <v>0.8</v>
      </c>
      <c r="P599" s="1">
        <f t="shared" si="39"/>
        <v>0.8</v>
      </c>
    </row>
    <row r="600" spans="1:16" x14ac:dyDescent="0.35">
      <c r="A600" t="s">
        <v>1272</v>
      </c>
      <c r="B600" t="s">
        <v>1273</v>
      </c>
      <c r="C600" t="str">
        <f t="shared" si="36"/>
        <v>Jeremy Hernandez</v>
      </c>
      <c r="D600" t="s">
        <v>94</v>
      </c>
      <c r="E600" t="str">
        <f t="shared" si="37"/>
        <v>Male</v>
      </c>
      <c r="F600" s="12">
        <v>55</v>
      </c>
      <c r="G600" t="s">
        <v>135</v>
      </c>
      <c r="H600" s="12" t="s">
        <v>136</v>
      </c>
      <c r="I600" t="s">
        <v>111</v>
      </c>
      <c r="J600" s="12">
        <v>6</v>
      </c>
      <c r="K600" s="3">
        <v>40</v>
      </c>
      <c r="L600" s="14">
        <f t="shared" si="38"/>
        <v>40</v>
      </c>
      <c r="M600" s="12">
        <v>3.6</v>
      </c>
      <c r="N600">
        <v>1</v>
      </c>
      <c r="O600">
        <v>16</v>
      </c>
      <c r="P600" s="1">
        <f t="shared" si="39"/>
        <v>0.16</v>
      </c>
    </row>
    <row r="601" spans="1:16" x14ac:dyDescent="0.35">
      <c r="A601" t="s">
        <v>1274</v>
      </c>
      <c r="B601" t="s">
        <v>1275</v>
      </c>
      <c r="C601" t="str">
        <f t="shared" si="36"/>
        <v>Tina Shelton</v>
      </c>
      <c r="D601" t="s">
        <v>38</v>
      </c>
      <c r="E601" t="str">
        <f t="shared" si="37"/>
        <v>Female</v>
      </c>
      <c r="F601" s="12">
        <v>56</v>
      </c>
      <c r="G601" t="s">
        <v>185</v>
      </c>
      <c r="H601" s="12" t="s">
        <v>69</v>
      </c>
      <c r="I601" t="s">
        <v>86</v>
      </c>
      <c r="J601" s="12">
        <v>17</v>
      </c>
      <c r="K601" s="3">
        <v>40</v>
      </c>
      <c r="L601" s="14">
        <f t="shared" si="38"/>
        <v>40</v>
      </c>
      <c r="M601" s="12">
        <v>1.3</v>
      </c>
      <c r="N601">
        <v>1</v>
      </c>
      <c r="O601" s="1">
        <v>0.87</v>
      </c>
      <c r="P601" s="1">
        <f t="shared" si="39"/>
        <v>0.87</v>
      </c>
    </row>
    <row r="602" spans="1:16" x14ac:dyDescent="0.35">
      <c r="A602" t="s">
        <v>1276</v>
      </c>
      <c r="B602" t="s">
        <v>1277</v>
      </c>
      <c r="C602" t="str">
        <f t="shared" si="36"/>
        <v>Dr. Pamela Larson</v>
      </c>
      <c r="D602" t="s">
        <v>74</v>
      </c>
      <c r="E602" t="str">
        <f t="shared" si="37"/>
        <v>Female</v>
      </c>
      <c r="F602" s="12">
        <v>28</v>
      </c>
      <c r="G602" t="s">
        <v>124</v>
      </c>
      <c r="H602" s="12" t="s">
        <v>22</v>
      </c>
      <c r="I602" t="s">
        <v>17</v>
      </c>
      <c r="J602" s="12">
        <v>1</v>
      </c>
      <c r="K602" s="3">
        <v>75</v>
      </c>
      <c r="L602" s="14">
        <f t="shared" si="38"/>
        <v>75</v>
      </c>
      <c r="M602" s="12">
        <v>2.7</v>
      </c>
      <c r="N602">
        <v>1</v>
      </c>
      <c r="O602" s="1">
        <v>0.93</v>
      </c>
      <c r="P602" s="1">
        <f t="shared" si="39"/>
        <v>0.93</v>
      </c>
    </row>
    <row r="603" spans="1:16" x14ac:dyDescent="0.35">
      <c r="A603" t="s">
        <v>1278</v>
      </c>
      <c r="B603" t="s">
        <v>1279</v>
      </c>
      <c r="C603" t="str">
        <f t="shared" si="36"/>
        <v>Ryan Ewing</v>
      </c>
      <c r="D603" t="s">
        <v>27</v>
      </c>
      <c r="E603" t="str">
        <f t="shared" si="37"/>
        <v>Male</v>
      </c>
      <c r="F603" s="12">
        <v>60</v>
      </c>
      <c r="G603" t="s">
        <v>56</v>
      </c>
      <c r="H603" s="12" t="s">
        <v>22</v>
      </c>
      <c r="I603" t="s">
        <v>43</v>
      </c>
      <c r="J603" s="12">
        <v>39</v>
      </c>
      <c r="K603" s="3" t="s">
        <v>24</v>
      </c>
      <c r="L603" s="14" t="str">
        <f t="shared" si="38"/>
        <v>$ 100</v>
      </c>
      <c r="M603" s="12">
        <v>1.5</v>
      </c>
      <c r="N603">
        <v>1</v>
      </c>
      <c r="O603">
        <v>88</v>
      </c>
      <c r="P603" s="1">
        <f t="shared" si="39"/>
        <v>0.88</v>
      </c>
    </row>
    <row r="604" spans="1:16" x14ac:dyDescent="0.35">
      <c r="A604" t="s">
        <v>1280</v>
      </c>
      <c r="B604" t="s">
        <v>1281</v>
      </c>
      <c r="C604" t="str">
        <f t="shared" si="36"/>
        <v>Mark Cochran</v>
      </c>
      <c r="D604" t="s">
        <v>27</v>
      </c>
      <c r="E604" t="str">
        <f t="shared" si="37"/>
        <v>Male</v>
      </c>
      <c r="F604" s="12">
        <v>34</v>
      </c>
      <c r="G604" t="s">
        <v>109</v>
      </c>
      <c r="H604" s="12" t="s">
        <v>110</v>
      </c>
      <c r="I604" t="s">
        <v>17</v>
      </c>
      <c r="J604" s="12">
        <v>15</v>
      </c>
      <c r="K604" s="3">
        <v>20</v>
      </c>
      <c r="L604" s="14">
        <f t="shared" si="38"/>
        <v>20</v>
      </c>
      <c r="M604" s="12">
        <v>0</v>
      </c>
      <c r="N604">
        <v>0</v>
      </c>
      <c r="O604" s="1">
        <v>1</v>
      </c>
      <c r="P604" s="1">
        <f t="shared" si="39"/>
        <v>0.01</v>
      </c>
    </row>
    <row r="605" spans="1:16" x14ac:dyDescent="0.35">
      <c r="A605" t="s">
        <v>1282</v>
      </c>
      <c r="B605" t="s">
        <v>1283</v>
      </c>
      <c r="C605" t="str">
        <f t="shared" si="36"/>
        <v>Martha Carson</v>
      </c>
      <c r="D605" t="s">
        <v>38</v>
      </c>
      <c r="E605" t="str">
        <f t="shared" si="37"/>
        <v>Female</v>
      </c>
      <c r="F605" s="12">
        <v>38</v>
      </c>
      <c r="G605" t="s">
        <v>47</v>
      </c>
      <c r="H605" s="12" t="s">
        <v>48</v>
      </c>
      <c r="I605" t="s">
        <v>43</v>
      </c>
      <c r="J605" s="12">
        <v>13</v>
      </c>
      <c r="K605" s="3">
        <v>40</v>
      </c>
      <c r="L605" s="14">
        <f t="shared" si="38"/>
        <v>40</v>
      </c>
      <c r="M605" s="12">
        <v>0</v>
      </c>
      <c r="N605">
        <v>1</v>
      </c>
      <c r="O605">
        <v>61</v>
      </c>
      <c r="P605" s="1">
        <f t="shared" si="39"/>
        <v>0.61</v>
      </c>
    </row>
    <row r="606" spans="1:16" x14ac:dyDescent="0.35">
      <c r="A606" t="s">
        <v>1284</v>
      </c>
      <c r="B606" t="s">
        <v>1285</v>
      </c>
      <c r="C606" t="str">
        <f t="shared" si="36"/>
        <v>Heather Jackson</v>
      </c>
      <c r="D606" t="s">
        <v>20</v>
      </c>
      <c r="E606" t="str">
        <f t="shared" si="37"/>
        <v>Female</v>
      </c>
      <c r="F606" s="12">
        <v>51</v>
      </c>
      <c r="G606" t="s">
        <v>109</v>
      </c>
      <c r="H606" s="12" t="s">
        <v>110</v>
      </c>
      <c r="I606" t="s">
        <v>35</v>
      </c>
      <c r="J606" s="12">
        <v>17</v>
      </c>
      <c r="K606" s="3">
        <v>100</v>
      </c>
      <c r="L606" s="14">
        <f t="shared" si="38"/>
        <v>100</v>
      </c>
      <c r="M606" s="12">
        <v>3</v>
      </c>
      <c r="N606">
        <v>0</v>
      </c>
      <c r="O606" s="1">
        <v>0.79</v>
      </c>
      <c r="P606" s="1">
        <f t="shared" si="39"/>
        <v>0.79</v>
      </c>
    </row>
    <row r="607" spans="1:16" x14ac:dyDescent="0.35">
      <c r="A607" t="s">
        <v>1286</v>
      </c>
      <c r="B607" t="s">
        <v>1287</v>
      </c>
      <c r="C607" t="str">
        <f t="shared" si="36"/>
        <v>Megan Young</v>
      </c>
      <c r="D607" t="s">
        <v>38</v>
      </c>
      <c r="E607" t="str">
        <f t="shared" si="37"/>
        <v>Female</v>
      </c>
      <c r="F607" s="12">
        <v>21</v>
      </c>
      <c r="G607" t="s">
        <v>82</v>
      </c>
      <c r="H607" s="12" t="s">
        <v>83</v>
      </c>
      <c r="I607" t="s">
        <v>23</v>
      </c>
      <c r="J607" s="12">
        <v>1</v>
      </c>
      <c r="K607" s="3">
        <v>30</v>
      </c>
      <c r="L607" s="14">
        <f t="shared" si="38"/>
        <v>30</v>
      </c>
      <c r="M607" s="12">
        <v>1.2</v>
      </c>
      <c r="N607">
        <v>1</v>
      </c>
      <c r="O607" s="1">
        <v>0.73</v>
      </c>
      <c r="P607" s="1">
        <f t="shared" si="39"/>
        <v>0.73</v>
      </c>
    </row>
    <row r="608" spans="1:16" x14ac:dyDescent="0.35">
      <c r="A608" t="s">
        <v>1288</v>
      </c>
      <c r="B608" t="s">
        <v>1289</v>
      </c>
      <c r="C608" t="str">
        <f t="shared" si="36"/>
        <v>Thomas Davis</v>
      </c>
      <c r="D608" t="s">
        <v>27</v>
      </c>
      <c r="E608" t="str">
        <f t="shared" si="37"/>
        <v>Male</v>
      </c>
      <c r="F608" s="12">
        <v>35</v>
      </c>
      <c r="G608" t="s">
        <v>15</v>
      </c>
      <c r="H608" s="12" t="s">
        <v>16</v>
      </c>
      <c r="I608" t="s">
        <v>70</v>
      </c>
      <c r="J608" s="12">
        <v>16</v>
      </c>
      <c r="K608" s="3">
        <v>40</v>
      </c>
      <c r="L608" s="14">
        <f t="shared" si="38"/>
        <v>40</v>
      </c>
      <c r="M608" s="12">
        <v>1.3</v>
      </c>
      <c r="N608">
        <v>1</v>
      </c>
      <c r="O608" s="1">
        <v>0.64</v>
      </c>
      <c r="P608" s="1">
        <f t="shared" si="39"/>
        <v>0.64</v>
      </c>
    </row>
    <row r="609" spans="1:16" x14ac:dyDescent="0.35">
      <c r="A609" t="s">
        <v>1290</v>
      </c>
      <c r="B609" t="s">
        <v>1291</v>
      </c>
      <c r="C609" t="str">
        <f t="shared" si="36"/>
        <v>Thomas Mooney</v>
      </c>
      <c r="D609" t="s">
        <v>27</v>
      </c>
      <c r="E609" t="str">
        <f t="shared" si="37"/>
        <v>Male</v>
      </c>
      <c r="F609" s="12">
        <v>27</v>
      </c>
      <c r="G609" t="s">
        <v>104</v>
      </c>
      <c r="H609" s="12" t="s">
        <v>105</v>
      </c>
      <c r="I609" t="s">
        <v>35</v>
      </c>
      <c r="J609" s="12">
        <v>9</v>
      </c>
      <c r="K609" s="3">
        <v>100</v>
      </c>
      <c r="L609" s="14">
        <f t="shared" si="38"/>
        <v>100</v>
      </c>
      <c r="M609" s="12">
        <v>3</v>
      </c>
      <c r="N609">
        <v>1</v>
      </c>
      <c r="O609">
        <v>16</v>
      </c>
      <c r="P609" s="1">
        <f t="shared" si="39"/>
        <v>0.16</v>
      </c>
    </row>
    <row r="610" spans="1:16" x14ac:dyDescent="0.35">
      <c r="A610" t="s">
        <v>1292</v>
      </c>
      <c r="B610" t="s">
        <v>1293</v>
      </c>
      <c r="C610" t="str">
        <f t="shared" si="36"/>
        <v>Susan Smith</v>
      </c>
      <c r="D610" t="s">
        <v>20</v>
      </c>
      <c r="E610" t="str">
        <f t="shared" si="37"/>
        <v>Female</v>
      </c>
      <c r="F610" s="12">
        <v>42</v>
      </c>
      <c r="G610" t="s">
        <v>60</v>
      </c>
      <c r="H610" s="12" t="s">
        <v>61</v>
      </c>
      <c r="I610" t="s">
        <v>23</v>
      </c>
      <c r="J610" s="12">
        <v>20</v>
      </c>
      <c r="K610" s="3" t="s">
        <v>95</v>
      </c>
      <c r="L610" s="14" t="str">
        <f t="shared" si="38"/>
        <v>$ 50</v>
      </c>
      <c r="M610" s="12">
        <v>3.8</v>
      </c>
      <c r="N610">
        <v>0</v>
      </c>
      <c r="O610" s="1">
        <v>0.93</v>
      </c>
      <c r="P610" s="1">
        <f t="shared" si="39"/>
        <v>0.93</v>
      </c>
    </row>
    <row r="611" spans="1:16" x14ac:dyDescent="0.35">
      <c r="A611" t="s">
        <v>1294</v>
      </c>
      <c r="B611" t="s">
        <v>1295</v>
      </c>
      <c r="C611" t="str">
        <f t="shared" si="36"/>
        <v>Brianna Orr</v>
      </c>
      <c r="D611" t="s">
        <v>38</v>
      </c>
      <c r="E611" t="str">
        <f t="shared" si="37"/>
        <v>Female</v>
      </c>
      <c r="F611" s="12">
        <v>52</v>
      </c>
      <c r="G611" t="s">
        <v>124</v>
      </c>
      <c r="H611" s="12" t="s">
        <v>22</v>
      </c>
      <c r="I611" t="s">
        <v>17</v>
      </c>
      <c r="J611" s="12">
        <v>29</v>
      </c>
      <c r="K611" s="3">
        <v>30</v>
      </c>
      <c r="L611" s="14">
        <f t="shared" si="38"/>
        <v>30</v>
      </c>
      <c r="M611" s="12">
        <v>3.8</v>
      </c>
      <c r="N611">
        <v>0</v>
      </c>
      <c r="O611" s="1">
        <v>0.68</v>
      </c>
      <c r="P611" s="1">
        <f t="shared" si="39"/>
        <v>0.68</v>
      </c>
    </row>
    <row r="612" spans="1:16" x14ac:dyDescent="0.35">
      <c r="A612" t="s">
        <v>1296</v>
      </c>
      <c r="B612" t="s">
        <v>1297</v>
      </c>
      <c r="C612" t="str">
        <f t="shared" si="36"/>
        <v>Dustin Smith</v>
      </c>
      <c r="D612" t="s">
        <v>27</v>
      </c>
      <c r="E612" t="str">
        <f t="shared" si="37"/>
        <v>Male</v>
      </c>
      <c r="F612" s="12">
        <v>53</v>
      </c>
      <c r="G612" t="s">
        <v>109</v>
      </c>
      <c r="H612" s="12" t="s">
        <v>110</v>
      </c>
      <c r="I612" t="s">
        <v>35</v>
      </c>
      <c r="J612" s="12">
        <v>21</v>
      </c>
      <c r="K612" s="3">
        <v>40</v>
      </c>
      <c r="L612" s="14">
        <f t="shared" si="38"/>
        <v>40</v>
      </c>
      <c r="M612" s="12">
        <v>4.7</v>
      </c>
      <c r="N612">
        <v>1</v>
      </c>
      <c r="O612" s="1">
        <v>0.62</v>
      </c>
      <c r="P612" s="1">
        <f t="shared" si="39"/>
        <v>0.62</v>
      </c>
    </row>
    <row r="613" spans="1:16" x14ac:dyDescent="0.35">
      <c r="A613" t="s">
        <v>1298</v>
      </c>
      <c r="B613" t="s">
        <v>1299</v>
      </c>
      <c r="C613" t="str">
        <f t="shared" si="36"/>
        <v>Sarah White</v>
      </c>
      <c r="D613" t="s">
        <v>20</v>
      </c>
      <c r="E613" t="str">
        <f t="shared" si="37"/>
        <v>Female</v>
      </c>
      <c r="F613" s="12">
        <v>54</v>
      </c>
      <c r="G613" t="s">
        <v>15</v>
      </c>
      <c r="H613" s="12" t="s">
        <v>16</v>
      </c>
      <c r="I613" t="s">
        <v>23</v>
      </c>
      <c r="J613" s="12">
        <v>28</v>
      </c>
      <c r="K613" s="3" t="s">
        <v>53</v>
      </c>
      <c r="L613" s="14" t="str">
        <f t="shared" si="38"/>
        <v>$ 40</v>
      </c>
      <c r="M613" s="12">
        <v>1.1000000000000001</v>
      </c>
      <c r="N613">
        <v>1</v>
      </c>
      <c r="O613">
        <v>16</v>
      </c>
      <c r="P613" s="1">
        <f t="shared" si="39"/>
        <v>0.16</v>
      </c>
    </row>
    <row r="614" spans="1:16" x14ac:dyDescent="0.35">
      <c r="A614" t="s">
        <v>1300</v>
      </c>
      <c r="B614" t="s">
        <v>1301</v>
      </c>
      <c r="C614" t="str">
        <f t="shared" si="36"/>
        <v>Michael Davis</v>
      </c>
      <c r="D614" t="s">
        <v>59</v>
      </c>
      <c r="E614" t="str">
        <f t="shared" si="37"/>
        <v>Male</v>
      </c>
      <c r="F614" s="12">
        <v>51</v>
      </c>
      <c r="G614" t="s">
        <v>82</v>
      </c>
      <c r="H614" s="12" t="s">
        <v>83</v>
      </c>
      <c r="I614" t="s">
        <v>30</v>
      </c>
      <c r="J614" s="12">
        <v>5</v>
      </c>
      <c r="K614" s="3">
        <v>50</v>
      </c>
      <c r="L614" s="14">
        <f t="shared" si="38"/>
        <v>50</v>
      </c>
      <c r="M614" s="12">
        <v>4.2</v>
      </c>
      <c r="N614">
        <v>1</v>
      </c>
      <c r="O614" s="1">
        <v>0.82</v>
      </c>
      <c r="P614" s="1">
        <f t="shared" si="39"/>
        <v>0.82</v>
      </c>
    </row>
    <row r="615" spans="1:16" x14ac:dyDescent="0.35">
      <c r="A615" t="s">
        <v>1302</v>
      </c>
      <c r="B615" t="s">
        <v>1303</v>
      </c>
      <c r="C615" t="str">
        <f t="shared" si="36"/>
        <v>Jennifer Phillips</v>
      </c>
      <c r="D615" t="s">
        <v>38</v>
      </c>
      <c r="E615" t="str">
        <f t="shared" si="37"/>
        <v>Female</v>
      </c>
      <c r="F615" s="12">
        <v>30</v>
      </c>
      <c r="G615" t="s">
        <v>109</v>
      </c>
      <c r="H615" s="12" t="s">
        <v>110</v>
      </c>
      <c r="I615" t="s">
        <v>35</v>
      </c>
      <c r="J615" s="12">
        <v>11</v>
      </c>
      <c r="K615" s="3">
        <v>40</v>
      </c>
      <c r="L615" s="14">
        <f t="shared" si="38"/>
        <v>40</v>
      </c>
      <c r="M615" s="12">
        <v>0</v>
      </c>
      <c r="N615">
        <v>0</v>
      </c>
      <c r="O615">
        <v>16</v>
      </c>
      <c r="P615" s="1">
        <f t="shared" si="39"/>
        <v>0.16</v>
      </c>
    </row>
    <row r="616" spans="1:16" x14ac:dyDescent="0.35">
      <c r="A616" t="s">
        <v>1304</v>
      </c>
      <c r="B616" t="s">
        <v>1305</v>
      </c>
      <c r="C616" t="str">
        <f t="shared" si="36"/>
        <v>Dana Sanders</v>
      </c>
      <c r="D616" t="s">
        <v>74</v>
      </c>
      <c r="E616" t="str">
        <f t="shared" si="37"/>
        <v>Female</v>
      </c>
      <c r="F616" s="12">
        <v>45</v>
      </c>
      <c r="G616" t="s">
        <v>41</v>
      </c>
      <c r="H616" s="12" t="s">
        <v>42</v>
      </c>
      <c r="I616" t="s">
        <v>111</v>
      </c>
      <c r="J616" s="12">
        <v>27</v>
      </c>
      <c r="K616" s="3" t="s">
        <v>50</v>
      </c>
      <c r="L616" s="14" t="str">
        <f t="shared" si="38"/>
        <v>$ 75</v>
      </c>
      <c r="M616" s="12">
        <v>0</v>
      </c>
      <c r="N616">
        <v>1</v>
      </c>
      <c r="O616" s="1">
        <v>0.85</v>
      </c>
      <c r="P616" s="1">
        <f t="shared" si="39"/>
        <v>0.85</v>
      </c>
    </row>
    <row r="617" spans="1:16" x14ac:dyDescent="0.35">
      <c r="A617" t="s">
        <v>1306</v>
      </c>
      <c r="B617" t="s">
        <v>1307</v>
      </c>
      <c r="C617" t="str">
        <f t="shared" si="36"/>
        <v>Daniel Quinn</v>
      </c>
      <c r="D617" t="s">
        <v>27</v>
      </c>
      <c r="E617" t="str">
        <f t="shared" si="37"/>
        <v>Male</v>
      </c>
      <c r="F617" s="12">
        <v>57</v>
      </c>
      <c r="G617" t="s">
        <v>47</v>
      </c>
      <c r="H617" s="12" t="s">
        <v>48</v>
      </c>
      <c r="I617" t="s">
        <v>30</v>
      </c>
      <c r="J617" s="12">
        <v>26</v>
      </c>
      <c r="K617" s="3" t="s">
        <v>24</v>
      </c>
      <c r="L617" s="14" t="str">
        <f t="shared" si="38"/>
        <v>$ 100</v>
      </c>
      <c r="M617" s="12">
        <v>2.4</v>
      </c>
      <c r="N617">
        <v>1</v>
      </c>
      <c r="O617" s="1">
        <v>0.78</v>
      </c>
      <c r="P617" s="1">
        <f t="shared" si="39"/>
        <v>0.78</v>
      </c>
    </row>
    <row r="618" spans="1:16" x14ac:dyDescent="0.35">
      <c r="A618" t="s">
        <v>1308</v>
      </c>
      <c r="B618" t="s">
        <v>1309</v>
      </c>
      <c r="C618" t="str">
        <f t="shared" si="36"/>
        <v>Matthew Steele</v>
      </c>
      <c r="D618" t="s">
        <v>94</v>
      </c>
      <c r="E618" t="str">
        <f t="shared" si="37"/>
        <v>Male</v>
      </c>
      <c r="F618" s="12">
        <v>38</v>
      </c>
      <c r="G618" t="s">
        <v>60</v>
      </c>
      <c r="H618" s="12" t="s">
        <v>61</v>
      </c>
      <c r="I618" t="s">
        <v>17</v>
      </c>
      <c r="J618" s="12">
        <v>19</v>
      </c>
      <c r="K618" s="3">
        <v>40</v>
      </c>
      <c r="L618" s="14">
        <f t="shared" si="38"/>
        <v>40</v>
      </c>
      <c r="M618" s="12">
        <v>0</v>
      </c>
      <c r="N618">
        <v>1</v>
      </c>
      <c r="O618" s="1">
        <v>0.86</v>
      </c>
      <c r="P618" s="1">
        <f t="shared" si="39"/>
        <v>0.86</v>
      </c>
    </row>
    <row r="619" spans="1:16" x14ac:dyDescent="0.35">
      <c r="A619" t="s">
        <v>1310</v>
      </c>
      <c r="B619" t="s">
        <v>1311</v>
      </c>
      <c r="C619" t="str">
        <f t="shared" si="36"/>
        <v>Michele Taylor</v>
      </c>
      <c r="D619" t="s">
        <v>20</v>
      </c>
      <c r="E619" t="str">
        <f t="shared" si="37"/>
        <v>Female</v>
      </c>
      <c r="F619" s="12">
        <v>42</v>
      </c>
      <c r="G619" t="s">
        <v>120</v>
      </c>
      <c r="H619" s="12" t="s">
        <v>121</v>
      </c>
      <c r="I619" t="s">
        <v>86</v>
      </c>
      <c r="J619" s="12">
        <v>24</v>
      </c>
      <c r="K619" s="3" t="s">
        <v>53</v>
      </c>
      <c r="L619" s="14" t="str">
        <f t="shared" si="38"/>
        <v>$ 40</v>
      </c>
      <c r="M619" s="12">
        <v>3</v>
      </c>
      <c r="N619">
        <v>0</v>
      </c>
      <c r="O619" s="1">
        <v>0.88</v>
      </c>
      <c r="P619" s="1">
        <f t="shared" si="39"/>
        <v>0.88</v>
      </c>
    </row>
    <row r="620" spans="1:16" x14ac:dyDescent="0.35">
      <c r="A620" t="s">
        <v>1312</v>
      </c>
      <c r="B620" t="s">
        <v>1313</v>
      </c>
      <c r="C620" t="str">
        <f t="shared" si="36"/>
        <v>Ashley Hammond</v>
      </c>
      <c r="D620" t="s">
        <v>74</v>
      </c>
      <c r="E620" t="str">
        <f t="shared" si="37"/>
        <v>Female</v>
      </c>
      <c r="F620" s="12">
        <v>30</v>
      </c>
      <c r="G620" t="s">
        <v>149</v>
      </c>
      <c r="H620" s="12" t="s">
        <v>150</v>
      </c>
      <c r="I620" t="s">
        <v>86</v>
      </c>
      <c r="J620" s="12">
        <v>7</v>
      </c>
      <c r="K620" s="3">
        <v>30</v>
      </c>
      <c r="L620" s="14">
        <f t="shared" si="38"/>
        <v>30</v>
      </c>
      <c r="M620" s="12">
        <v>3.3</v>
      </c>
      <c r="N620">
        <v>1</v>
      </c>
      <c r="O620" s="1">
        <v>0.68</v>
      </c>
      <c r="P620" s="1">
        <f t="shared" si="39"/>
        <v>0.68</v>
      </c>
    </row>
    <row r="621" spans="1:16" x14ac:dyDescent="0.35">
      <c r="A621" t="s">
        <v>1314</v>
      </c>
      <c r="B621" t="s">
        <v>1315</v>
      </c>
      <c r="C621" t="str">
        <f t="shared" si="36"/>
        <v>Nicole Taylor</v>
      </c>
      <c r="D621" t="s">
        <v>38</v>
      </c>
      <c r="E621" t="str">
        <f t="shared" si="37"/>
        <v>Female</v>
      </c>
      <c r="F621" s="12">
        <v>43</v>
      </c>
      <c r="G621" t="s">
        <v>21</v>
      </c>
      <c r="H621" s="12" t="s">
        <v>22</v>
      </c>
      <c r="I621" t="s">
        <v>35</v>
      </c>
      <c r="J621" s="12">
        <v>13</v>
      </c>
      <c r="K621" s="3">
        <v>100</v>
      </c>
      <c r="L621" s="14">
        <f t="shared" si="38"/>
        <v>100</v>
      </c>
      <c r="M621" s="12">
        <v>1.4</v>
      </c>
      <c r="N621">
        <v>1</v>
      </c>
      <c r="O621" s="1">
        <v>0.97</v>
      </c>
      <c r="P621" s="1">
        <f t="shared" si="39"/>
        <v>0.97</v>
      </c>
    </row>
    <row r="622" spans="1:16" x14ac:dyDescent="0.35">
      <c r="A622" t="s">
        <v>1316</v>
      </c>
      <c r="B622" t="s">
        <v>1317</v>
      </c>
      <c r="C622" t="str">
        <f t="shared" si="36"/>
        <v>Casey Bush</v>
      </c>
      <c r="D622" t="s">
        <v>94</v>
      </c>
      <c r="E622" t="str">
        <f t="shared" si="37"/>
        <v>Male</v>
      </c>
      <c r="F622" s="12">
        <v>22</v>
      </c>
      <c r="G622" t="s">
        <v>135</v>
      </c>
      <c r="H622" s="12" t="s">
        <v>136</v>
      </c>
      <c r="I622" t="s">
        <v>70</v>
      </c>
      <c r="J622" s="12">
        <v>2</v>
      </c>
      <c r="K622" s="3">
        <v>75</v>
      </c>
      <c r="L622" s="14">
        <f t="shared" si="38"/>
        <v>75</v>
      </c>
      <c r="M622" s="12">
        <v>1.7</v>
      </c>
      <c r="N622">
        <v>1</v>
      </c>
      <c r="O622" s="1">
        <v>0.91</v>
      </c>
      <c r="P622" s="1">
        <f t="shared" si="39"/>
        <v>0.91</v>
      </c>
    </row>
    <row r="623" spans="1:16" x14ac:dyDescent="0.35">
      <c r="A623" t="s">
        <v>1318</v>
      </c>
      <c r="B623" t="s">
        <v>1319</v>
      </c>
      <c r="C623" t="str">
        <f t="shared" si="36"/>
        <v>Samuel Patterson</v>
      </c>
      <c r="D623" t="s">
        <v>27</v>
      </c>
      <c r="E623" t="str">
        <f t="shared" si="37"/>
        <v>Male</v>
      </c>
      <c r="F623" s="12">
        <v>57</v>
      </c>
      <c r="G623" t="s">
        <v>174</v>
      </c>
      <c r="H623" s="12" t="s">
        <v>69</v>
      </c>
      <c r="I623" t="s">
        <v>111</v>
      </c>
      <c r="J623" s="12">
        <v>37</v>
      </c>
      <c r="K623" s="3">
        <v>30</v>
      </c>
      <c r="L623" s="14">
        <f t="shared" si="38"/>
        <v>30</v>
      </c>
      <c r="M623" s="12">
        <v>4.8</v>
      </c>
      <c r="N623">
        <v>0</v>
      </c>
      <c r="O623">
        <v>16</v>
      </c>
      <c r="P623" s="1">
        <f t="shared" si="39"/>
        <v>0.16</v>
      </c>
    </row>
    <row r="624" spans="1:16" x14ac:dyDescent="0.35">
      <c r="A624" t="s">
        <v>1320</v>
      </c>
      <c r="B624" t="s">
        <v>1321</v>
      </c>
      <c r="C624" t="str">
        <f t="shared" si="36"/>
        <v>Craig Dennis</v>
      </c>
      <c r="D624" t="s">
        <v>59</v>
      </c>
      <c r="E624" t="str">
        <f t="shared" si="37"/>
        <v>Male</v>
      </c>
      <c r="F624" s="12">
        <v>44</v>
      </c>
      <c r="G624" t="s">
        <v>64</v>
      </c>
      <c r="H624" s="12" t="s">
        <v>22</v>
      </c>
      <c r="I624" t="s">
        <v>30</v>
      </c>
      <c r="J624" s="12">
        <v>1</v>
      </c>
      <c r="K624" s="3">
        <v>40</v>
      </c>
      <c r="L624" s="14">
        <f t="shared" si="38"/>
        <v>40</v>
      </c>
      <c r="M624" s="12">
        <v>4.8</v>
      </c>
      <c r="N624">
        <v>0</v>
      </c>
      <c r="O624" s="1">
        <v>0.97</v>
      </c>
      <c r="P624" s="1">
        <f t="shared" si="39"/>
        <v>0.97</v>
      </c>
    </row>
    <row r="625" spans="1:16" x14ac:dyDescent="0.35">
      <c r="A625" t="s">
        <v>1322</v>
      </c>
      <c r="B625" t="s">
        <v>1323</v>
      </c>
      <c r="C625" t="str">
        <f t="shared" si="36"/>
        <v>Heidi Dixon</v>
      </c>
      <c r="D625" t="s">
        <v>38</v>
      </c>
      <c r="E625" t="str">
        <f t="shared" si="37"/>
        <v>Female</v>
      </c>
      <c r="F625" s="12">
        <v>46</v>
      </c>
      <c r="G625" t="s">
        <v>170</v>
      </c>
      <c r="H625" s="12" t="s">
        <v>171</v>
      </c>
      <c r="I625" t="s">
        <v>86</v>
      </c>
      <c r="J625" s="12">
        <v>5</v>
      </c>
      <c r="K625" s="3" t="s">
        <v>106</v>
      </c>
      <c r="L625" s="14" t="str">
        <f t="shared" si="38"/>
        <v>$ 30</v>
      </c>
      <c r="M625" s="12">
        <v>2</v>
      </c>
      <c r="N625">
        <v>1</v>
      </c>
      <c r="O625" s="1">
        <v>0.64</v>
      </c>
      <c r="P625" s="1">
        <f t="shared" si="39"/>
        <v>0.64</v>
      </c>
    </row>
    <row r="626" spans="1:16" x14ac:dyDescent="0.35">
      <c r="A626" t="s">
        <v>1324</v>
      </c>
      <c r="B626" t="s">
        <v>1325</v>
      </c>
      <c r="C626" t="str">
        <f t="shared" si="36"/>
        <v>David Bishop</v>
      </c>
      <c r="D626" t="s">
        <v>94</v>
      </c>
      <c r="E626" t="str">
        <f t="shared" si="37"/>
        <v>Male</v>
      </c>
      <c r="F626" s="12">
        <v>41</v>
      </c>
      <c r="G626" t="s">
        <v>185</v>
      </c>
      <c r="H626" s="12" t="s">
        <v>69</v>
      </c>
      <c r="I626" t="s">
        <v>17</v>
      </c>
      <c r="J626" s="12">
        <v>1</v>
      </c>
      <c r="K626" s="3" t="s">
        <v>95</v>
      </c>
      <c r="L626" s="14" t="str">
        <f t="shared" si="38"/>
        <v>$ 50</v>
      </c>
      <c r="M626" s="12">
        <v>2.8</v>
      </c>
      <c r="N626">
        <v>1</v>
      </c>
      <c r="O626" s="1">
        <v>0.87</v>
      </c>
      <c r="P626" s="1">
        <f t="shared" si="39"/>
        <v>0.87</v>
      </c>
    </row>
    <row r="627" spans="1:16" x14ac:dyDescent="0.35">
      <c r="A627" t="s">
        <v>1326</v>
      </c>
      <c r="B627" t="s">
        <v>1327</v>
      </c>
      <c r="C627" t="str">
        <f t="shared" si="36"/>
        <v>Laura Butler</v>
      </c>
      <c r="D627" t="s">
        <v>74</v>
      </c>
      <c r="E627" t="str">
        <f t="shared" si="37"/>
        <v>Female</v>
      </c>
      <c r="F627" s="12">
        <v>34</v>
      </c>
      <c r="G627" t="s">
        <v>21</v>
      </c>
      <c r="H627" s="12" t="s">
        <v>22</v>
      </c>
      <c r="I627" t="s">
        <v>49</v>
      </c>
      <c r="J627" s="12">
        <v>2</v>
      </c>
      <c r="K627" s="3">
        <v>100</v>
      </c>
      <c r="L627" s="14">
        <f t="shared" si="38"/>
        <v>100</v>
      </c>
      <c r="M627" s="12">
        <v>0</v>
      </c>
      <c r="N627">
        <v>0</v>
      </c>
      <c r="O627">
        <v>86</v>
      </c>
      <c r="P627" s="1">
        <f t="shared" si="39"/>
        <v>0.86</v>
      </c>
    </row>
    <row r="628" spans="1:16" x14ac:dyDescent="0.35">
      <c r="A628" t="s">
        <v>1328</v>
      </c>
      <c r="B628" t="s">
        <v>1329</v>
      </c>
      <c r="C628" t="str">
        <f t="shared" si="36"/>
        <v>Denise Erickson</v>
      </c>
      <c r="D628" t="s">
        <v>38</v>
      </c>
      <c r="E628" t="str">
        <f t="shared" si="37"/>
        <v>Female</v>
      </c>
      <c r="F628" s="12">
        <v>46</v>
      </c>
      <c r="G628" t="s">
        <v>15</v>
      </c>
      <c r="H628" s="12" t="s">
        <v>16</v>
      </c>
      <c r="I628" t="s">
        <v>23</v>
      </c>
      <c r="J628" s="12">
        <v>11</v>
      </c>
      <c r="K628" s="3">
        <v>100</v>
      </c>
      <c r="L628" s="14">
        <f t="shared" si="38"/>
        <v>100</v>
      </c>
      <c r="M628" s="12">
        <v>4.4000000000000004</v>
      </c>
      <c r="N628">
        <v>1</v>
      </c>
      <c r="O628">
        <v>97</v>
      </c>
      <c r="P628" s="1">
        <f t="shared" si="39"/>
        <v>0.97</v>
      </c>
    </row>
    <row r="629" spans="1:16" x14ac:dyDescent="0.35">
      <c r="A629" t="s">
        <v>1330</v>
      </c>
      <c r="B629" t="s">
        <v>1331</v>
      </c>
      <c r="C629" t="str">
        <f t="shared" si="36"/>
        <v>Nicole Austin</v>
      </c>
      <c r="D629" t="s">
        <v>38</v>
      </c>
      <c r="E629" t="str">
        <f t="shared" si="37"/>
        <v>Female</v>
      </c>
      <c r="F629" s="12">
        <v>22</v>
      </c>
      <c r="G629" t="s">
        <v>131</v>
      </c>
      <c r="H629" s="12" t="s">
        <v>132</v>
      </c>
      <c r="I629" t="s">
        <v>17</v>
      </c>
      <c r="J629" s="12">
        <v>11</v>
      </c>
      <c r="K629" s="3" t="s">
        <v>106</v>
      </c>
      <c r="L629" s="14" t="str">
        <f t="shared" si="38"/>
        <v>$ 30</v>
      </c>
      <c r="M629" s="12">
        <v>4.9000000000000004</v>
      </c>
      <c r="N629">
        <v>0</v>
      </c>
      <c r="O629" s="1">
        <v>0.73</v>
      </c>
      <c r="P629" s="1">
        <f t="shared" si="39"/>
        <v>0.73</v>
      </c>
    </row>
    <row r="630" spans="1:16" x14ac:dyDescent="0.35">
      <c r="A630" t="s">
        <v>1332</v>
      </c>
      <c r="B630" t="s">
        <v>1333</v>
      </c>
      <c r="C630" t="str">
        <f t="shared" si="36"/>
        <v>Summer Williams</v>
      </c>
      <c r="D630" t="s">
        <v>38</v>
      </c>
      <c r="E630" t="str">
        <f t="shared" si="37"/>
        <v>Female</v>
      </c>
      <c r="F630" s="12">
        <v>23</v>
      </c>
      <c r="G630" t="s">
        <v>149</v>
      </c>
      <c r="H630" s="12" t="s">
        <v>150</v>
      </c>
      <c r="I630" t="s">
        <v>43</v>
      </c>
      <c r="J630" s="12">
        <v>11</v>
      </c>
      <c r="K630" s="3" t="s">
        <v>50</v>
      </c>
      <c r="L630" s="14" t="str">
        <f t="shared" si="38"/>
        <v>$ 75</v>
      </c>
      <c r="M630" s="12">
        <v>2.2999999999999998</v>
      </c>
      <c r="N630">
        <v>1</v>
      </c>
      <c r="O630" s="1">
        <v>0.6</v>
      </c>
      <c r="P630" s="1">
        <f t="shared" si="39"/>
        <v>0.6</v>
      </c>
    </row>
    <row r="631" spans="1:16" x14ac:dyDescent="0.35">
      <c r="A631" t="s">
        <v>1334</v>
      </c>
      <c r="B631" t="s">
        <v>1335</v>
      </c>
      <c r="C631" t="str">
        <f t="shared" si="36"/>
        <v>Angela Blackwell</v>
      </c>
      <c r="D631" t="s">
        <v>38</v>
      </c>
      <c r="E631" t="str">
        <f t="shared" si="37"/>
        <v>Female</v>
      </c>
      <c r="F631" s="12">
        <v>60</v>
      </c>
      <c r="G631" t="s">
        <v>60</v>
      </c>
      <c r="H631" s="12" t="s">
        <v>61</v>
      </c>
      <c r="I631" t="s">
        <v>35</v>
      </c>
      <c r="J631" s="12">
        <v>41</v>
      </c>
      <c r="K631" s="3">
        <v>40</v>
      </c>
      <c r="L631" s="14">
        <f t="shared" si="38"/>
        <v>40</v>
      </c>
      <c r="M631" s="12">
        <v>4.9000000000000004</v>
      </c>
      <c r="N631">
        <v>1</v>
      </c>
      <c r="O631">
        <v>66</v>
      </c>
      <c r="P631" s="1">
        <f t="shared" si="39"/>
        <v>0.66</v>
      </c>
    </row>
    <row r="632" spans="1:16" x14ac:dyDescent="0.35">
      <c r="A632" t="s">
        <v>1336</v>
      </c>
      <c r="B632" t="s">
        <v>1337</v>
      </c>
      <c r="C632" t="str">
        <f t="shared" si="36"/>
        <v>Thomas Wall</v>
      </c>
      <c r="D632" t="s">
        <v>27</v>
      </c>
      <c r="E632" t="str">
        <f t="shared" si="37"/>
        <v>Male</v>
      </c>
      <c r="F632" s="12">
        <v>20</v>
      </c>
      <c r="G632" t="s">
        <v>124</v>
      </c>
      <c r="H632" s="12" t="s">
        <v>22</v>
      </c>
      <c r="I632" t="s">
        <v>86</v>
      </c>
      <c r="J632" s="12">
        <v>11</v>
      </c>
      <c r="K632" s="3">
        <v>75</v>
      </c>
      <c r="L632" s="14">
        <f t="shared" si="38"/>
        <v>75</v>
      </c>
      <c r="M632" s="12">
        <v>4.3</v>
      </c>
      <c r="N632">
        <v>0</v>
      </c>
      <c r="O632" s="1">
        <v>0.9</v>
      </c>
      <c r="P632" s="1">
        <f t="shared" si="39"/>
        <v>0.9</v>
      </c>
    </row>
    <row r="633" spans="1:16" x14ac:dyDescent="0.35">
      <c r="A633" t="s">
        <v>1338</v>
      </c>
      <c r="B633" t="s">
        <v>1339</v>
      </c>
      <c r="C633" t="str">
        <f t="shared" si="36"/>
        <v>Sarah Anderson</v>
      </c>
      <c r="D633" t="s">
        <v>38</v>
      </c>
      <c r="E633" t="str">
        <f t="shared" si="37"/>
        <v>Female</v>
      </c>
      <c r="F633" s="12">
        <v>41</v>
      </c>
      <c r="G633" t="s">
        <v>109</v>
      </c>
      <c r="H633" s="12" t="s">
        <v>110</v>
      </c>
      <c r="I633" t="s">
        <v>70</v>
      </c>
      <c r="J633" s="12">
        <v>23</v>
      </c>
      <c r="K633" s="3">
        <v>75</v>
      </c>
      <c r="L633" s="14">
        <f t="shared" si="38"/>
        <v>75</v>
      </c>
      <c r="M633" s="12">
        <v>1.4</v>
      </c>
      <c r="N633">
        <v>0</v>
      </c>
      <c r="O633">
        <v>16</v>
      </c>
      <c r="P633" s="1">
        <f t="shared" si="39"/>
        <v>0.16</v>
      </c>
    </row>
    <row r="634" spans="1:16" x14ac:dyDescent="0.35">
      <c r="A634" t="s">
        <v>1340</v>
      </c>
      <c r="B634" t="s">
        <v>1341</v>
      </c>
      <c r="C634" t="str">
        <f t="shared" si="36"/>
        <v>Christian Lane</v>
      </c>
      <c r="D634" t="s">
        <v>27</v>
      </c>
      <c r="E634" t="str">
        <f t="shared" si="37"/>
        <v>Male</v>
      </c>
      <c r="F634" s="12">
        <v>24</v>
      </c>
      <c r="G634" t="s">
        <v>131</v>
      </c>
      <c r="H634" s="12" t="s">
        <v>132</v>
      </c>
      <c r="I634" t="s">
        <v>23</v>
      </c>
      <c r="J634" s="12">
        <v>11</v>
      </c>
      <c r="K634" s="3">
        <v>100</v>
      </c>
      <c r="L634" s="14">
        <f t="shared" si="38"/>
        <v>100</v>
      </c>
      <c r="M634" s="12">
        <v>3</v>
      </c>
      <c r="N634">
        <v>1</v>
      </c>
      <c r="O634">
        <v>16</v>
      </c>
      <c r="P634" s="1">
        <f t="shared" si="39"/>
        <v>0.16</v>
      </c>
    </row>
    <row r="635" spans="1:16" x14ac:dyDescent="0.35">
      <c r="A635" t="s">
        <v>1342</v>
      </c>
      <c r="B635" t="s">
        <v>1343</v>
      </c>
      <c r="C635" t="str">
        <f t="shared" si="36"/>
        <v>Todd Casey</v>
      </c>
      <c r="D635" t="s">
        <v>27</v>
      </c>
      <c r="E635" t="str">
        <f t="shared" si="37"/>
        <v>Male</v>
      </c>
      <c r="F635" s="12">
        <v>44</v>
      </c>
      <c r="G635" t="s">
        <v>41</v>
      </c>
      <c r="H635" s="12" t="s">
        <v>42</v>
      </c>
      <c r="I635" t="s">
        <v>111</v>
      </c>
      <c r="J635" s="12">
        <v>4</v>
      </c>
      <c r="K635" s="3">
        <v>40</v>
      </c>
      <c r="L635" s="14">
        <f t="shared" si="38"/>
        <v>40</v>
      </c>
      <c r="M635" s="12">
        <v>1.3</v>
      </c>
      <c r="N635">
        <v>1</v>
      </c>
      <c r="O635">
        <v>77</v>
      </c>
      <c r="P635" s="1">
        <f t="shared" si="39"/>
        <v>0.77</v>
      </c>
    </row>
    <row r="636" spans="1:16" x14ac:dyDescent="0.35">
      <c r="A636" t="s">
        <v>1344</v>
      </c>
      <c r="B636" t="s">
        <v>1345</v>
      </c>
      <c r="C636" t="str">
        <f t="shared" si="36"/>
        <v>David Martinez</v>
      </c>
      <c r="D636" t="s">
        <v>59</v>
      </c>
      <c r="E636" t="str">
        <f t="shared" si="37"/>
        <v>Male</v>
      </c>
      <c r="F636" s="12">
        <v>52</v>
      </c>
      <c r="G636" t="s">
        <v>170</v>
      </c>
      <c r="H636" s="12" t="s">
        <v>171</v>
      </c>
      <c r="I636" t="s">
        <v>70</v>
      </c>
      <c r="J636" s="12">
        <v>4</v>
      </c>
      <c r="K636" s="3">
        <v>75</v>
      </c>
      <c r="L636" s="14">
        <f t="shared" si="38"/>
        <v>75</v>
      </c>
      <c r="M636" s="12">
        <v>2.2999999999999998</v>
      </c>
      <c r="N636">
        <v>1</v>
      </c>
      <c r="O636" s="1">
        <v>0.79</v>
      </c>
      <c r="P636" s="1">
        <f t="shared" si="39"/>
        <v>0.79</v>
      </c>
    </row>
    <row r="637" spans="1:16" x14ac:dyDescent="0.35">
      <c r="A637" t="s">
        <v>1346</v>
      </c>
      <c r="B637" t="s">
        <v>1347</v>
      </c>
      <c r="C637" t="str">
        <f t="shared" si="36"/>
        <v>Donald Salas</v>
      </c>
      <c r="D637" t="s">
        <v>27</v>
      </c>
      <c r="E637" t="str">
        <f t="shared" si="37"/>
        <v>Male</v>
      </c>
      <c r="F637" s="12">
        <v>35</v>
      </c>
      <c r="G637" t="s">
        <v>185</v>
      </c>
      <c r="H637" s="12" t="s">
        <v>69</v>
      </c>
      <c r="I637" t="s">
        <v>111</v>
      </c>
      <c r="J637" s="12">
        <v>13</v>
      </c>
      <c r="K637" s="3">
        <v>40</v>
      </c>
      <c r="L637" s="14">
        <f t="shared" si="38"/>
        <v>40</v>
      </c>
      <c r="M637" s="12">
        <v>3.6</v>
      </c>
      <c r="N637">
        <v>0</v>
      </c>
      <c r="O637" s="1">
        <v>0.83</v>
      </c>
      <c r="P637" s="1">
        <f t="shared" si="39"/>
        <v>0.83</v>
      </c>
    </row>
    <row r="638" spans="1:16" x14ac:dyDescent="0.35">
      <c r="A638" t="s">
        <v>1348</v>
      </c>
      <c r="B638" t="s">
        <v>1349</v>
      </c>
      <c r="C638" t="str">
        <f t="shared" si="36"/>
        <v>Emma Hicks</v>
      </c>
      <c r="D638" t="s">
        <v>74</v>
      </c>
      <c r="E638" t="str">
        <f t="shared" si="37"/>
        <v>Female</v>
      </c>
      <c r="F638" s="12">
        <v>24</v>
      </c>
      <c r="G638" t="s">
        <v>41</v>
      </c>
      <c r="H638" s="12" t="s">
        <v>42</v>
      </c>
      <c r="I638" t="s">
        <v>86</v>
      </c>
      <c r="J638" s="12">
        <v>2</v>
      </c>
      <c r="K638" s="3">
        <v>50</v>
      </c>
      <c r="L638" s="14">
        <f t="shared" si="38"/>
        <v>50</v>
      </c>
      <c r="M638" s="12">
        <v>3</v>
      </c>
      <c r="N638">
        <v>0</v>
      </c>
      <c r="O638" s="1">
        <v>0.64</v>
      </c>
      <c r="P638" s="1">
        <f t="shared" si="39"/>
        <v>0.64</v>
      </c>
    </row>
    <row r="639" spans="1:16" x14ac:dyDescent="0.35">
      <c r="A639" t="s">
        <v>1350</v>
      </c>
      <c r="B639" t="s">
        <v>1351</v>
      </c>
      <c r="C639" t="str">
        <f t="shared" si="36"/>
        <v>Alison Clark</v>
      </c>
      <c r="D639" t="s">
        <v>20</v>
      </c>
      <c r="E639" t="str">
        <f t="shared" si="37"/>
        <v>Female</v>
      </c>
      <c r="F639" s="12">
        <v>46</v>
      </c>
      <c r="G639" t="s">
        <v>21</v>
      </c>
      <c r="H639" s="12" t="s">
        <v>22</v>
      </c>
      <c r="I639" t="s">
        <v>75</v>
      </c>
      <c r="J639" s="12">
        <v>25</v>
      </c>
      <c r="K639" s="3">
        <v>100</v>
      </c>
      <c r="L639" s="14">
        <f t="shared" si="38"/>
        <v>100</v>
      </c>
      <c r="M639" s="12">
        <v>1.3</v>
      </c>
      <c r="N639">
        <v>1</v>
      </c>
      <c r="O639" s="1">
        <v>0.8</v>
      </c>
      <c r="P639" s="1">
        <f t="shared" si="39"/>
        <v>0.8</v>
      </c>
    </row>
    <row r="640" spans="1:16" x14ac:dyDescent="0.35">
      <c r="A640" t="s">
        <v>1352</v>
      </c>
      <c r="B640" t="s">
        <v>1353</v>
      </c>
      <c r="C640" t="str">
        <f t="shared" si="36"/>
        <v>Andrew Barnes</v>
      </c>
      <c r="D640" t="s">
        <v>27</v>
      </c>
      <c r="E640" t="str">
        <f t="shared" si="37"/>
        <v>Male</v>
      </c>
      <c r="F640" s="12">
        <v>57</v>
      </c>
      <c r="G640" t="s">
        <v>174</v>
      </c>
      <c r="H640" s="12" t="s">
        <v>69</v>
      </c>
      <c r="I640" t="s">
        <v>23</v>
      </c>
      <c r="J640" s="12">
        <v>18</v>
      </c>
      <c r="K640" s="3" t="s">
        <v>106</v>
      </c>
      <c r="L640" s="14" t="str">
        <f t="shared" si="38"/>
        <v>$ 30</v>
      </c>
      <c r="M640" s="12">
        <v>1.1000000000000001</v>
      </c>
      <c r="N640">
        <v>0</v>
      </c>
      <c r="O640" s="1">
        <v>0.9</v>
      </c>
      <c r="P640" s="1">
        <f t="shared" si="39"/>
        <v>0.9</v>
      </c>
    </row>
    <row r="641" spans="1:16" x14ac:dyDescent="0.35">
      <c r="A641" t="s">
        <v>1354</v>
      </c>
      <c r="B641" t="s">
        <v>1355</v>
      </c>
      <c r="C641" t="str">
        <f t="shared" si="36"/>
        <v>Gina Snyder</v>
      </c>
      <c r="D641" t="s">
        <v>38</v>
      </c>
      <c r="E641" t="str">
        <f t="shared" si="37"/>
        <v>Female</v>
      </c>
      <c r="F641" s="12">
        <v>49</v>
      </c>
      <c r="G641" t="s">
        <v>174</v>
      </c>
      <c r="H641" s="12" t="s">
        <v>69</v>
      </c>
      <c r="I641" t="s">
        <v>35</v>
      </c>
      <c r="J641" s="12">
        <v>24</v>
      </c>
      <c r="K641" s="3">
        <v>50</v>
      </c>
      <c r="L641" s="14">
        <f t="shared" si="38"/>
        <v>50</v>
      </c>
      <c r="M641" s="12">
        <v>0</v>
      </c>
      <c r="N641">
        <v>0</v>
      </c>
      <c r="O641" s="1">
        <v>0.94</v>
      </c>
      <c r="P641" s="1">
        <f t="shared" si="39"/>
        <v>0.94</v>
      </c>
    </row>
    <row r="642" spans="1:16" x14ac:dyDescent="0.35">
      <c r="A642" t="s">
        <v>1356</v>
      </c>
      <c r="B642" t="s">
        <v>1357</v>
      </c>
      <c r="C642" t="str">
        <f t="shared" si="36"/>
        <v>David Watson</v>
      </c>
      <c r="D642" t="s">
        <v>59</v>
      </c>
      <c r="E642" t="str">
        <f t="shared" si="37"/>
        <v>Male</v>
      </c>
      <c r="F642" s="12">
        <v>41</v>
      </c>
      <c r="G642" t="s">
        <v>82</v>
      </c>
      <c r="H642" s="12" t="s">
        <v>83</v>
      </c>
      <c r="I642" t="s">
        <v>43</v>
      </c>
      <c r="J642" s="12">
        <v>7</v>
      </c>
      <c r="K642" s="3">
        <v>40</v>
      </c>
      <c r="L642" s="14">
        <f t="shared" si="38"/>
        <v>40</v>
      </c>
      <c r="M642" s="12">
        <v>1.8</v>
      </c>
      <c r="N642">
        <v>0</v>
      </c>
      <c r="O642" s="1">
        <v>0.7</v>
      </c>
      <c r="P642" s="1">
        <f t="shared" si="39"/>
        <v>0.7</v>
      </c>
    </row>
    <row r="643" spans="1:16" x14ac:dyDescent="0.35">
      <c r="A643" t="s">
        <v>1358</v>
      </c>
      <c r="B643" t="s">
        <v>1359</v>
      </c>
      <c r="C643" t="str">
        <f t="shared" ref="C643:C706" si="40">PROPER(B643)</f>
        <v>John Davis</v>
      </c>
      <c r="D643" t="s">
        <v>27</v>
      </c>
      <c r="E643" t="str">
        <f t="shared" ref="E643:E706" si="41">PROPER(D643)</f>
        <v>Male</v>
      </c>
      <c r="F643" s="12">
        <v>22</v>
      </c>
      <c r="G643" t="s">
        <v>174</v>
      </c>
      <c r="H643" s="12" t="s">
        <v>69</v>
      </c>
      <c r="I643" t="s">
        <v>111</v>
      </c>
      <c r="J643" s="12">
        <v>1</v>
      </c>
      <c r="K643" s="3" t="s">
        <v>308</v>
      </c>
      <c r="L643" s="14" t="str">
        <f t="shared" ref="L643:L706" si="42">IF(K643="","",IF(LEFT(K643,3)="USD","$"&amp;MID(K643,4,LEN(K643)-3),K643))</f>
        <v>$ 20</v>
      </c>
      <c r="M643" s="12">
        <v>3</v>
      </c>
      <c r="N643">
        <v>1</v>
      </c>
      <c r="O643" s="1">
        <v>0.75</v>
      </c>
      <c r="P643" s="1">
        <f t="shared" ref="P643:P706" si="43">IF(O643="","",IF(O643&lt;1,O643,O643/100))</f>
        <v>0.75</v>
      </c>
    </row>
    <row r="644" spans="1:16" x14ac:dyDescent="0.35">
      <c r="A644" t="s">
        <v>1360</v>
      </c>
      <c r="B644" t="s">
        <v>1361</v>
      </c>
      <c r="C644" t="str">
        <f t="shared" si="40"/>
        <v>Joseph Thomas</v>
      </c>
      <c r="D644" t="s">
        <v>27</v>
      </c>
      <c r="E644" t="str">
        <f t="shared" si="41"/>
        <v>Male</v>
      </c>
      <c r="F644" s="12">
        <v>50</v>
      </c>
      <c r="G644" t="s">
        <v>21</v>
      </c>
      <c r="H644" s="12" t="s">
        <v>22</v>
      </c>
      <c r="I644" t="s">
        <v>17</v>
      </c>
      <c r="J644" s="12">
        <v>17</v>
      </c>
      <c r="K644" s="3">
        <v>75</v>
      </c>
      <c r="L644" s="14">
        <f t="shared" si="42"/>
        <v>75</v>
      </c>
      <c r="M644" s="12">
        <v>3.3</v>
      </c>
      <c r="N644">
        <v>1</v>
      </c>
      <c r="O644" s="1">
        <v>0.69</v>
      </c>
      <c r="P644" s="1">
        <f t="shared" si="43"/>
        <v>0.69</v>
      </c>
    </row>
    <row r="645" spans="1:16" x14ac:dyDescent="0.35">
      <c r="A645" t="s">
        <v>1362</v>
      </c>
      <c r="B645" t="s">
        <v>1363</v>
      </c>
      <c r="C645" t="str">
        <f t="shared" si="40"/>
        <v>Dean Finley</v>
      </c>
      <c r="D645" t="s">
        <v>27</v>
      </c>
      <c r="E645" t="str">
        <f t="shared" si="41"/>
        <v>Male</v>
      </c>
      <c r="F645" s="12">
        <v>57</v>
      </c>
      <c r="G645" t="s">
        <v>28</v>
      </c>
      <c r="H645" s="12" t="s">
        <v>29</v>
      </c>
      <c r="I645" t="s">
        <v>30</v>
      </c>
      <c r="J645" s="12">
        <v>4</v>
      </c>
      <c r="K645" s="3" t="s">
        <v>106</v>
      </c>
      <c r="L645" s="14" t="str">
        <f t="shared" si="42"/>
        <v>$ 30</v>
      </c>
      <c r="M645" s="12">
        <v>4.2</v>
      </c>
      <c r="N645">
        <v>0</v>
      </c>
      <c r="O645">
        <v>16</v>
      </c>
      <c r="P645" s="1">
        <f t="shared" si="43"/>
        <v>0.16</v>
      </c>
    </row>
    <row r="646" spans="1:16" x14ac:dyDescent="0.35">
      <c r="A646" t="s">
        <v>1364</v>
      </c>
      <c r="B646" t="s">
        <v>1365</v>
      </c>
      <c r="C646" t="str">
        <f t="shared" si="40"/>
        <v>Ashley Kemp</v>
      </c>
      <c r="D646" t="s">
        <v>20</v>
      </c>
      <c r="E646" t="str">
        <f t="shared" si="41"/>
        <v>Female</v>
      </c>
      <c r="F646" s="12">
        <v>47</v>
      </c>
      <c r="G646" t="s">
        <v>174</v>
      </c>
      <c r="H646" s="12" t="s">
        <v>69</v>
      </c>
      <c r="I646" t="s">
        <v>43</v>
      </c>
      <c r="J646" s="12">
        <v>29</v>
      </c>
      <c r="K646" s="3">
        <v>50</v>
      </c>
      <c r="L646" s="14">
        <f t="shared" si="42"/>
        <v>50</v>
      </c>
      <c r="M646" s="12">
        <v>3</v>
      </c>
      <c r="N646">
        <v>1</v>
      </c>
      <c r="O646" s="1">
        <v>0.79</v>
      </c>
      <c r="P646" s="1">
        <f t="shared" si="43"/>
        <v>0.79</v>
      </c>
    </row>
    <row r="647" spans="1:16" x14ac:dyDescent="0.35">
      <c r="A647" t="s">
        <v>1366</v>
      </c>
      <c r="B647" t="s">
        <v>1367</v>
      </c>
      <c r="C647" t="str">
        <f t="shared" si="40"/>
        <v>Kenneth Evans</v>
      </c>
      <c r="D647" t="s">
        <v>27</v>
      </c>
      <c r="E647" t="str">
        <f t="shared" si="41"/>
        <v>Male</v>
      </c>
      <c r="F647" s="12">
        <v>24</v>
      </c>
      <c r="G647" t="s">
        <v>149</v>
      </c>
      <c r="H647" s="12" t="s">
        <v>150</v>
      </c>
      <c r="I647" t="s">
        <v>49</v>
      </c>
      <c r="J647" s="12">
        <v>2</v>
      </c>
      <c r="K647" s="3">
        <v>100</v>
      </c>
      <c r="L647" s="14">
        <f t="shared" si="42"/>
        <v>100</v>
      </c>
      <c r="M647" s="12">
        <v>3.8</v>
      </c>
      <c r="N647">
        <v>1</v>
      </c>
      <c r="O647" s="1">
        <v>0.71</v>
      </c>
      <c r="P647" s="1">
        <f t="shared" si="43"/>
        <v>0.71</v>
      </c>
    </row>
    <row r="648" spans="1:16" x14ac:dyDescent="0.35">
      <c r="A648" t="s">
        <v>1368</v>
      </c>
      <c r="B648" t="s">
        <v>1369</v>
      </c>
      <c r="C648" t="str">
        <f t="shared" si="40"/>
        <v>Brandon Newman</v>
      </c>
      <c r="D648" t="s">
        <v>27</v>
      </c>
      <c r="E648" t="str">
        <f t="shared" si="41"/>
        <v>Male</v>
      </c>
      <c r="F648" s="12">
        <v>41</v>
      </c>
      <c r="G648" t="s">
        <v>90</v>
      </c>
      <c r="H648" s="12" t="s">
        <v>91</v>
      </c>
      <c r="I648" t="s">
        <v>75</v>
      </c>
      <c r="J648" s="12">
        <v>9</v>
      </c>
      <c r="K648" s="3">
        <v>100</v>
      </c>
      <c r="L648" s="14">
        <f t="shared" si="42"/>
        <v>100</v>
      </c>
      <c r="M648" s="12">
        <v>4.8</v>
      </c>
      <c r="N648">
        <v>1</v>
      </c>
      <c r="O648" s="1">
        <v>0.72</v>
      </c>
      <c r="P648" s="1">
        <f t="shared" si="43"/>
        <v>0.72</v>
      </c>
    </row>
    <row r="649" spans="1:16" x14ac:dyDescent="0.35">
      <c r="A649" t="s">
        <v>1370</v>
      </c>
      <c r="B649" t="s">
        <v>1371</v>
      </c>
      <c r="C649" t="str">
        <f t="shared" si="40"/>
        <v>Katie Hensley</v>
      </c>
      <c r="D649" t="s">
        <v>20</v>
      </c>
      <c r="E649" t="str">
        <f t="shared" si="41"/>
        <v>Female</v>
      </c>
      <c r="F649" s="12">
        <v>50</v>
      </c>
      <c r="G649" t="s">
        <v>28</v>
      </c>
      <c r="H649" s="12" t="s">
        <v>29</v>
      </c>
      <c r="I649" t="s">
        <v>86</v>
      </c>
      <c r="J649" s="12">
        <v>10</v>
      </c>
      <c r="K649" s="3">
        <v>100</v>
      </c>
      <c r="L649" s="14">
        <f t="shared" si="42"/>
        <v>100</v>
      </c>
      <c r="M649" s="12">
        <v>4.3</v>
      </c>
      <c r="N649">
        <v>0</v>
      </c>
      <c r="O649" s="1">
        <v>0.93</v>
      </c>
      <c r="P649" s="1">
        <f t="shared" si="43"/>
        <v>0.93</v>
      </c>
    </row>
    <row r="650" spans="1:16" x14ac:dyDescent="0.35">
      <c r="A650" t="s">
        <v>1372</v>
      </c>
      <c r="B650" t="s">
        <v>1373</v>
      </c>
      <c r="C650" t="str">
        <f t="shared" si="40"/>
        <v>Joel Randolph</v>
      </c>
      <c r="D650" t="s">
        <v>27</v>
      </c>
      <c r="E650" t="str">
        <f t="shared" si="41"/>
        <v>Male</v>
      </c>
      <c r="F650" s="12">
        <v>46</v>
      </c>
      <c r="G650" t="s">
        <v>104</v>
      </c>
      <c r="H650" s="12" t="s">
        <v>105</v>
      </c>
      <c r="I650" t="s">
        <v>111</v>
      </c>
      <c r="J650" s="12">
        <v>20</v>
      </c>
      <c r="K650" s="3">
        <v>40</v>
      </c>
      <c r="L650" s="14">
        <f t="shared" si="42"/>
        <v>40</v>
      </c>
      <c r="M650" s="12">
        <v>4.8</v>
      </c>
      <c r="N650">
        <v>1</v>
      </c>
      <c r="O650" s="1">
        <v>0.82</v>
      </c>
      <c r="P650" s="1">
        <f t="shared" si="43"/>
        <v>0.82</v>
      </c>
    </row>
    <row r="651" spans="1:16" x14ac:dyDescent="0.35">
      <c r="A651" t="s">
        <v>1374</v>
      </c>
      <c r="B651" t="s">
        <v>1375</v>
      </c>
      <c r="C651" t="str">
        <f t="shared" si="40"/>
        <v>Andrew Scott</v>
      </c>
      <c r="D651" t="s">
        <v>27</v>
      </c>
      <c r="E651" t="str">
        <f t="shared" si="41"/>
        <v>Male</v>
      </c>
      <c r="F651" s="12">
        <v>51</v>
      </c>
      <c r="G651" t="s">
        <v>21</v>
      </c>
      <c r="H651" s="12" t="s">
        <v>22</v>
      </c>
      <c r="I651" t="s">
        <v>75</v>
      </c>
      <c r="J651" s="12">
        <v>9</v>
      </c>
      <c r="K651" s="3">
        <v>40</v>
      </c>
      <c r="L651" s="14">
        <f t="shared" si="42"/>
        <v>40</v>
      </c>
      <c r="M651" s="12">
        <v>3</v>
      </c>
      <c r="N651">
        <v>0</v>
      </c>
      <c r="O651">
        <v>60</v>
      </c>
      <c r="P651" s="1">
        <f t="shared" si="43"/>
        <v>0.6</v>
      </c>
    </row>
    <row r="652" spans="1:16" x14ac:dyDescent="0.35">
      <c r="A652" t="s">
        <v>1376</v>
      </c>
      <c r="B652" t="s">
        <v>1377</v>
      </c>
      <c r="C652" t="str">
        <f t="shared" si="40"/>
        <v>Zachary Ochoa</v>
      </c>
      <c r="D652" t="s">
        <v>59</v>
      </c>
      <c r="E652" t="str">
        <f t="shared" si="41"/>
        <v>Male</v>
      </c>
      <c r="F652" s="12">
        <v>51</v>
      </c>
      <c r="G652" t="s">
        <v>64</v>
      </c>
      <c r="H652" s="12" t="s">
        <v>22</v>
      </c>
      <c r="I652" t="s">
        <v>43</v>
      </c>
      <c r="J652" s="12">
        <v>12</v>
      </c>
      <c r="K652" s="3">
        <v>20</v>
      </c>
      <c r="L652" s="14">
        <f t="shared" si="42"/>
        <v>20</v>
      </c>
      <c r="M652" s="12">
        <v>4</v>
      </c>
      <c r="N652">
        <v>0</v>
      </c>
      <c r="O652">
        <v>93</v>
      </c>
      <c r="P652" s="1">
        <f t="shared" si="43"/>
        <v>0.93</v>
      </c>
    </row>
    <row r="653" spans="1:16" x14ac:dyDescent="0.35">
      <c r="A653" t="s">
        <v>1378</v>
      </c>
      <c r="B653" t="s">
        <v>1379</v>
      </c>
      <c r="C653" t="str">
        <f t="shared" si="40"/>
        <v>John Arroyo</v>
      </c>
      <c r="D653" t="s">
        <v>27</v>
      </c>
      <c r="E653" t="str">
        <f t="shared" si="41"/>
        <v>Male</v>
      </c>
      <c r="F653" s="12">
        <v>27</v>
      </c>
      <c r="G653" t="s">
        <v>64</v>
      </c>
      <c r="H653" s="12" t="s">
        <v>22</v>
      </c>
      <c r="I653" t="s">
        <v>43</v>
      </c>
      <c r="J653" s="12">
        <v>3</v>
      </c>
      <c r="K653" s="3" t="s">
        <v>95</v>
      </c>
      <c r="L653" s="14" t="str">
        <f t="shared" si="42"/>
        <v>$ 50</v>
      </c>
      <c r="M653" s="12">
        <v>3</v>
      </c>
      <c r="N653">
        <v>0</v>
      </c>
      <c r="O653">
        <v>16</v>
      </c>
      <c r="P653" s="1">
        <f t="shared" si="43"/>
        <v>0.16</v>
      </c>
    </row>
    <row r="654" spans="1:16" x14ac:dyDescent="0.35">
      <c r="A654" t="s">
        <v>1380</v>
      </c>
      <c r="B654" t="s">
        <v>1381</v>
      </c>
      <c r="C654" t="str">
        <f t="shared" si="40"/>
        <v>Matthew Fernandez</v>
      </c>
      <c r="D654" t="s">
        <v>59</v>
      </c>
      <c r="E654" t="str">
        <f t="shared" si="41"/>
        <v>Male</v>
      </c>
      <c r="F654" s="12">
        <v>42</v>
      </c>
      <c r="G654" t="s">
        <v>185</v>
      </c>
      <c r="H654" s="12" t="s">
        <v>69</v>
      </c>
      <c r="I654" t="s">
        <v>35</v>
      </c>
      <c r="J654" s="12">
        <v>13</v>
      </c>
      <c r="K654" s="3">
        <v>30</v>
      </c>
      <c r="L654" s="14">
        <f t="shared" si="42"/>
        <v>30</v>
      </c>
      <c r="M654" s="12">
        <v>0</v>
      </c>
      <c r="N654">
        <v>0</v>
      </c>
      <c r="O654" s="1">
        <v>0.74</v>
      </c>
      <c r="P654" s="1">
        <f t="shared" si="43"/>
        <v>0.74</v>
      </c>
    </row>
    <row r="655" spans="1:16" x14ac:dyDescent="0.35">
      <c r="A655" t="s">
        <v>1382</v>
      </c>
      <c r="B655" t="s">
        <v>1383</v>
      </c>
      <c r="C655" t="str">
        <f t="shared" si="40"/>
        <v>Benjamin Stark</v>
      </c>
      <c r="D655" t="s">
        <v>59</v>
      </c>
      <c r="E655" t="str">
        <f t="shared" si="41"/>
        <v>Male</v>
      </c>
      <c r="F655" s="12">
        <v>25</v>
      </c>
      <c r="G655" t="s">
        <v>28</v>
      </c>
      <c r="H655" s="12" t="s">
        <v>29</v>
      </c>
      <c r="I655" t="s">
        <v>70</v>
      </c>
      <c r="J655" s="12">
        <v>4</v>
      </c>
      <c r="K655" s="3">
        <v>40</v>
      </c>
      <c r="L655" s="14">
        <f t="shared" si="42"/>
        <v>40</v>
      </c>
      <c r="M655" s="12">
        <v>2.2999999999999998</v>
      </c>
      <c r="N655">
        <v>1</v>
      </c>
      <c r="O655">
        <v>73</v>
      </c>
      <c r="P655" s="1">
        <f t="shared" si="43"/>
        <v>0.73</v>
      </c>
    </row>
    <row r="656" spans="1:16" x14ac:dyDescent="0.35">
      <c r="A656" t="s">
        <v>1384</v>
      </c>
      <c r="B656" t="s">
        <v>1385</v>
      </c>
      <c r="C656" t="str">
        <f t="shared" si="40"/>
        <v>Tammy Greer</v>
      </c>
      <c r="D656" t="s">
        <v>74</v>
      </c>
      <c r="E656" t="str">
        <f t="shared" si="41"/>
        <v>Female</v>
      </c>
      <c r="F656" s="12">
        <v>32</v>
      </c>
      <c r="G656" t="s">
        <v>28</v>
      </c>
      <c r="H656" s="12" t="s">
        <v>29</v>
      </c>
      <c r="I656" t="s">
        <v>49</v>
      </c>
      <c r="J656" s="12">
        <v>9</v>
      </c>
      <c r="K656" s="3">
        <v>75</v>
      </c>
      <c r="L656" s="14">
        <f t="shared" si="42"/>
        <v>75</v>
      </c>
      <c r="M656" s="12">
        <v>3</v>
      </c>
      <c r="N656">
        <v>0</v>
      </c>
      <c r="O656" s="1">
        <v>0.96</v>
      </c>
      <c r="P656" s="1">
        <f t="shared" si="43"/>
        <v>0.96</v>
      </c>
    </row>
    <row r="657" spans="1:16" x14ac:dyDescent="0.35">
      <c r="A657" t="s">
        <v>1386</v>
      </c>
      <c r="B657" t="s">
        <v>1387</v>
      </c>
      <c r="C657" t="str">
        <f t="shared" si="40"/>
        <v>Cynthia Mckinney</v>
      </c>
      <c r="D657" t="s">
        <v>38</v>
      </c>
      <c r="E657" t="str">
        <f t="shared" si="41"/>
        <v>Female</v>
      </c>
      <c r="F657" s="12">
        <v>59</v>
      </c>
      <c r="G657" t="s">
        <v>124</v>
      </c>
      <c r="H657" s="12" t="s">
        <v>22</v>
      </c>
      <c r="I657" t="s">
        <v>30</v>
      </c>
      <c r="J657" s="12">
        <v>14</v>
      </c>
      <c r="K657" s="3">
        <v>30</v>
      </c>
      <c r="L657" s="14">
        <f t="shared" si="42"/>
        <v>30</v>
      </c>
      <c r="M657" s="12">
        <v>3.8</v>
      </c>
      <c r="N657">
        <v>1</v>
      </c>
      <c r="O657" s="1">
        <v>0.66</v>
      </c>
      <c r="P657" s="1">
        <f t="shared" si="43"/>
        <v>0.66</v>
      </c>
    </row>
    <row r="658" spans="1:16" x14ac:dyDescent="0.35">
      <c r="A658" t="s">
        <v>1388</v>
      </c>
      <c r="B658" t="s">
        <v>1389</v>
      </c>
      <c r="C658" t="str">
        <f t="shared" si="40"/>
        <v>Wendy Rice</v>
      </c>
      <c r="D658" t="s">
        <v>20</v>
      </c>
      <c r="E658" t="str">
        <f t="shared" si="41"/>
        <v>Female</v>
      </c>
      <c r="F658" s="12">
        <v>59</v>
      </c>
      <c r="G658" t="s">
        <v>131</v>
      </c>
      <c r="H658" s="12" t="s">
        <v>132</v>
      </c>
      <c r="I658" t="s">
        <v>75</v>
      </c>
      <c r="J658" s="12">
        <v>37</v>
      </c>
      <c r="K658" s="3">
        <v>30</v>
      </c>
      <c r="L658" s="14">
        <f t="shared" si="42"/>
        <v>30</v>
      </c>
      <c r="M658" s="12">
        <v>4</v>
      </c>
      <c r="N658">
        <v>0</v>
      </c>
      <c r="O658" s="1">
        <v>0.62</v>
      </c>
      <c r="P658" s="1">
        <f t="shared" si="43"/>
        <v>0.62</v>
      </c>
    </row>
    <row r="659" spans="1:16" x14ac:dyDescent="0.35">
      <c r="A659" t="s">
        <v>1390</v>
      </c>
      <c r="B659" t="s">
        <v>1391</v>
      </c>
      <c r="C659" t="str">
        <f t="shared" si="40"/>
        <v>Randy Bender</v>
      </c>
      <c r="D659" t="s">
        <v>94</v>
      </c>
      <c r="E659" t="str">
        <f t="shared" si="41"/>
        <v>Male</v>
      </c>
      <c r="F659" s="12">
        <v>29</v>
      </c>
      <c r="G659" t="s">
        <v>28</v>
      </c>
      <c r="H659" s="12" t="s">
        <v>29</v>
      </c>
      <c r="I659" t="s">
        <v>30</v>
      </c>
      <c r="J659" s="12">
        <v>2</v>
      </c>
      <c r="K659" s="3" t="s">
        <v>50</v>
      </c>
      <c r="L659" s="14" t="str">
        <f t="shared" si="42"/>
        <v>$ 75</v>
      </c>
      <c r="M659" s="12">
        <v>2.2000000000000002</v>
      </c>
      <c r="N659">
        <v>1</v>
      </c>
      <c r="O659" s="1">
        <v>0.85</v>
      </c>
      <c r="P659" s="1">
        <f t="shared" si="43"/>
        <v>0.85</v>
      </c>
    </row>
    <row r="660" spans="1:16" x14ac:dyDescent="0.35">
      <c r="A660" t="s">
        <v>1392</v>
      </c>
      <c r="B660" t="s">
        <v>1393</v>
      </c>
      <c r="C660" t="str">
        <f t="shared" si="40"/>
        <v>Richard Dominguez</v>
      </c>
      <c r="D660" t="s">
        <v>59</v>
      </c>
      <c r="E660" t="str">
        <f t="shared" si="41"/>
        <v>Male</v>
      </c>
      <c r="F660" s="12">
        <v>58</v>
      </c>
      <c r="G660" t="s">
        <v>170</v>
      </c>
      <c r="H660" s="12" t="s">
        <v>171</v>
      </c>
      <c r="I660" t="s">
        <v>43</v>
      </c>
      <c r="J660" s="12">
        <v>11</v>
      </c>
      <c r="K660" s="3">
        <v>100</v>
      </c>
      <c r="L660" s="14">
        <f t="shared" si="42"/>
        <v>100</v>
      </c>
      <c r="M660" s="12">
        <v>4.3</v>
      </c>
      <c r="N660">
        <v>0</v>
      </c>
      <c r="O660" s="1">
        <v>0.66</v>
      </c>
      <c r="P660" s="1">
        <f t="shared" si="43"/>
        <v>0.66</v>
      </c>
    </row>
    <row r="661" spans="1:16" x14ac:dyDescent="0.35">
      <c r="A661" t="s">
        <v>1394</v>
      </c>
      <c r="B661" t="s">
        <v>1395</v>
      </c>
      <c r="C661" t="str">
        <f t="shared" si="40"/>
        <v>Melissa Maldonado</v>
      </c>
      <c r="D661" t="s">
        <v>38</v>
      </c>
      <c r="E661" t="str">
        <f t="shared" si="41"/>
        <v>Female</v>
      </c>
      <c r="F661" s="12">
        <v>56</v>
      </c>
      <c r="G661" t="s">
        <v>124</v>
      </c>
      <c r="H661" s="12" t="s">
        <v>22</v>
      </c>
      <c r="I661" t="s">
        <v>75</v>
      </c>
      <c r="J661" s="12">
        <v>19</v>
      </c>
      <c r="K661" s="3">
        <v>20</v>
      </c>
      <c r="L661" s="14">
        <f t="shared" si="42"/>
        <v>20</v>
      </c>
      <c r="M661" s="12">
        <v>0</v>
      </c>
      <c r="N661">
        <v>0</v>
      </c>
      <c r="O661" s="1">
        <v>0.87</v>
      </c>
      <c r="P661" s="1">
        <f t="shared" si="43"/>
        <v>0.87</v>
      </c>
    </row>
    <row r="662" spans="1:16" x14ac:dyDescent="0.35">
      <c r="A662" t="s">
        <v>1396</v>
      </c>
      <c r="B662" t="s">
        <v>1397</v>
      </c>
      <c r="C662" t="str">
        <f t="shared" si="40"/>
        <v>Leah Harris</v>
      </c>
      <c r="D662" t="s">
        <v>38</v>
      </c>
      <c r="E662" t="str">
        <f t="shared" si="41"/>
        <v>Female</v>
      </c>
      <c r="F662" s="12">
        <v>36</v>
      </c>
      <c r="G662" t="s">
        <v>56</v>
      </c>
      <c r="H662" s="12" t="s">
        <v>22</v>
      </c>
      <c r="I662" t="s">
        <v>111</v>
      </c>
      <c r="J662" s="12">
        <v>9</v>
      </c>
      <c r="K662" s="3">
        <v>20</v>
      </c>
      <c r="L662" s="14">
        <f t="shared" si="42"/>
        <v>20</v>
      </c>
      <c r="M662" s="12">
        <v>0</v>
      </c>
      <c r="N662">
        <v>1</v>
      </c>
      <c r="O662">
        <v>68</v>
      </c>
      <c r="P662" s="1">
        <f t="shared" si="43"/>
        <v>0.68</v>
      </c>
    </row>
    <row r="663" spans="1:16" x14ac:dyDescent="0.35">
      <c r="A663" t="s">
        <v>1398</v>
      </c>
      <c r="B663" t="s">
        <v>1399</v>
      </c>
      <c r="C663" t="str">
        <f t="shared" si="40"/>
        <v>Lynn French</v>
      </c>
      <c r="D663" t="s">
        <v>74</v>
      </c>
      <c r="E663" t="str">
        <f t="shared" si="41"/>
        <v>Female</v>
      </c>
      <c r="F663" s="12">
        <v>52</v>
      </c>
      <c r="G663" t="s">
        <v>124</v>
      </c>
      <c r="H663" s="12" t="s">
        <v>22</v>
      </c>
      <c r="I663" t="s">
        <v>70</v>
      </c>
      <c r="J663" s="12">
        <v>16</v>
      </c>
      <c r="K663" s="3">
        <v>100</v>
      </c>
      <c r="L663" s="14">
        <f t="shared" si="42"/>
        <v>100</v>
      </c>
      <c r="M663" s="12">
        <v>4</v>
      </c>
      <c r="N663">
        <v>1</v>
      </c>
      <c r="O663">
        <v>16</v>
      </c>
      <c r="P663" s="1">
        <f t="shared" si="43"/>
        <v>0.16</v>
      </c>
    </row>
    <row r="664" spans="1:16" x14ac:dyDescent="0.35">
      <c r="A664" t="s">
        <v>1400</v>
      </c>
      <c r="B664" t="s">
        <v>1401</v>
      </c>
      <c r="C664" t="str">
        <f t="shared" si="40"/>
        <v>Angela Johnson</v>
      </c>
      <c r="D664" t="s">
        <v>74</v>
      </c>
      <c r="E664" t="str">
        <f t="shared" si="41"/>
        <v>Female</v>
      </c>
      <c r="F664" s="12">
        <v>42</v>
      </c>
      <c r="G664" t="s">
        <v>41</v>
      </c>
      <c r="H664" s="12" t="s">
        <v>42</v>
      </c>
      <c r="I664" t="s">
        <v>23</v>
      </c>
      <c r="J664" s="12">
        <v>8</v>
      </c>
      <c r="K664" s="3" t="s">
        <v>95</v>
      </c>
      <c r="L664" s="14" t="str">
        <f t="shared" si="42"/>
        <v>$ 50</v>
      </c>
      <c r="M664" s="12">
        <v>3</v>
      </c>
      <c r="N664">
        <v>1</v>
      </c>
      <c r="O664">
        <v>16</v>
      </c>
      <c r="P664" s="1">
        <f t="shared" si="43"/>
        <v>0.16</v>
      </c>
    </row>
    <row r="665" spans="1:16" x14ac:dyDescent="0.35">
      <c r="A665" t="s">
        <v>1402</v>
      </c>
      <c r="B665" t="s">
        <v>1403</v>
      </c>
      <c r="C665" t="str">
        <f t="shared" si="40"/>
        <v>Sarah Edwards</v>
      </c>
      <c r="D665" t="s">
        <v>20</v>
      </c>
      <c r="E665" t="str">
        <f t="shared" si="41"/>
        <v>Female</v>
      </c>
      <c r="F665" s="12">
        <v>59</v>
      </c>
      <c r="G665" t="s">
        <v>90</v>
      </c>
      <c r="H665" s="12" t="s">
        <v>91</v>
      </c>
      <c r="I665" t="s">
        <v>23</v>
      </c>
      <c r="J665" s="12">
        <v>34</v>
      </c>
      <c r="K665" s="3">
        <v>100</v>
      </c>
      <c r="L665" s="14">
        <f t="shared" si="42"/>
        <v>100</v>
      </c>
      <c r="M665" s="12">
        <v>2</v>
      </c>
      <c r="N665">
        <v>1</v>
      </c>
      <c r="O665" s="1">
        <v>0.79</v>
      </c>
      <c r="P665" s="1">
        <f t="shared" si="43"/>
        <v>0.79</v>
      </c>
    </row>
    <row r="666" spans="1:16" x14ac:dyDescent="0.35">
      <c r="A666" t="s">
        <v>1404</v>
      </c>
      <c r="B666" t="s">
        <v>1405</v>
      </c>
      <c r="C666" t="str">
        <f t="shared" si="40"/>
        <v>Roy Collins</v>
      </c>
      <c r="D666" t="s">
        <v>27</v>
      </c>
      <c r="E666" t="str">
        <f t="shared" si="41"/>
        <v>Male</v>
      </c>
      <c r="F666" s="12">
        <v>33</v>
      </c>
      <c r="G666" t="s">
        <v>41</v>
      </c>
      <c r="H666" s="12" t="s">
        <v>42</v>
      </c>
      <c r="I666" t="s">
        <v>23</v>
      </c>
      <c r="J666" s="12">
        <v>5</v>
      </c>
      <c r="K666" s="3">
        <v>50</v>
      </c>
      <c r="L666" s="14">
        <f t="shared" si="42"/>
        <v>50</v>
      </c>
      <c r="M666" s="12">
        <v>4.7</v>
      </c>
      <c r="N666">
        <v>1</v>
      </c>
      <c r="O666" s="1">
        <v>0.88</v>
      </c>
      <c r="P666" s="1">
        <f t="shared" si="43"/>
        <v>0.88</v>
      </c>
    </row>
    <row r="667" spans="1:16" x14ac:dyDescent="0.35">
      <c r="A667" t="s">
        <v>1406</v>
      </c>
      <c r="B667" t="s">
        <v>1407</v>
      </c>
      <c r="C667" t="str">
        <f t="shared" si="40"/>
        <v>Samantha Porter</v>
      </c>
      <c r="D667" t="s">
        <v>38</v>
      </c>
      <c r="E667" t="str">
        <f t="shared" si="41"/>
        <v>Female</v>
      </c>
      <c r="F667" s="12">
        <v>55</v>
      </c>
      <c r="G667" t="s">
        <v>124</v>
      </c>
      <c r="H667" s="12" t="s">
        <v>22</v>
      </c>
      <c r="I667" t="s">
        <v>35</v>
      </c>
      <c r="J667" s="12">
        <v>14</v>
      </c>
      <c r="K667" s="3" t="s">
        <v>95</v>
      </c>
      <c r="L667" s="14" t="str">
        <f t="shared" si="42"/>
        <v>$ 50</v>
      </c>
      <c r="M667" s="12">
        <v>3.6</v>
      </c>
      <c r="N667">
        <v>1</v>
      </c>
      <c r="O667" s="1">
        <v>0.81</v>
      </c>
      <c r="P667" s="1">
        <f t="shared" si="43"/>
        <v>0.81</v>
      </c>
    </row>
    <row r="668" spans="1:16" x14ac:dyDescent="0.35">
      <c r="A668" t="s">
        <v>1408</v>
      </c>
      <c r="B668" t="s">
        <v>1409</v>
      </c>
      <c r="C668" t="str">
        <f t="shared" si="40"/>
        <v>Juan Elliott</v>
      </c>
      <c r="D668" t="s">
        <v>27</v>
      </c>
      <c r="E668" t="str">
        <f t="shared" si="41"/>
        <v>Male</v>
      </c>
      <c r="F668" s="12">
        <v>47</v>
      </c>
      <c r="G668" t="s">
        <v>109</v>
      </c>
      <c r="H668" s="12" t="s">
        <v>110</v>
      </c>
      <c r="I668" t="s">
        <v>70</v>
      </c>
      <c r="J668" s="12">
        <v>17</v>
      </c>
      <c r="K668" s="3">
        <v>50</v>
      </c>
      <c r="L668" s="14">
        <f t="shared" si="42"/>
        <v>50</v>
      </c>
      <c r="M668" s="12">
        <v>1.2</v>
      </c>
      <c r="N668">
        <v>0</v>
      </c>
      <c r="O668">
        <v>16</v>
      </c>
      <c r="P668" s="1">
        <f t="shared" si="43"/>
        <v>0.16</v>
      </c>
    </row>
    <row r="669" spans="1:16" x14ac:dyDescent="0.35">
      <c r="A669" t="s">
        <v>1410</v>
      </c>
      <c r="B669" t="s">
        <v>1411</v>
      </c>
      <c r="C669" t="str">
        <f t="shared" si="40"/>
        <v>Elizabeth Phillips</v>
      </c>
      <c r="D669" t="s">
        <v>20</v>
      </c>
      <c r="E669" t="str">
        <f t="shared" si="41"/>
        <v>Female</v>
      </c>
      <c r="F669" s="12">
        <v>29</v>
      </c>
      <c r="G669" t="s">
        <v>174</v>
      </c>
      <c r="H669" s="12" t="s">
        <v>69</v>
      </c>
      <c r="I669" t="s">
        <v>43</v>
      </c>
      <c r="J669" s="12">
        <v>10</v>
      </c>
      <c r="K669" s="3">
        <v>40</v>
      </c>
      <c r="L669" s="14">
        <f t="shared" si="42"/>
        <v>40</v>
      </c>
      <c r="M669" s="12">
        <v>4.4000000000000004</v>
      </c>
      <c r="N669">
        <v>1</v>
      </c>
      <c r="O669" s="1">
        <v>0.67</v>
      </c>
      <c r="P669" s="1">
        <f t="shared" si="43"/>
        <v>0.67</v>
      </c>
    </row>
    <row r="670" spans="1:16" x14ac:dyDescent="0.35">
      <c r="A670" t="s">
        <v>1412</v>
      </c>
      <c r="B670" t="s">
        <v>1413</v>
      </c>
      <c r="C670" t="str">
        <f t="shared" si="40"/>
        <v>Laura Evans</v>
      </c>
      <c r="D670" t="s">
        <v>74</v>
      </c>
      <c r="E670" t="str">
        <f t="shared" si="41"/>
        <v>Female</v>
      </c>
      <c r="F670" s="12">
        <v>30</v>
      </c>
      <c r="G670" t="s">
        <v>64</v>
      </c>
      <c r="H670" s="12" t="s">
        <v>22</v>
      </c>
      <c r="I670" t="s">
        <v>86</v>
      </c>
      <c r="J670" s="12">
        <v>8</v>
      </c>
      <c r="K670" s="3">
        <v>100</v>
      </c>
      <c r="L670" s="14">
        <f t="shared" si="42"/>
        <v>100</v>
      </c>
      <c r="M670" s="12">
        <v>1.4</v>
      </c>
      <c r="N670">
        <v>1</v>
      </c>
      <c r="O670">
        <v>62</v>
      </c>
      <c r="P670" s="1">
        <f t="shared" si="43"/>
        <v>0.62</v>
      </c>
    </row>
    <row r="671" spans="1:16" x14ac:dyDescent="0.35">
      <c r="A671" t="s">
        <v>1414</v>
      </c>
      <c r="B671" t="s">
        <v>1415</v>
      </c>
      <c r="C671" t="str">
        <f t="shared" si="40"/>
        <v>Amanda Mitchell</v>
      </c>
      <c r="D671" t="s">
        <v>20</v>
      </c>
      <c r="E671" t="str">
        <f t="shared" si="41"/>
        <v>Female</v>
      </c>
      <c r="F671" s="12">
        <v>25</v>
      </c>
      <c r="G671" t="s">
        <v>124</v>
      </c>
      <c r="H671" s="12" t="s">
        <v>22</v>
      </c>
      <c r="I671" t="s">
        <v>86</v>
      </c>
      <c r="J671" s="12">
        <v>1</v>
      </c>
      <c r="K671" s="3" t="s">
        <v>106</v>
      </c>
      <c r="L671" s="14" t="str">
        <f t="shared" si="42"/>
        <v>$ 30</v>
      </c>
      <c r="M671" s="12">
        <v>3.2</v>
      </c>
      <c r="N671">
        <v>0</v>
      </c>
      <c r="O671" s="1">
        <v>0.87</v>
      </c>
      <c r="P671" s="1">
        <f t="shared" si="43"/>
        <v>0.87</v>
      </c>
    </row>
    <row r="672" spans="1:16" x14ac:dyDescent="0.35">
      <c r="A672" t="s">
        <v>1416</v>
      </c>
      <c r="B672" t="s">
        <v>1417</v>
      </c>
      <c r="C672" t="str">
        <f t="shared" si="40"/>
        <v>Sandra Williams</v>
      </c>
      <c r="D672" t="s">
        <v>38</v>
      </c>
      <c r="E672" t="str">
        <f t="shared" si="41"/>
        <v>Female</v>
      </c>
      <c r="F672" s="12">
        <v>28</v>
      </c>
      <c r="G672" t="s">
        <v>135</v>
      </c>
      <c r="H672" s="12" t="s">
        <v>136</v>
      </c>
      <c r="I672" t="s">
        <v>75</v>
      </c>
      <c r="J672" s="12">
        <v>10</v>
      </c>
      <c r="K672" s="3">
        <v>40</v>
      </c>
      <c r="L672" s="14">
        <f t="shared" si="42"/>
        <v>40</v>
      </c>
      <c r="M672" s="12">
        <v>3.8</v>
      </c>
      <c r="N672">
        <v>1</v>
      </c>
      <c r="O672" s="1">
        <v>0.98</v>
      </c>
      <c r="P672" s="1">
        <f t="shared" si="43"/>
        <v>0.98</v>
      </c>
    </row>
    <row r="673" spans="1:16" x14ac:dyDescent="0.35">
      <c r="A673" t="s">
        <v>1418</v>
      </c>
      <c r="B673" t="s">
        <v>1419</v>
      </c>
      <c r="C673" t="str">
        <f t="shared" si="40"/>
        <v>Eric Johnson</v>
      </c>
      <c r="D673" t="s">
        <v>27</v>
      </c>
      <c r="E673" t="str">
        <f t="shared" si="41"/>
        <v>Male</v>
      </c>
      <c r="F673" s="12">
        <v>29</v>
      </c>
      <c r="G673" t="s">
        <v>109</v>
      </c>
      <c r="H673" s="12" t="s">
        <v>110</v>
      </c>
      <c r="I673" t="s">
        <v>17</v>
      </c>
      <c r="J673" s="12">
        <v>11</v>
      </c>
      <c r="K673" s="3">
        <v>75</v>
      </c>
      <c r="L673" s="14">
        <f t="shared" si="42"/>
        <v>75</v>
      </c>
      <c r="M673" s="12">
        <v>1.5</v>
      </c>
      <c r="N673">
        <v>1</v>
      </c>
      <c r="O673" s="1">
        <v>0.64</v>
      </c>
      <c r="P673" s="1">
        <f t="shared" si="43"/>
        <v>0.64</v>
      </c>
    </row>
    <row r="674" spans="1:16" x14ac:dyDescent="0.35">
      <c r="A674" t="s">
        <v>1420</v>
      </c>
      <c r="B674" t="s">
        <v>1421</v>
      </c>
      <c r="C674" t="str">
        <f t="shared" si="40"/>
        <v>Javier Hobbs</v>
      </c>
      <c r="D674" t="s">
        <v>94</v>
      </c>
      <c r="E674" t="str">
        <f t="shared" si="41"/>
        <v>Male</v>
      </c>
      <c r="F674" s="12">
        <v>30</v>
      </c>
      <c r="G674" t="s">
        <v>185</v>
      </c>
      <c r="H674" s="12" t="s">
        <v>69</v>
      </c>
      <c r="I674" t="s">
        <v>30</v>
      </c>
      <c r="J674" s="12">
        <v>4</v>
      </c>
      <c r="K674" s="3">
        <v>40</v>
      </c>
      <c r="L674" s="14">
        <f t="shared" si="42"/>
        <v>40</v>
      </c>
      <c r="M674" s="12">
        <v>2.8</v>
      </c>
      <c r="N674">
        <v>1</v>
      </c>
      <c r="O674" s="1">
        <v>0.71</v>
      </c>
      <c r="P674" s="1">
        <f t="shared" si="43"/>
        <v>0.71</v>
      </c>
    </row>
    <row r="675" spans="1:16" x14ac:dyDescent="0.35">
      <c r="A675" t="s">
        <v>1422</v>
      </c>
      <c r="B675" t="s">
        <v>1423</v>
      </c>
      <c r="C675" t="str">
        <f t="shared" si="40"/>
        <v>Jacob Jones</v>
      </c>
      <c r="D675" t="s">
        <v>27</v>
      </c>
      <c r="E675" t="str">
        <f t="shared" si="41"/>
        <v>Male</v>
      </c>
      <c r="F675" s="12">
        <v>47</v>
      </c>
      <c r="G675" t="s">
        <v>135</v>
      </c>
      <c r="H675" s="12" t="s">
        <v>136</v>
      </c>
      <c r="I675" t="s">
        <v>43</v>
      </c>
      <c r="J675" s="12">
        <v>2</v>
      </c>
      <c r="K675" s="3">
        <v>50</v>
      </c>
      <c r="L675" s="14">
        <f t="shared" si="42"/>
        <v>50</v>
      </c>
      <c r="M675" s="12">
        <v>2.7</v>
      </c>
      <c r="N675">
        <v>1</v>
      </c>
      <c r="O675">
        <v>96</v>
      </c>
      <c r="P675" s="1">
        <f t="shared" si="43"/>
        <v>0.96</v>
      </c>
    </row>
    <row r="676" spans="1:16" x14ac:dyDescent="0.35">
      <c r="A676" t="s">
        <v>1424</v>
      </c>
      <c r="B676" t="s">
        <v>1425</v>
      </c>
      <c r="C676" t="str">
        <f t="shared" si="40"/>
        <v>Zachary Murphy</v>
      </c>
      <c r="D676" t="s">
        <v>59</v>
      </c>
      <c r="E676" t="str">
        <f t="shared" si="41"/>
        <v>Male</v>
      </c>
      <c r="F676" s="12">
        <v>34</v>
      </c>
      <c r="G676" t="s">
        <v>21</v>
      </c>
      <c r="H676" s="12" t="s">
        <v>22</v>
      </c>
      <c r="I676" t="s">
        <v>17</v>
      </c>
      <c r="J676" s="12">
        <v>10</v>
      </c>
      <c r="K676" s="3">
        <v>30</v>
      </c>
      <c r="L676" s="14">
        <f t="shared" si="42"/>
        <v>30</v>
      </c>
      <c r="M676" s="12">
        <v>3.9</v>
      </c>
      <c r="N676">
        <v>1</v>
      </c>
      <c r="O676">
        <v>16</v>
      </c>
      <c r="P676" s="1">
        <f t="shared" si="43"/>
        <v>0.16</v>
      </c>
    </row>
    <row r="677" spans="1:16" x14ac:dyDescent="0.35">
      <c r="A677" t="s">
        <v>1426</v>
      </c>
      <c r="B677" t="s">
        <v>1427</v>
      </c>
      <c r="C677" t="str">
        <f t="shared" si="40"/>
        <v>Joshua Owens</v>
      </c>
      <c r="D677" t="s">
        <v>27</v>
      </c>
      <c r="E677" t="str">
        <f t="shared" si="41"/>
        <v>Male</v>
      </c>
      <c r="F677" s="12">
        <v>45</v>
      </c>
      <c r="G677" t="s">
        <v>56</v>
      </c>
      <c r="H677" s="12" t="s">
        <v>22</v>
      </c>
      <c r="I677" t="s">
        <v>30</v>
      </c>
      <c r="J677" s="12">
        <v>16</v>
      </c>
      <c r="K677" s="3">
        <v>100</v>
      </c>
      <c r="L677" s="14">
        <f t="shared" si="42"/>
        <v>100</v>
      </c>
      <c r="M677" s="12">
        <v>4.5999999999999996</v>
      </c>
      <c r="N677">
        <v>0</v>
      </c>
      <c r="O677" s="1">
        <v>0.78</v>
      </c>
      <c r="P677" s="1">
        <f t="shared" si="43"/>
        <v>0.78</v>
      </c>
    </row>
    <row r="678" spans="1:16" x14ac:dyDescent="0.35">
      <c r="A678" t="s">
        <v>1428</v>
      </c>
      <c r="B678" t="s">
        <v>1429</v>
      </c>
      <c r="C678" t="str">
        <f t="shared" si="40"/>
        <v>Dawn Mitchell</v>
      </c>
      <c r="D678" t="s">
        <v>38</v>
      </c>
      <c r="E678" t="str">
        <f t="shared" si="41"/>
        <v>Female</v>
      </c>
      <c r="F678" s="12">
        <v>56</v>
      </c>
      <c r="G678" t="s">
        <v>185</v>
      </c>
      <c r="H678" s="12" t="s">
        <v>69</v>
      </c>
      <c r="I678" t="s">
        <v>75</v>
      </c>
      <c r="J678" s="12">
        <v>27</v>
      </c>
      <c r="K678" s="3">
        <v>20</v>
      </c>
      <c r="L678" s="14">
        <f t="shared" si="42"/>
        <v>20</v>
      </c>
      <c r="M678" s="12">
        <v>2.2000000000000002</v>
      </c>
      <c r="N678">
        <v>0</v>
      </c>
      <c r="O678" s="1">
        <v>0.7</v>
      </c>
      <c r="P678" s="1">
        <f t="shared" si="43"/>
        <v>0.7</v>
      </c>
    </row>
    <row r="679" spans="1:16" x14ac:dyDescent="0.35">
      <c r="A679" t="s">
        <v>1430</v>
      </c>
      <c r="B679" t="s">
        <v>1431</v>
      </c>
      <c r="C679" t="str">
        <f t="shared" si="40"/>
        <v>Regina Dunn</v>
      </c>
      <c r="D679" t="s">
        <v>38</v>
      </c>
      <c r="E679" t="str">
        <f t="shared" si="41"/>
        <v>Female</v>
      </c>
      <c r="F679" s="12">
        <v>49</v>
      </c>
      <c r="G679" t="s">
        <v>170</v>
      </c>
      <c r="H679" s="12" t="s">
        <v>171</v>
      </c>
      <c r="I679" t="s">
        <v>86</v>
      </c>
      <c r="J679" s="12">
        <v>20</v>
      </c>
      <c r="K679" s="3">
        <v>50</v>
      </c>
      <c r="L679" s="14">
        <f t="shared" si="42"/>
        <v>50</v>
      </c>
      <c r="M679" s="12">
        <v>2.5</v>
      </c>
      <c r="N679">
        <v>0</v>
      </c>
      <c r="O679" s="1">
        <v>0.82</v>
      </c>
      <c r="P679" s="1">
        <f t="shared" si="43"/>
        <v>0.82</v>
      </c>
    </row>
    <row r="680" spans="1:16" x14ac:dyDescent="0.35">
      <c r="A680" t="s">
        <v>1432</v>
      </c>
      <c r="B680" t="s">
        <v>1433</v>
      </c>
      <c r="C680" t="str">
        <f t="shared" si="40"/>
        <v>Ernest Cole</v>
      </c>
      <c r="D680" t="s">
        <v>59</v>
      </c>
      <c r="E680" t="str">
        <f t="shared" si="41"/>
        <v>Male</v>
      </c>
      <c r="F680" s="12">
        <v>48</v>
      </c>
      <c r="G680" t="s">
        <v>131</v>
      </c>
      <c r="H680" s="12" t="s">
        <v>132</v>
      </c>
      <c r="I680" t="s">
        <v>43</v>
      </c>
      <c r="J680" s="12">
        <v>10</v>
      </c>
      <c r="K680" s="3">
        <v>40</v>
      </c>
      <c r="L680" s="14">
        <f t="shared" si="42"/>
        <v>40</v>
      </c>
      <c r="M680" s="12">
        <v>3.1</v>
      </c>
      <c r="N680">
        <v>0</v>
      </c>
      <c r="O680">
        <v>16</v>
      </c>
      <c r="P680" s="1">
        <f t="shared" si="43"/>
        <v>0.16</v>
      </c>
    </row>
    <row r="681" spans="1:16" x14ac:dyDescent="0.35">
      <c r="A681" t="s">
        <v>1434</v>
      </c>
      <c r="B681" t="s">
        <v>1435</v>
      </c>
      <c r="C681" t="str">
        <f t="shared" si="40"/>
        <v>Hannah Sanders</v>
      </c>
      <c r="D681" t="s">
        <v>38</v>
      </c>
      <c r="E681" t="str">
        <f t="shared" si="41"/>
        <v>Female</v>
      </c>
      <c r="F681" s="12">
        <v>29</v>
      </c>
      <c r="G681" t="s">
        <v>109</v>
      </c>
      <c r="H681" s="12" t="s">
        <v>110</v>
      </c>
      <c r="I681" t="s">
        <v>30</v>
      </c>
      <c r="J681" s="12">
        <v>11</v>
      </c>
      <c r="K681" s="3">
        <v>20</v>
      </c>
      <c r="L681" s="14">
        <f t="shared" si="42"/>
        <v>20</v>
      </c>
      <c r="M681" s="12">
        <v>3</v>
      </c>
      <c r="N681">
        <v>1</v>
      </c>
      <c r="O681" s="1">
        <v>0.99</v>
      </c>
      <c r="P681" s="1">
        <f t="shared" si="43"/>
        <v>0.99</v>
      </c>
    </row>
    <row r="682" spans="1:16" x14ac:dyDescent="0.35">
      <c r="A682" t="s">
        <v>1436</v>
      </c>
      <c r="B682" t="s">
        <v>1437</v>
      </c>
      <c r="C682" t="str">
        <f t="shared" si="40"/>
        <v>Ellen Bowman</v>
      </c>
      <c r="D682" t="s">
        <v>74</v>
      </c>
      <c r="E682" t="str">
        <f t="shared" si="41"/>
        <v>Female</v>
      </c>
      <c r="F682" s="12">
        <v>49</v>
      </c>
      <c r="G682" t="s">
        <v>41</v>
      </c>
      <c r="H682" s="12" t="s">
        <v>42</v>
      </c>
      <c r="I682" t="s">
        <v>35</v>
      </c>
      <c r="J682" s="12">
        <v>11</v>
      </c>
      <c r="K682" s="3">
        <v>75</v>
      </c>
      <c r="L682" s="14">
        <f t="shared" si="42"/>
        <v>75</v>
      </c>
      <c r="M682" s="12">
        <v>3.8</v>
      </c>
      <c r="N682">
        <v>1</v>
      </c>
      <c r="O682" s="1">
        <v>0.93</v>
      </c>
      <c r="P682" s="1">
        <f t="shared" si="43"/>
        <v>0.93</v>
      </c>
    </row>
    <row r="683" spans="1:16" x14ac:dyDescent="0.35">
      <c r="A683" t="s">
        <v>1438</v>
      </c>
      <c r="B683" t="s">
        <v>1439</v>
      </c>
      <c r="C683" t="str">
        <f t="shared" si="40"/>
        <v>Nancy Moore</v>
      </c>
      <c r="D683" t="s">
        <v>20</v>
      </c>
      <c r="E683" t="str">
        <f t="shared" si="41"/>
        <v>Female</v>
      </c>
      <c r="F683" s="12">
        <v>22</v>
      </c>
      <c r="G683" t="s">
        <v>170</v>
      </c>
      <c r="H683" s="12" t="s">
        <v>171</v>
      </c>
      <c r="I683" t="s">
        <v>17</v>
      </c>
      <c r="J683" s="12">
        <v>1</v>
      </c>
      <c r="K683" s="3">
        <v>100</v>
      </c>
      <c r="L683" s="14">
        <f t="shared" si="42"/>
        <v>100</v>
      </c>
      <c r="M683" s="12">
        <v>4.8</v>
      </c>
      <c r="N683">
        <v>1</v>
      </c>
      <c r="O683" s="1">
        <v>0.75</v>
      </c>
      <c r="P683" s="1">
        <f t="shared" si="43"/>
        <v>0.75</v>
      </c>
    </row>
    <row r="684" spans="1:16" x14ac:dyDescent="0.35">
      <c r="A684" t="s">
        <v>1440</v>
      </c>
      <c r="B684" t="s">
        <v>1441</v>
      </c>
      <c r="C684" t="str">
        <f t="shared" si="40"/>
        <v>Joseph Wood</v>
      </c>
      <c r="D684" t="s">
        <v>27</v>
      </c>
      <c r="E684" t="str">
        <f t="shared" si="41"/>
        <v>Male</v>
      </c>
      <c r="F684" s="12">
        <v>52</v>
      </c>
      <c r="G684" t="s">
        <v>174</v>
      </c>
      <c r="H684" s="12" t="s">
        <v>69</v>
      </c>
      <c r="I684" t="s">
        <v>30</v>
      </c>
      <c r="J684" s="12">
        <v>30</v>
      </c>
      <c r="K684" s="3" t="s">
        <v>24</v>
      </c>
      <c r="L684" s="14" t="str">
        <f t="shared" si="42"/>
        <v>$ 100</v>
      </c>
      <c r="M684" s="12">
        <v>2.5</v>
      </c>
      <c r="N684">
        <v>1</v>
      </c>
      <c r="O684">
        <v>61</v>
      </c>
      <c r="P684" s="1">
        <f t="shared" si="43"/>
        <v>0.61</v>
      </c>
    </row>
    <row r="685" spans="1:16" x14ac:dyDescent="0.35">
      <c r="A685" t="s">
        <v>1442</v>
      </c>
      <c r="B685" t="s">
        <v>1443</v>
      </c>
      <c r="C685" t="str">
        <f t="shared" si="40"/>
        <v>Michael Harrell</v>
      </c>
      <c r="D685" t="s">
        <v>59</v>
      </c>
      <c r="E685" t="str">
        <f t="shared" si="41"/>
        <v>Male</v>
      </c>
      <c r="F685" s="12">
        <v>60</v>
      </c>
      <c r="G685" t="s">
        <v>124</v>
      </c>
      <c r="H685" s="12" t="s">
        <v>22</v>
      </c>
      <c r="I685" t="s">
        <v>17</v>
      </c>
      <c r="J685" s="12">
        <v>7</v>
      </c>
      <c r="K685" s="3" t="s">
        <v>106</v>
      </c>
      <c r="L685" s="14" t="str">
        <f t="shared" si="42"/>
        <v>$ 30</v>
      </c>
      <c r="M685" s="12">
        <v>0</v>
      </c>
      <c r="N685">
        <v>1</v>
      </c>
      <c r="O685" s="1">
        <v>0.97</v>
      </c>
      <c r="P685" s="1">
        <f t="shared" si="43"/>
        <v>0.97</v>
      </c>
    </row>
    <row r="686" spans="1:16" x14ac:dyDescent="0.35">
      <c r="A686" t="s">
        <v>1444</v>
      </c>
      <c r="B686" t="s">
        <v>1445</v>
      </c>
      <c r="C686" t="str">
        <f t="shared" si="40"/>
        <v>Connie Mcclain</v>
      </c>
      <c r="D686" t="s">
        <v>38</v>
      </c>
      <c r="E686" t="str">
        <f t="shared" si="41"/>
        <v>Female</v>
      </c>
      <c r="F686" s="12">
        <v>33</v>
      </c>
      <c r="G686" t="s">
        <v>82</v>
      </c>
      <c r="H686" s="12" t="s">
        <v>83</v>
      </c>
      <c r="I686" t="s">
        <v>70</v>
      </c>
      <c r="J686" s="12">
        <v>11</v>
      </c>
      <c r="K686" s="3">
        <v>100</v>
      </c>
      <c r="L686" s="14">
        <f t="shared" si="42"/>
        <v>100</v>
      </c>
      <c r="M686" s="12">
        <v>1.7</v>
      </c>
      <c r="N686">
        <v>1</v>
      </c>
      <c r="O686">
        <v>95</v>
      </c>
      <c r="P686" s="1">
        <f t="shared" si="43"/>
        <v>0.95</v>
      </c>
    </row>
    <row r="687" spans="1:16" x14ac:dyDescent="0.35">
      <c r="A687" t="s">
        <v>1446</v>
      </c>
      <c r="B687" t="s">
        <v>1447</v>
      </c>
      <c r="C687" t="str">
        <f t="shared" si="40"/>
        <v>Matthew Baldwin</v>
      </c>
      <c r="D687" t="s">
        <v>27</v>
      </c>
      <c r="E687" t="str">
        <f t="shared" si="41"/>
        <v>Male</v>
      </c>
      <c r="F687" s="12">
        <v>52</v>
      </c>
      <c r="G687" t="s">
        <v>109</v>
      </c>
      <c r="H687" s="12" t="s">
        <v>110</v>
      </c>
      <c r="I687" t="s">
        <v>30</v>
      </c>
      <c r="J687" s="12">
        <v>21</v>
      </c>
      <c r="K687" s="3" t="s">
        <v>53</v>
      </c>
      <c r="L687" s="14" t="str">
        <f t="shared" si="42"/>
        <v>$ 40</v>
      </c>
      <c r="M687" s="12">
        <v>4</v>
      </c>
      <c r="N687">
        <v>1</v>
      </c>
      <c r="O687" s="1">
        <v>0.69</v>
      </c>
      <c r="P687" s="1">
        <f t="shared" si="43"/>
        <v>0.69</v>
      </c>
    </row>
    <row r="688" spans="1:16" x14ac:dyDescent="0.35">
      <c r="A688" t="s">
        <v>1448</v>
      </c>
      <c r="B688" t="s">
        <v>1449</v>
      </c>
      <c r="C688" t="str">
        <f t="shared" si="40"/>
        <v>Danielle Nelson</v>
      </c>
      <c r="D688" t="s">
        <v>38</v>
      </c>
      <c r="E688" t="str">
        <f t="shared" si="41"/>
        <v>Female</v>
      </c>
      <c r="F688" s="12">
        <v>25</v>
      </c>
      <c r="G688" t="s">
        <v>28</v>
      </c>
      <c r="H688" s="12" t="s">
        <v>29</v>
      </c>
      <c r="I688" t="s">
        <v>86</v>
      </c>
      <c r="J688" s="12">
        <v>7</v>
      </c>
      <c r="K688" s="3" t="s">
        <v>24</v>
      </c>
      <c r="L688" s="14" t="str">
        <f t="shared" si="42"/>
        <v>$ 100</v>
      </c>
      <c r="M688" s="12">
        <v>1.9</v>
      </c>
      <c r="N688">
        <v>0</v>
      </c>
      <c r="O688" s="1">
        <v>0.63</v>
      </c>
      <c r="P688" s="1">
        <f t="shared" si="43"/>
        <v>0.63</v>
      </c>
    </row>
    <row r="689" spans="1:16" x14ac:dyDescent="0.35">
      <c r="A689" t="s">
        <v>1450</v>
      </c>
      <c r="B689" t="s">
        <v>1451</v>
      </c>
      <c r="C689" t="str">
        <f t="shared" si="40"/>
        <v>Steven Moore</v>
      </c>
      <c r="D689" t="s">
        <v>27</v>
      </c>
      <c r="E689" t="str">
        <f t="shared" si="41"/>
        <v>Male</v>
      </c>
      <c r="F689" s="12">
        <v>33</v>
      </c>
      <c r="G689" t="s">
        <v>82</v>
      </c>
      <c r="H689" s="12" t="s">
        <v>83</v>
      </c>
      <c r="I689" t="s">
        <v>75</v>
      </c>
      <c r="J689" s="12">
        <v>11</v>
      </c>
      <c r="K689" s="3" t="s">
        <v>106</v>
      </c>
      <c r="L689" s="14" t="str">
        <f t="shared" si="42"/>
        <v>$ 30</v>
      </c>
      <c r="M689" s="12">
        <v>4.4000000000000004</v>
      </c>
      <c r="N689">
        <v>1</v>
      </c>
      <c r="O689" s="1">
        <v>0.65</v>
      </c>
      <c r="P689" s="1">
        <f t="shared" si="43"/>
        <v>0.65</v>
      </c>
    </row>
    <row r="690" spans="1:16" x14ac:dyDescent="0.35">
      <c r="A690" t="s">
        <v>1452</v>
      </c>
      <c r="B690" t="s">
        <v>1453</v>
      </c>
      <c r="C690" t="str">
        <f t="shared" si="40"/>
        <v>Megan Hudson</v>
      </c>
      <c r="D690" t="s">
        <v>38</v>
      </c>
      <c r="E690" t="str">
        <f t="shared" si="41"/>
        <v>Female</v>
      </c>
      <c r="F690" s="12">
        <v>33</v>
      </c>
      <c r="G690" t="s">
        <v>170</v>
      </c>
      <c r="H690" s="12" t="s">
        <v>171</v>
      </c>
      <c r="I690" t="s">
        <v>23</v>
      </c>
      <c r="J690" s="12">
        <v>11</v>
      </c>
      <c r="K690" s="3">
        <v>40</v>
      </c>
      <c r="L690" s="14">
        <f t="shared" si="42"/>
        <v>40</v>
      </c>
      <c r="M690" s="12">
        <v>4.2</v>
      </c>
      <c r="N690">
        <v>1</v>
      </c>
      <c r="O690" s="1">
        <v>0.9</v>
      </c>
      <c r="P690" s="1">
        <f t="shared" si="43"/>
        <v>0.9</v>
      </c>
    </row>
    <row r="691" spans="1:16" x14ac:dyDescent="0.35">
      <c r="A691" t="s">
        <v>1454</v>
      </c>
      <c r="B691" t="s">
        <v>40</v>
      </c>
      <c r="C691" t="str">
        <f t="shared" si="40"/>
        <v>Lisa Johnson</v>
      </c>
      <c r="D691" t="s">
        <v>74</v>
      </c>
      <c r="E691" t="str">
        <f t="shared" si="41"/>
        <v>Female</v>
      </c>
      <c r="F691" s="12">
        <v>52</v>
      </c>
      <c r="G691" t="s">
        <v>124</v>
      </c>
      <c r="H691" s="12" t="s">
        <v>22</v>
      </c>
      <c r="I691" t="s">
        <v>70</v>
      </c>
      <c r="J691" s="12">
        <v>25</v>
      </c>
      <c r="K691" s="3">
        <v>100</v>
      </c>
      <c r="L691" s="14">
        <f t="shared" si="42"/>
        <v>100</v>
      </c>
      <c r="M691" s="12">
        <v>4.8</v>
      </c>
      <c r="N691">
        <v>0</v>
      </c>
      <c r="O691">
        <v>16</v>
      </c>
      <c r="P691" s="1">
        <f t="shared" si="43"/>
        <v>0.16</v>
      </c>
    </row>
    <row r="692" spans="1:16" x14ac:dyDescent="0.35">
      <c r="A692" t="s">
        <v>1455</v>
      </c>
      <c r="B692" t="s">
        <v>1456</v>
      </c>
      <c r="C692" t="str">
        <f t="shared" si="40"/>
        <v>Tracy White</v>
      </c>
      <c r="D692" t="s">
        <v>38</v>
      </c>
      <c r="E692" t="str">
        <f t="shared" si="41"/>
        <v>Female</v>
      </c>
      <c r="F692" s="12">
        <v>20</v>
      </c>
      <c r="G692" t="s">
        <v>47</v>
      </c>
      <c r="H692" s="12" t="s">
        <v>48</v>
      </c>
      <c r="I692" t="s">
        <v>35</v>
      </c>
      <c r="J692" s="12">
        <v>1</v>
      </c>
      <c r="K692" s="3" t="s">
        <v>106</v>
      </c>
      <c r="L692" s="14" t="str">
        <f t="shared" si="42"/>
        <v>$ 30</v>
      </c>
      <c r="M692" s="12">
        <v>2</v>
      </c>
      <c r="N692">
        <v>1</v>
      </c>
      <c r="O692" s="1">
        <v>0.89</v>
      </c>
      <c r="P692" s="1">
        <f t="shared" si="43"/>
        <v>0.89</v>
      </c>
    </row>
    <row r="693" spans="1:16" x14ac:dyDescent="0.35">
      <c r="A693" t="s">
        <v>1457</v>
      </c>
      <c r="B693" t="s">
        <v>1458</v>
      </c>
      <c r="C693" t="str">
        <f t="shared" si="40"/>
        <v>Natalie Diaz</v>
      </c>
      <c r="D693" t="s">
        <v>20</v>
      </c>
      <c r="E693" t="str">
        <f t="shared" si="41"/>
        <v>Female</v>
      </c>
      <c r="F693" s="12">
        <v>43</v>
      </c>
      <c r="G693" t="s">
        <v>120</v>
      </c>
      <c r="H693" s="12" t="s">
        <v>121</v>
      </c>
      <c r="I693" t="s">
        <v>49</v>
      </c>
      <c r="J693" s="12">
        <v>7</v>
      </c>
      <c r="K693" s="3" t="s">
        <v>95</v>
      </c>
      <c r="L693" s="14" t="str">
        <f t="shared" si="42"/>
        <v>$ 50</v>
      </c>
      <c r="M693" s="12">
        <v>3</v>
      </c>
      <c r="N693">
        <v>1</v>
      </c>
      <c r="O693" s="1">
        <v>0.8</v>
      </c>
      <c r="P693" s="1">
        <f t="shared" si="43"/>
        <v>0.8</v>
      </c>
    </row>
    <row r="694" spans="1:16" x14ac:dyDescent="0.35">
      <c r="A694" t="s">
        <v>1459</v>
      </c>
      <c r="B694" t="s">
        <v>1415</v>
      </c>
      <c r="C694" t="str">
        <f t="shared" si="40"/>
        <v>Amanda Mitchell</v>
      </c>
      <c r="D694" t="s">
        <v>38</v>
      </c>
      <c r="E694" t="str">
        <f t="shared" si="41"/>
        <v>Female</v>
      </c>
      <c r="F694" s="12">
        <v>31</v>
      </c>
      <c r="G694" t="s">
        <v>131</v>
      </c>
      <c r="H694" s="12" t="s">
        <v>132</v>
      </c>
      <c r="I694" t="s">
        <v>23</v>
      </c>
      <c r="J694" s="12">
        <v>11</v>
      </c>
      <c r="K694" s="3">
        <v>50</v>
      </c>
      <c r="L694" s="14">
        <f t="shared" si="42"/>
        <v>50</v>
      </c>
      <c r="M694" s="12">
        <v>1.4</v>
      </c>
      <c r="N694">
        <v>1</v>
      </c>
      <c r="O694" s="1">
        <v>0.8</v>
      </c>
      <c r="P694" s="1">
        <f t="shared" si="43"/>
        <v>0.8</v>
      </c>
    </row>
    <row r="695" spans="1:16" x14ac:dyDescent="0.35">
      <c r="A695" t="s">
        <v>1460</v>
      </c>
      <c r="B695" t="s">
        <v>1461</v>
      </c>
      <c r="C695" t="str">
        <f t="shared" si="40"/>
        <v>Karen Scott</v>
      </c>
      <c r="D695" t="s">
        <v>20</v>
      </c>
      <c r="E695" t="str">
        <f t="shared" si="41"/>
        <v>Female</v>
      </c>
      <c r="F695" s="12">
        <v>29</v>
      </c>
      <c r="G695" t="s">
        <v>28</v>
      </c>
      <c r="H695" s="12" t="s">
        <v>29</v>
      </c>
      <c r="I695" t="s">
        <v>49</v>
      </c>
      <c r="J695" s="12">
        <v>6</v>
      </c>
      <c r="K695" s="3">
        <v>100</v>
      </c>
      <c r="L695" s="14">
        <f t="shared" si="42"/>
        <v>100</v>
      </c>
      <c r="M695" s="12">
        <v>1.8</v>
      </c>
      <c r="N695">
        <v>0</v>
      </c>
      <c r="O695">
        <v>16</v>
      </c>
      <c r="P695" s="1">
        <f t="shared" si="43"/>
        <v>0.16</v>
      </c>
    </row>
    <row r="696" spans="1:16" x14ac:dyDescent="0.35">
      <c r="A696" t="s">
        <v>1462</v>
      </c>
      <c r="B696" t="s">
        <v>833</v>
      </c>
      <c r="C696" t="str">
        <f t="shared" si="40"/>
        <v>Mary Brown</v>
      </c>
      <c r="D696" t="s">
        <v>20</v>
      </c>
      <c r="E696" t="str">
        <f t="shared" si="41"/>
        <v>Female</v>
      </c>
      <c r="F696" s="12">
        <v>53</v>
      </c>
      <c r="G696" t="s">
        <v>149</v>
      </c>
      <c r="H696" s="12" t="s">
        <v>150</v>
      </c>
      <c r="I696" t="s">
        <v>30</v>
      </c>
      <c r="J696" s="12">
        <v>35</v>
      </c>
      <c r="K696" s="3">
        <v>40</v>
      </c>
      <c r="L696" s="14">
        <f t="shared" si="42"/>
        <v>40</v>
      </c>
      <c r="M696" s="12">
        <v>0</v>
      </c>
      <c r="N696">
        <v>1</v>
      </c>
      <c r="O696" s="1">
        <v>0.67</v>
      </c>
      <c r="P696" s="1">
        <f t="shared" si="43"/>
        <v>0.67</v>
      </c>
    </row>
    <row r="697" spans="1:16" x14ac:dyDescent="0.35">
      <c r="A697" t="s">
        <v>1463</v>
      </c>
      <c r="B697" t="s">
        <v>1464</v>
      </c>
      <c r="C697" t="str">
        <f t="shared" si="40"/>
        <v>Jon Jones</v>
      </c>
      <c r="D697" t="s">
        <v>27</v>
      </c>
      <c r="E697" t="str">
        <f t="shared" si="41"/>
        <v>Male</v>
      </c>
      <c r="F697" s="12">
        <v>38</v>
      </c>
      <c r="G697" t="s">
        <v>90</v>
      </c>
      <c r="H697" s="12" t="s">
        <v>91</v>
      </c>
      <c r="I697" t="s">
        <v>23</v>
      </c>
      <c r="J697" s="12">
        <v>1</v>
      </c>
      <c r="K697" s="3" t="s">
        <v>53</v>
      </c>
      <c r="L697" s="14" t="str">
        <f t="shared" si="42"/>
        <v>$ 40</v>
      </c>
      <c r="M697" s="12">
        <v>0</v>
      </c>
      <c r="N697">
        <v>0</v>
      </c>
      <c r="O697" s="1">
        <v>0.96</v>
      </c>
      <c r="P697" s="1">
        <f t="shared" si="43"/>
        <v>0.96</v>
      </c>
    </row>
    <row r="698" spans="1:16" x14ac:dyDescent="0.35">
      <c r="A698" t="s">
        <v>1465</v>
      </c>
      <c r="B698" t="s">
        <v>1466</v>
      </c>
      <c r="C698" t="str">
        <f t="shared" si="40"/>
        <v>Jason Phillips</v>
      </c>
      <c r="D698" t="s">
        <v>94</v>
      </c>
      <c r="E698" t="str">
        <f t="shared" si="41"/>
        <v>Male</v>
      </c>
      <c r="F698" s="12">
        <v>29</v>
      </c>
      <c r="G698" t="s">
        <v>185</v>
      </c>
      <c r="H698" s="12" t="s">
        <v>69</v>
      </c>
      <c r="I698" t="s">
        <v>30</v>
      </c>
      <c r="J698" s="12">
        <v>11</v>
      </c>
      <c r="K698" s="3">
        <v>20</v>
      </c>
      <c r="L698" s="14">
        <f t="shared" si="42"/>
        <v>20</v>
      </c>
      <c r="M698" s="12">
        <v>0</v>
      </c>
      <c r="N698">
        <v>0</v>
      </c>
      <c r="O698" s="1">
        <v>0.9</v>
      </c>
      <c r="P698" s="1">
        <f t="shared" si="43"/>
        <v>0.9</v>
      </c>
    </row>
    <row r="699" spans="1:16" x14ac:dyDescent="0.35">
      <c r="A699" t="s">
        <v>1467</v>
      </c>
      <c r="B699" t="s">
        <v>1468</v>
      </c>
      <c r="C699" t="str">
        <f t="shared" si="40"/>
        <v>Eric Walsh</v>
      </c>
      <c r="D699" t="s">
        <v>27</v>
      </c>
      <c r="E699" t="str">
        <f t="shared" si="41"/>
        <v>Male</v>
      </c>
      <c r="F699" s="12">
        <v>42</v>
      </c>
      <c r="G699" t="s">
        <v>109</v>
      </c>
      <c r="H699" s="12" t="s">
        <v>110</v>
      </c>
      <c r="I699" t="s">
        <v>70</v>
      </c>
      <c r="J699" s="12">
        <v>11</v>
      </c>
      <c r="K699" s="3">
        <v>40</v>
      </c>
      <c r="L699" s="14">
        <f t="shared" si="42"/>
        <v>40</v>
      </c>
      <c r="M699" s="12">
        <v>3.9</v>
      </c>
      <c r="N699">
        <v>0</v>
      </c>
      <c r="O699" s="1">
        <v>0.62</v>
      </c>
      <c r="P699" s="1">
        <f t="shared" si="43"/>
        <v>0.62</v>
      </c>
    </row>
    <row r="700" spans="1:16" x14ac:dyDescent="0.35">
      <c r="A700" t="s">
        <v>1469</v>
      </c>
      <c r="B700" t="s">
        <v>1470</v>
      </c>
      <c r="C700" t="str">
        <f t="shared" si="40"/>
        <v>Carol Schneider</v>
      </c>
      <c r="D700" t="s">
        <v>38</v>
      </c>
      <c r="E700" t="str">
        <f t="shared" si="41"/>
        <v>Female</v>
      </c>
      <c r="F700" s="12">
        <v>54</v>
      </c>
      <c r="G700" t="s">
        <v>56</v>
      </c>
      <c r="H700" s="12" t="s">
        <v>22</v>
      </c>
      <c r="I700" t="s">
        <v>111</v>
      </c>
      <c r="J700" s="12">
        <v>9</v>
      </c>
      <c r="K700" s="3">
        <v>100</v>
      </c>
      <c r="L700" s="14">
        <f t="shared" si="42"/>
        <v>100</v>
      </c>
      <c r="M700" s="12">
        <v>3</v>
      </c>
      <c r="N700">
        <v>0</v>
      </c>
      <c r="O700" s="1">
        <v>0.72</v>
      </c>
      <c r="P700" s="1">
        <f t="shared" si="43"/>
        <v>0.72</v>
      </c>
    </row>
    <row r="701" spans="1:16" x14ac:dyDescent="0.35">
      <c r="A701" t="s">
        <v>1471</v>
      </c>
      <c r="B701" t="s">
        <v>1472</v>
      </c>
      <c r="C701" t="str">
        <f t="shared" si="40"/>
        <v>Juan Hines</v>
      </c>
      <c r="D701" t="s">
        <v>59</v>
      </c>
      <c r="E701" t="str">
        <f t="shared" si="41"/>
        <v>Male</v>
      </c>
      <c r="F701" s="12">
        <v>56</v>
      </c>
      <c r="G701" t="s">
        <v>170</v>
      </c>
      <c r="H701" s="12" t="s">
        <v>171</v>
      </c>
      <c r="I701" t="s">
        <v>70</v>
      </c>
      <c r="J701" s="12">
        <v>18</v>
      </c>
      <c r="K701" s="3" t="s">
        <v>95</v>
      </c>
      <c r="L701" s="14" t="str">
        <f t="shared" si="42"/>
        <v>$ 50</v>
      </c>
      <c r="M701" s="12">
        <v>4.4000000000000004</v>
      </c>
      <c r="N701">
        <v>1</v>
      </c>
      <c r="O701" s="1">
        <v>0.83</v>
      </c>
      <c r="P701" s="1">
        <f t="shared" si="43"/>
        <v>0.83</v>
      </c>
    </row>
    <row r="702" spans="1:16" x14ac:dyDescent="0.35">
      <c r="A702" t="s">
        <v>1473</v>
      </c>
      <c r="B702" t="s">
        <v>1474</v>
      </c>
      <c r="C702" t="str">
        <f t="shared" si="40"/>
        <v>Martha Sweeney</v>
      </c>
      <c r="D702" t="s">
        <v>38</v>
      </c>
      <c r="E702" t="str">
        <f t="shared" si="41"/>
        <v>Female</v>
      </c>
      <c r="F702" s="12">
        <v>47</v>
      </c>
      <c r="G702" t="s">
        <v>60</v>
      </c>
      <c r="H702" s="12" t="s">
        <v>61</v>
      </c>
      <c r="I702" t="s">
        <v>30</v>
      </c>
      <c r="J702" s="12">
        <v>22</v>
      </c>
      <c r="K702" s="3">
        <v>100</v>
      </c>
      <c r="L702" s="14">
        <f t="shared" si="42"/>
        <v>100</v>
      </c>
      <c r="M702" s="12">
        <v>4.4000000000000004</v>
      </c>
      <c r="N702">
        <v>1</v>
      </c>
      <c r="O702" s="1">
        <v>0.7</v>
      </c>
      <c r="P702" s="1">
        <f t="shared" si="43"/>
        <v>0.7</v>
      </c>
    </row>
    <row r="703" spans="1:16" x14ac:dyDescent="0.35">
      <c r="A703" t="s">
        <v>1475</v>
      </c>
      <c r="B703" t="s">
        <v>1476</v>
      </c>
      <c r="C703" t="str">
        <f t="shared" si="40"/>
        <v>Jason Weaver</v>
      </c>
      <c r="D703" t="s">
        <v>27</v>
      </c>
      <c r="E703" t="str">
        <f t="shared" si="41"/>
        <v>Male</v>
      </c>
      <c r="F703" s="12">
        <v>45</v>
      </c>
      <c r="G703" t="s">
        <v>120</v>
      </c>
      <c r="H703" s="12" t="s">
        <v>121</v>
      </c>
      <c r="I703" t="s">
        <v>17</v>
      </c>
      <c r="J703" s="12">
        <v>25</v>
      </c>
      <c r="K703" s="3">
        <v>50</v>
      </c>
      <c r="L703" s="14">
        <f t="shared" si="42"/>
        <v>50</v>
      </c>
      <c r="M703" s="12">
        <v>0</v>
      </c>
      <c r="N703">
        <v>1</v>
      </c>
      <c r="O703">
        <v>99</v>
      </c>
      <c r="P703" s="1">
        <f t="shared" si="43"/>
        <v>0.99</v>
      </c>
    </row>
    <row r="704" spans="1:16" x14ac:dyDescent="0.35">
      <c r="A704" t="s">
        <v>1477</v>
      </c>
      <c r="B704" t="s">
        <v>1478</v>
      </c>
      <c r="C704" t="str">
        <f t="shared" si="40"/>
        <v>Benjamin Stevens</v>
      </c>
      <c r="D704" t="s">
        <v>27</v>
      </c>
      <c r="E704" t="str">
        <f t="shared" si="41"/>
        <v>Male</v>
      </c>
      <c r="F704" s="12">
        <v>45</v>
      </c>
      <c r="G704" t="s">
        <v>170</v>
      </c>
      <c r="H704" s="12" t="s">
        <v>171</v>
      </c>
      <c r="I704" t="s">
        <v>49</v>
      </c>
      <c r="J704" s="12">
        <v>6</v>
      </c>
      <c r="K704" s="3">
        <v>50</v>
      </c>
      <c r="L704" s="14">
        <f t="shared" si="42"/>
        <v>50</v>
      </c>
      <c r="M704" s="12">
        <v>1.4</v>
      </c>
      <c r="N704">
        <v>1</v>
      </c>
      <c r="O704">
        <v>97</v>
      </c>
      <c r="P704" s="1">
        <f t="shared" si="43"/>
        <v>0.97</v>
      </c>
    </row>
    <row r="705" spans="1:16" x14ac:dyDescent="0.35">
      <c r="A705" t="s">
        <v>1479</v>
      </c>
      <c r="B705" t="s">
        <v>1480</v>
      </c>
      <c r="C705" t="str">
        <f t="shared" si="40"/>
        <v>Daniel Lopez</v>
      </c>
      <c r="D705" t="s">
        <v>27</v>
      </c>
      <c r="E705" t="str">
        <f t="shared" si="41"/>
        <v>Male</v>
      </c>
      <c r="F705" s="12">
        <v>35</v>
      </c>
      <c r="G705" t="s">
        <v>124</v>
      </c>
      <c r="H705" s="12" t="s">
        <v>22</v>
      </c>
      <c r="I705" t="s">
        <v>111</v>
      </c>
      <c r="J705" s="12">
        <v>10</v>
      </c>
      <c r="K705" s="3">
        <v>20</v>
      </c>
      <c r="L705" s="14">
        <f t="shared" si="42"/>
        <v>20</v>
      </c>
      <c r="M705" s="12">
        <v>3.2</v>
      </c>
      <c r="N705">
        <v>1</v>
      </c>
      <c r="O705" s="1">
        <v>0.77</v>
      </c>
      <c r="P705" s="1">
        <f t="shared" si="43"/>
        <v>0.77</v>
      </c>
    </row>
    <row r="706" spans="1:16" x14ac:dyDescent="0.35">
      <c r="A706" t="s">
        <v>1481</v>
      </c>
      <c r="B706" t="s">
        <v>1482</v>
      </c>
      <c r="C706" t="str">
        <f t="shared" si="40"/>
        <v>John Simpson</v>
      </c>
      <c r="D706" t="s">
        <v>27</v>
      </c>
      <c r="E706" t="str">
        <f t="shared" si="41"/>
        <v>Male</v>
      </c>
      <c r="F706" s="12">
        <v>51</v>
      </c>
      <c r="G706" t="s">
        <v>124</v>
      </c>
      <c r="H706" s="12" t="s">
        <v>22</v>
      </c>
      <c r="I706" t="s">
        <v>86</v>
      </c>
      <c r="J706" s="12">
        <v>4</v>
      </c>
      <c r="K706" s="3" t="s">
        <v>95</v>
      </c>
      <c r="L706" s="14" t="str">
        <f t="shared" si="42"/>
        <v>$ 50</v>
      </c>
      <c r="M706" s="12">
        <v>2</v>
      </c>
      <c r="N706">
        <v>1</v>
      </c>
      <c r="O706" s="1">
        <v>0.92</v>
      </c>
      <c r="P706" s="1">
        <f t="shared" si="43"/>
        <v>0.92</v>
      </c>
    </row>
    <row r="707" spans="1:16" x14ac:dyDescent="0.35">
      <c r="A707" t="s">
        <v>1483</v>
      </c>
      <c r="B707" t="s">
        <v>1484</v>
      </c>
      <c r="C707" t="str">
        <f t="shared" ref="C707:C770" si="44">PROPER(B707)</f>
        <v>Katrina Schultz</v>
      </c>
      <c r="D707" t="s">
        <v>38</v>
      </c>
      <c r="E707" t="str">
        <f t="shared" ref="E707:E770" si="45">PROPER(D707)</f>
        <v>Female</v>
      </c>
      <c r="F707" s="12">
        <v>34</v>
      </c>
      <c r="G707" t="s">
        <v>185</v>
      </c>
      <c r="H707" s="12" t="s">
        <v>69</v>
      </c>
      <c r="I707" t="s">
        <v>23</v>
      </c>
      <c r="J707" s="12">
        <v>11</v>
      </c>
      <c r="K707" s="3">
        <v>50</v>
      </c>
      <c r="L707" s="14">
        <f t="shared" ref="L707:L770" si="46">IF(K707="","",IF(LEFT(K707,3)="USD","$"&amp;MID(K707,4,LEN(K707)-3),K707))</f>
        <v>50</v>
      </c>
      <c r="M707" s="12">
        <v>3.3</v>
      </c>
      <c r="N707">
        <v>1</v>
      </c>
      <c r="O707" s="1">
        <v>0.76</v>
      </c>
      <c r="P707" s="1">
        <f t="shared" ref="P707:P770" si="47">IF(O707="","",IF(O707&lt;1,O707,O707/100))</f>
        <v>0.76</v>
      </c>
    </row>
    <row r="708" spans="1:16" x14ac:dyDescent="0.35">
      <c r="A708" t="s">
        <v>1485</v>
      </c>
      <c r="B708" t="s">
        <v>1486</v>
      </c>
      <c r="C708" t="str">
        <f t="shared" si="44"/>
        <v>Danielle Bell</v>
      </c>
      <c r="D708" t="s">
        <v>20</v>
      </c>
      <c r="E708" t="str">
        <f t="shared" si="45"/>
        <v>Female</v>
      </c>
      <c r="F708" s="12">
        <v>51</v>
      </c>
      <c r="G708" t="s">
        <v>47</v>
      </c>
      <c r="H708" s="12" t="s">
        <v>48</v>
      </c>
      <c r="I708" t="s">
        <v>30</v>
      </c>
      <c r="J708" s="12">
        <v>1</v>
      </c>
      <c r="K708" s="3">
        <v>50</v>
      </c>
      <c r="L708" s="14">
        <f t="shared" si="46"/>
        <v>50</v>
      </c>
      <c r="M708" s="12">
        <v>0</v>
      </c>
      <c r="N708">
        <v>1</v>
      </c>
      <c r="O708" s="1">
        <v>0.97</v>
      </c>
      <c r="P708" s="1">
        <f t="shared" si="47"/>
        <v>0.97</v>
      </c>
    </row>
    <row r="709" spans="1:16" x14ac:dyDescent="0.35">
      <c r="A709" t="s">
        <v>1487</v>
      </c>
      <c r="B709" t="s">
        <v>1488</v>
      </c>
      <c r="C709" t="str">
        <f t="shared" si="44"/>
        <v>Jason Brady</v>
      </c>
      <c r="D709" t="s">
        <v>27</v>
      </c>
      <c r="E709" t="str">
        <f t="shared" si="45"/>
        <v>Male</v>
      </c>
      <c r="F709" s="12">
        <v>58</v>
      </c>
      <c r="G709" t="s">
        <v>135</v>
      </c>
      <c r="H709" s="12" t="s">
        <v>136</v>
      </c>
      <c r="I709" t="s">
        <v>30</v>
      </c>
      <c r="J709" s="12">
        <v>35</v>
      </c>
      <c r="K709" s="3" t="s">
        <v>24</v>
      </c>
      <c r="L709" s="14" t="str">
        <f t="shared" si="46"/>
        <v>$ 100</v>
      </c>
      <c r="M709" s="12">
        <v>2.2999999999999998</v>
      </c>
      <c r="N709">
        <v>1</v>
      </c>
      <c r="O709">
        <v>16</v>
      </c>
      <c r="P709" s="1">
        <f t="shared" si="47"/>
        <v>0.16</v>
      </c>
    </row>
    <row r="710" spans="1:16" x14ac:dyDescent="0.35">
      <c r="A710" t="s">
        <v>1489</v>
      </c>
      <c r="B710" t="s">
        <v>1490</v>
      </c>
      <c r="C710" t="str">
        <f t="shared" si="44"/>
        <v>Megan Bright</v>
      </c>
      <c r="D710" t="s">
        <v>38</v>
      </c>
      <c r="E710" t="str">
        <f t="shared" si="45"/>
        <v>Female</v>
      </c>
      <c r="F710" s="12">
        <v>36</v>
      </c>
      <c r="G710" t="s">
        <v>41</v>
      </c>
      <c r="H710" s="12" t="s">
        <v>42</v>
      </c>
      <c r="I710" t="s">
        <v>35</v>
      </c>
      <c r="J710" s="12">
        <v>17</v>
      </c>
      <c r="K710" s="3">
        <v>20</v>
      </c>
      <c r="L710" s="14">
        <f t="shared" si="46"/>
        <v>20</v>
      </c>
      <c r="M710" s="12">
        <v>0</v>
      </c>
      <c r="N710">
        <v>1</v>
      </c>
      <c r="O710">
        <v>99</v>
      </c>
      <c r="P710" s="1">
        <f t="shared" si="47"/>
        <v>0.99</v>
      </c>
    </row>
    <row r="711" spans="1:16" x14ac:dyDescent="0.35">
      <c r="A711" t="s">
        <v>1491</v>
      </c>
      <c r="B711" t="s">
        <v>1492</v>
      </c>
      <c r="C711" t="str">
        <f t="shared" si="44"/>
        <v>David Griffin</v>
      </c>
      <c r="D711" t="s">
        <v>59</v>
      </c>
      <c r="E711" t="str">
        <f t="shared" si="45"/>
        <v>Male</v>
      </c>
      <c r="F711" s="12">
        <v>41</v>
      </c>
      <c r="G711" t="s">
        <v>120</v>
      </c>
      <c r="H711" s="12" t="s">
        <v>121</v>
      </c>
      <c r="I711" t="s">
        <v>43</v>
      </c>
      <c r="J711" s="12">
        <v>12</v>
      </c>
      <c r="K711" s="3">
        <v>30</v>
      </c>
      <c r="L711" s="14">
        <f t="shared" si="46"/>
        <v>30</v>
      </c>
      <c r="M711" s="12">
        <v>2.6</v>
      </c>
      <c r="N711">
        <v>1</v>
      </c>
      <c r="O711">
        <v>16</v>
      </c>
      <c r="P711" s="1">
        <f t="shared" si="47"/>
        <v>0.16</v>
      </c>
    </row>
    <row r="712" spans="1:16" x14ac:dyDescent="0.35">
      <c r="A712" t="s">
        <v>1493</v>
      </c>
      <c r="B712" t="s">
        <v>1494</v>
      </c>
      <c r="C712" t="str">
        <f t="shared" si="44"/>
        <v>Michael Clark</v>
      </c>
      <c r="D712" t="s">
        <v>27</v>
      </c>
      <c r="E712" t="str">
        <f t="shared" si="45"/>
        <v>Male</v>
      </c>
      <c r="F712" s="12">
        <v>56</v>
      </c>
      <c r="G712" t="s">
        <v>149</v>
      </c>
      <c r="H712" s="12" t="s">
        <v>150</v>
      </c>
      <c r="I712" t="s">
        <v>111</v>
      </c>
      <c r="J712" s="12">
        <v>30</v>
      </c>
      <c r="K712" s="3">
        <v>40</v>
      </c>
      <c r="L712" s="14">
        <f t="shared" si="46"/>
        <v>40</v>
      </c>
      <c r="M712" s="12">
        <v>3.3</v>
      </c>
      <c r="N712">
        <v>1</v>
      </c>
      <c r="O712" s="1">
        <v>0.82</v>
      </c>
      <c r="P712" s="1">
        <f t="shared" si="47"/>
        <v>0.82</v>
      </c>
    </row>
    <row r="713" spans="1:16" x14ac:dyDescent="0.35">
      <c r="A713" t="s">
        <v>1495</v>
      </c>
      <c r="B713" t="s">
        <v>1496</v>
      </c>
      <c r="C713" t="str">
        <f t="shared" si="44"/>
        <v>Rebecca Barker</v>
      </c>
      <c r="D713" t="s">
        <v>38</v>
      </c>
      <c r="E713" t="str">
        <f t="shared" si="45"/>
        <v>Female</v>
      </c>
      <c r="F713" s="12">
        <v>58</v>
      </c>
      <c r="G713" t="s">
        <v>124</v>
      </c>
      <c r="H713" s="12" t="s">
        <v>22</v>
      </c>
      <c r="I713" t="s">
        <v>75</v>
      </c>
      <c r="J713" s="12">
        <v>20</v>
      </c>
      <c r="K713" s="3">
        <v>75</v>
      </c>
      <c r="L713" s="14">
        <f t="shared" si="46"/>
        <v>75</v>
      </c>
      <c r="M713" s="12">
        <v>3.6</v>
      </c>
      <c r="N713">
        <v>1</v>
      </c>
      <c r="O713" s="1">
        <v>0.78</v>
      </c>
      <c r="P713" s="1">
        <f t="shared" si="47"/>
        <v>0.78</v>
      </c>
    </row>
    <row r="714" spans="1:16" x14ac:dyDescent="0.35">
      <c r="A714" t="s">
        <v>1497</v>
      </c>
      <c r="B714" t="s">
        <v>1498</v>
      </c>
      <c r="C714" t="str">
        <f t="shared" si="44"/>
        <v>Angela Smith</v>
      </c>
      <c r="D714" t="s">
        <v>38</v>
      </c>
      <c r="E714" t="str">
        <f t="shared" si="45"/>
        <v>Female</v>
      </c>
      <c r="F714" s="12">
        <v>58</v>
      </c>
      <c r="G714" t="s">
        <v>56</v>
      </c>
      <c r="H714" s="12" t="s">
        <v>22</v>
      </c>
      <c r="I714" t="s">
        <v>75</v>
      </c>
      <c r="J714" s="12">
        <v>22</v>
      </c>
      <c r="K714" s="3">
        <v>100</v>
      </c>
      <c r="L714" s="14">
        <f t="shared" si="46"/>
        <v>100</v>
      </c>
      <c r="M714" s="12">
        <v>3.7</v>
      </c>
      <c r="N714">
        <v>0</v>
      </c>
      <c r="O714">
        <v>16</v>
      </c>
      <c r="P714" s="1">
        <f t="shared" si="47"/>
        <v>0.16</v>
      </c>
    </row>
    <row r="715" spans="1:16" x14ac:dyDescent="0.35">
      <c r="A715" t="s">
        <v>1499</v>
      </c>
      <c r="B715" t="s">
        <v>1500</v>
      </c>
      <c r="C715" t="str">
        <f t="shared" si="44"/>
        <v>Christina Wright</v>
      </c>
      <c r="D715" t="s">
        <v>38</v>
      </c>
      <c r="E715" t="str">
        <f t="shared" si="45"/>
        <v>Female</v>
      </c>
      <c r="F715" s="12">
        <v>54</v>
      </c>
      <c r="G715" t="s">
        <v>64</v>
      </c>
      <c r="H715" s="12" t="s">
        <v>22</v>
      </c>
      <c r="I715" t="s">
        <v>43</v>
      </c>
      <c r="J715" s="12">
        <v>32</v>
      </c>
      <c r="K715" s="3">
        <v>20</v>
      </c>
      <c r="L715" s="14">
        <f t="shared" si="46"/>
        <v>20</v>
      </c>
      <c r="M715" s="12">
        <v>3.4</v>
      </c>
      <c r="N715">
        <v>1</v>
      </c>
      <c r="O715">
        <v>16</v>
      </c>
      <c r="P715" s="1">
        <f t="shared" si="47"/>
        <v>0.16</v>
      </c>
    </row>
    <row r="716" spans="1:16" x14ac:dyDescent="0.35">
      <c r="A716" t="s">
        <v>1501</v>
      </c>
      <c r="B716" t="s">
        <v>1502</v>
      </c>
      <c r="C716" t="str">
        <f t="shared" si="44"/>
        <v>Todd Turner</v>
      </c>
      <c r="D716" t="s">
        <v>27</v>
      </c>
      <c r="E716" t="str">
        <f t="shared" si="45"/>
        <v>Male</v>
      </c>
      <c r="F716" s="12">
        <v>53</v>
      </c>
      <c r="G716" t="s">
        <v>21</v>
      </c>
      <c r="H716" s="12" t="s">
        <v>22</v>
      </c>
      <c r="I716" t="s">
        <v>70</v>
      </c>
      <c r="J716" s="12">
        <v>9</v>
      </c>
      <c r="K716" s="3">
        <v>50</v>
      </c>
      <c r="L716" s="14">
        <f t="shared" si="46"/>
        <v>50</v>
      </c>
      <c r="M716" s="12">
        <v>4</v>
      </c>
      <c r="N716">
        <v>1</v>
      </c>
      <c r="O716" s="1">
        <v>0.72</v>
      </c>
      <c r="P716" s="1">
        <f t="shared" si="47"/>
        <v>0.72</v>
      </c>
    </row>
    <row r="717" spans="1:16" x14ac:dyDescent="0.35">
      <c r="A717" t="s">
        <v>1503</v>
      </c>
      <c r="B717" t="s">
        <v>1504</v>
      </c>
      <c r="C717" t="str">
        <f t="shared" si="44"/>
        <v>Elizabeth Green</v>
      </c>
      <c r="D717" t="s">
        <v>74</v>
      </c>
      <c r="E717" t="str">
        <f t="shared" si="45"/>
        <v>Female</v>
      </c>
      <c r="F717" s="12">
        <v>43</v>
      </c>
      <c r="G717" t="s">
        <v>21</v>
      </c>
      <c r="H717" s="12" t="s">
        <v>22</v>
      </c>
      <c r="I717" t="s">
        <v>35</v>
      </c>
      <c r="J717" s="12">
        <v>22</v>
      </c>
      <c r="K717" s="3">
        <v>40</v>
      </c>
      <c r="L717" s="14">
        <f t="shared" si="46"/>
        <v>40</v>
      </c>
      <c r="M717" s="12">
        <v>4.5</v>
      </c>
      <c r="N717">
        <v>1</v>
      </c>
      <c r="O717">
        <v>16</v>
      </c>
      <c r="P717" s="1">
        <f t="shared" si="47"/>
        <v>0.16</v>
      </c>
    </row>
    <row r="718" spans="1:16" x14ac:dyDescent="0.35">
      <c r="A718" t="s">
        <v>1505</v>
      </c>
      <c r="B718" t="s">
        <v>1506</v>
      </c>
      <c r="C718" t="str">
        <f t="shared" si="44"/>
        <v>Alex Smith</v>
      </c>
      <c r="D718" t="s">
        <v>27</v>
      </c>
      <c r="E718" t="str">
        <f t="shared" si="45"/>
        <v>Male</v>
      </c>
      <c r="F718" s="12">
        <v>44</v>
      </c>
      <c r="G718" t="s">
        <v>109</v>
      </c>
      <c r="H718" s="12" t="s">
        <v>110</v>
      </c>
      <c r="I718" t="s">
        <v>111</v>
      </c>
      <c r="J718" s="12">
        <v>1</v>
      </c>
      <c r="K718" s="3">
        <v>75</v>
      </c>
      <c r="L718" s="14">
        <f t="shared" si="46"/>
        <v>75</v>
      </c>
      <c r="M718" s="12">
        <v>4.3</v>
      </c>
      <c r="N718">
        <v>1</v>
      </c>
      <c r="O718">
        <v>16</v>
      </c>
      <c r="P718" s="1">
        <f t="shared" si="47"/>
        <v>0.16</v>
      </c>
    </row>
    <row r="719" spans="1:16" x14ac:dyDescent="0.35">
      <c r="A719" t="s">
        <v>1507</v>
      </c>
      <c r="B719" t="s">
        <v>1508</v>
      </c>
      <c r="C719" t="str">
        <f t="shared" si="44"/>
        <v>Shane Hale</v>
      </c>
      <c r="D719" t="s">
        <v>27</v>
      </c>
      <c r="E719" t="str">
        <f t="shared" si="45"/>
        <v>Male</v>
      </c>
      <c r="F719" s="12">
        <v>34</v>
      </c>
      <c r="G719" t="s">
        <v>124</v>
      </c>
      <c r="H719" s="12" t="s">
        <v>22</v>
      </c>
      <c r="I719" t="s">
        <v>75</v>
      </c>
      <c r="J719" s="12">
        <v>4</v>
      </c>
      <c r="K719" s="3">
        <v>75</v>
      </c>
      <c r="L719" s="14">
        <f t="shared" si="46"/>
        <v>75</v>
      </c>
      <c r="M719" s="12">
        <v>4</v>
      </c>
      <c r="N719">
        <v>1</v>
      </c>
      <c r="O719">
        <v>16</v>
      </c>
      <c r="P719" s="1">
        <f t="shared" si="47"/>
        <v>0.16</v>
      </c>
    </row>
    <row r="720" spans="1:16" x14ac:dyDescent="0.35">
      <c r="A720" t="s">
        <v>1509</v>
      </c>
      <c r="B720" t="s">
        <v>1510</v>
      </c>
      <c r="C720" t="str">
        <f t="shared" si="44"/>
        <v>Kathy Grimes</v>
      </c>
      <c r="D720" t="s">
        <v>38</v>
      </c>
      <c r="E720" t="str">
        <f t="shared" si="45"/>
        <v>Female</v>
      </c>
      <c r="F720" s="12">
        <v>27</v>
      </c>
      <c r="G720" t="s">
        <v>104</v>
      </c>
      <c r="H720" s="12" t="s">
        <v>105</v>
      </c>
      <c r="I720" t="s">
        <v>23</v>
      </c>
      <c r="J720" s="12">
        <v>8</v>
      </c>
      <c r="K720" s="3">
        <v>50</v>
      </c>
      <c r="L720" s="14">
        <f t="shared" si="46"/>
        <v>50</v>
      </c>
      <c r="M720" s="12">
        <v>1.6</v>
      </c>
      <c r="N720">
        <v>1</v>
      </c>
      <c r="O720">
        <v>16</v>
      </c>
      <c r="P720" s="1">
        <f t="shared" si="47"/>
        <v>0.16</v>
      </c>
    </row>
    <row r="721" spans="1:16" x14ac:dyDescent="0.35">
      <c r="A721" t="s">
        <v>1511</v>
      </c>
      <c r="B721" t="s">
        <v>1512</v>
      </c>
      <c r="C721" t="str">
        <f t="shared" si="44"/>
        <v>David Cherry</v>
      </c>
      <c r="D721" t="s">
        <v>27</v>
      </c>
      <c r="E721" t="str">
        <f t="shared" si="45"/>
        <v>Male</v>
      </c>
      <c r="F721" s="12">
        <v>50</v>
      </c>
      <c r="G721" t="s">
        <v>82</v>
      </c>
      <c r="H721" s="12" t="s">
        <v>83</v>
      </c>
      <c r="I721" t="s">
        <v>49</v>
      </c>
      <c r="J721" s="12">
        <v>3</v>
      </c>
      <c r="K721" s="3">
        <v>100</v>
      </c>
      <c r="L721" s="14">
        <f t="shared" si="46"/>
        <v>100</v>
      </c>
      <c r="M721" s="12">
        <v>0</v>
      </c>
      <c r="N721">
        <v>1</v>
      </c>
      <c r="O721">
        <v>16</v>
      </c>
      <c r="P721" s="1">
        <f t="shared" si="47"/>
        <v>0.16</v>
      </c>
    </row>
    <row r="722" spans="1:16" x14ac:dyDescent="0.35">
      <c r="A722" t="s">
        <v>1513</v>
      </c>
      <c r="B722" t="s">
        <v>1514</v>
      </c>
      <c r="C722" t="str">
        <f t="shared" si="44"/>
        <v>Rachel Rogers</v>
      </c>
      <c r="D722" t="s">
        <v>38</v>
      </c>
      <c r="E722" t="str">
        <f t="shared" si="45"/>
        <v>Female</v>
      </c>
      <c r="F722" s="12">
        <v>52</v>
      </c>
      <c r="G722" t="s">
        <v>109</v>
      </c>
      <c r="H722" s="12" t="s">
        <v>110</v>
      </c>
      <c r="I722" t="s">
        <v>70</v>
      </c>
      <c r="J722" s="12">
        <v>30</v>
      </c>
      <c r="K722" s="3">
        <v>75</v>
      </c>
      <c r="L722" s="14">
        <f t="shared" si="46"/>
        <v>75</v>
      </c>
      <c r="M722" s="12">
        <v>3</v>
      </c>
      <c r="N722">
        <v>1</v>
      </c>
      <c r="O722" s="1">
        <v>0.94</v>
      </c>
      <c r="P722" s="1">
        <f t="shared" si="47"/>
        <v>0.94</v>
      </c>
    </row>
    <row r="723" spans="1:16" x14ac:dyDescent="0.35">
      <c r="A723" t="s">
        <v>1515</v>
      </c>
      <c r="B723" t="s">
        <v>1516</v>
      </c>
      <c r="C723" t="str">
        <f t="shared" si="44"/>
        <v>Travis Braun</v>
      </c>
      <c r="D723" t="s">
        <v>59</v>
      </c>
      <c r="E723" t="str">
        <f t="shared" si="45"/>
        <v>Male</v>
      </c>
      <c r="F723" s="12">
        <v>57</v>
      </c>
      <c r="G723" t="s">
        <v>185</v>
      </c>
      <c r="H723" s="12" t="s">
        <v>69</v>
      </c>
      <c r="I723" t="s">
        <v>17</v>
      </c>
      <c r="J723" s="12">
        <v>11</v>
      </c>
      <c r="K723" s="3" t="s">
        <v>308</v>
      </c>
      <c r="L723" s="14" t="str">
        <f t="shared" si="46"/>
        <v>$ 20</v>
      </c>
      <c r="M723" s="12">
        <v>4.9000000000000004</v>
      </c>
      <c r="N723">
        <v>1</v>
      </c>
      <c r="O723">
        <v>16</v>
      </c>
      <c r="P723" s="1">
        <f t="shared" si="47"/>
        <v>0.16</v>
      </c>
    </row>
    <row r="724" spans="1:16" x14ac:dyDescent="0.35">
      <c r="A724" t="s">
        <v>1517</v>
      </c>
      <c r="B724" t="s">
        <v>1518</v>
      </c>
      <c r="C724" t="str">
        <f t="shared" si="44"/>
        <v>Shawna Palmer</v>
      </c>
      <c r="D724" t="s">
        <v>38</v>
      </c>
      <c r="E724" t="str">
        <f t="shared" si="45"/>
        <v>Female</v>
      </c>
      <c r="F724" s="12">
        <v>53</v>
      </c>
      <c r="G724" t="s">
        <v>174</v>
      </c>
      <c r="H724" s="12" t="s">
        <v>69</v>
      </c>
      <c r="I724" t="s">
        <v>86</v>
      </c>
      <c r="J724" s="12">
        <v>8</v>
      </c>
      <c r="K724" s="3">
        <v>20</v>
      </c>
      <c r="L724" s="14">
        <f t="shared" si="46"/>
        <v>20</v>
      </c>
      <c r="M724" s="12">
        <v>2.8</v>
      </c>
      <c r="N724">
        <v>1</v>
      </c>
      <c r="O724">
        <v>16</v>
      </c>
      <c r="P724" s="1">
        <f t="shared" si="47"/>
        <v>0.16</v>
      </c>
    </row>
    <row r="725" spans="1:16" x14ac:dyDescent="0.35">
      <c r="A725" t="s">
        <v>1519</v>
      </c>
      <c r="B725" t="s">
        <v>1520</v>
      </c>
      <c r="C725" t="str">
        <f t="shared" si="44"/>
        <v>Bradley Gaines</v>
      </c>
      <c r="D725" t="s">
        <v>27</v>
      </c>
      <c r="E725" t="str">
        <f t="shared" si="45"/>
        <v>Male</v>
      </c>
      <c r="F725" s="12">
        <v>51</v>
      </c>
      <c r="G725" t="s">
        <v>60</v>
      </c>
      <c r="H725" s="12" t="s">
        <v>61</v>
      </c>
      <c r="I725" t="s">
        <v>70</v>
      </c>
      <c r="J725" s="12">
        <v>11</v>
      </c>
      <c r="K725" s="3" t="s">
        <v>106</v>
      </c>
      <c r="L725" s="14" t="str">
        <f t="shared" si="46"/>
        <v>$ 30</v>
      </c>
      <c r="M725" s="12">
        <v>3.6</v>
      </c>
      <c r="N725">
        <v>1</v>
      </c>
      <c r="O725" s="1">
        <v>0.77</v>
      </c>
      <c r="P725" s="1">
        <f t="shared" si="47"/>
        <v>0.77</v>
      </c>
    </row>
    <row r="726" spans="1:16" x14ac:dyDescent="0.35">
      <c r="A726" t="s">
        <v>1521</v>
      </c>
      <c r="B726" t="s">
        <v>1522</v>
      </c>
      <c r="C726" t="str">
        <f t="shared" si="44"/>
        <v>April Ford</v>
      </c>
      <c r="D726" t="s">
        <v>20</v>
      </c>
      <c r="E726" t="str">
        <f t="shared" si="45"/>
        <v>Female</v>
      </c>
      <c r="F726" s="12">
        <v>37</v>
      </c>
      <c r="G726" t="s">
        <v>124</v>
      </c>
      <c r="H726" s="12" t="s">
        <v>22</v>
      </c>
      <c r="I726" t="s">
        <v>75</v>
      </c>
      <c r="J726" s="12">
        <v>9</v>
      </c>
      <c r="K726" s="3">
        <v>50</v>
      </c>
      <c r="L726" s="14">
        <f t="shared" si="46"/>
        <v>50</v>
      </c>
      <c r="M726" s="12">
        <v>3</v>
      </c>
      <c r="N726">
        <v>1</v>
      </c>
      <c r="O726">
        <v>84</v>
      </c>
      <c r="P726" s="1">
        <f t="shared" si="47"/>
        <v>0.84</v>
      </c>
    </row>
    <row r="727" spans="1:16" x14ac:dyDescent="0.35">
      <c r="A727" t="s">
        <v>1523</v>
      </c>
      <c r="B727" t="s">
        <v>1524</v>
      </c>
      <c r="C727" t="str">
        <f t="shared" si="44"/>
        <v>James Gonzalez</v>
      </c>
      <c r="D727" t="s">
        <v>59</v>
      </c>
      <c r="E727" t="str">
        <f t="shared" si="45"/>
        <v>Male</v>
      </c>
      <c r="F727" s="12">
        <v>40</v>
      </c>
      <c r="G727" t="s">
        <v>185</v>
      </c>
      <c r="H727" s="12" t="s">
        <v>69</v>
      </c>
      <c r="I727" t="s">
        <v>35</v>
      </c>
      <c r="J727" s="12">
        <v>7</v>
      </c>
      <c r="K727" s="3">
        <v>40</v>
      </c>
      <c r="L727" s="14">
        <f t="shared" si="46"/>
        <v>40</v>
      </c>
      <c r="M727" s="12">
        <v>4.5</v>
      </c>
      <c r="N727">
        <v>1</v>
      </c>
      <c r="O727">
        <v>79</v>
      </c>
      <c r="P727" s="1">
        <f t="shared" si="47"/>
        <v>0.79</v>
      </c>
    </row>
    <row r="728" spans="1:16" x14ac:dyDescent="0.35">
      <c r="A728" t="s">
        <v>1525</v>
      </c>
      <c r="B728" t="s">
        <v>1526</v>
      </c>
      <c r="C728" t="str">
        <f t="shared" si="44"/>
        <v>John Castillo</v>
      </c>
      <c r="D728" t="s">
        <v>27</v>
      </c>
      <c r="E728" t="str">
        <f t="shared" si="45"/>
        <v>Male</v>
      </c>
      <c r="F728" s="12">
        <v>60</v>
      </c>
      <c r="G728" t="s">
        <v>82</v>
      </c>
      <c r="H728" s="12" t="s">
        <v>83</v>
      </c>
      <c r="I728" t="s">
        <v>49</v>
      </c>
      <c r="J728" s="12">
        <v>24</v>
      </c>
      <c r="K728" s="3" t="s">
        <v>53</v>
      </c>
      <c r="L728" s="14" t="str">
        <f t="shared" si="46"/>
        <v>$ 40</v>
      </c>
      <c r="M728" s="12">
        <v>3.1</v>
      </c>
      <c r="N728">
        <v>0</v>
      </c>
      <c r="O728" s="1">
        <v>0.69</v>
      </c>
      <c r="P728" s="1">
        <f t="shared" si="47"/>
        <v>0.69</v>
      </c>
    </row>
    <row r="729" spans="1:16" x14ac:dyDescent="0.35">
      <c r="A729" t="s">
        <v>1527</v>
      </c>
      <c r="B729" t="s">
        <v>1528</v>
      </c>
      <c r="C729" t="str">
        <f t="shared" si="44"/>
        <v>Ian Hayes</v>
      </c>
      <c r="D729" t="s">
        <v>27</v>
      </c>
      <c r="E729" t="str">
        <f t="shared" si="45"/>
        <v>Male</v>
      </c>
      <c r="F729" s="12">
        <v>60</v>
      </c>
      <c r="G729" t="s">
        <v>131</v>
      </c>
      <c r="H729" s="12" t="s">
        <v>132</v>
      </c>
      <c r="I729" t="s">
        <v>70</v>
      </c>
      <c r="J729" s="12">
        <v>11</v>
      </c>
      <c r="K729" s="3">
        <v>40</v>
      </c>
      <c r="L729" s="14">
        <f t="shared" si="46"/>
        <v>40</v>
      </c>
      <c r="M729" s="12">
        <v>4.9000000000000004</v>
      </c>
      <c r="N729">
        <v>1</v>
      </c>
      <c r="O729" s="1">
        <v>0.68</v>
      </c>
      <c r="P729" s="1">
        <f t="shared" si="47"/>
        <v>0.68</v>
      </c>
    </row>
    <row r="730" spans="1:16" x14ac:dyDescent="0.35">
      <c r="A730" t="s">
        <v>1529</v>
      </c>
      <c r="B730" t="s">
        <v>1530</v>
      </c>
      <c r="C730" t="str">
        <f t="shared" si="44"/>
        <v>Christine Castro</v>
      </c>
      <c r="D730" t="s">
        <v>74</v>
      </c>
      <c r="E730" t="str">
        <f t="shared" si="45"/>
        <v>Female</v>
      </c>
      <c r="F730" s="12">
        <v>53</v>
      </c>
      <c r="G730" t="s">
        <v>109</v>
      </c>
      <c r="H730" s="12" t="s">
        <v>110</v>
      </c>
      <c r="I730" t="s">
        <v>70</v>
      </c>
      <c r="J730" s="12">
        <v>21</v>
      </c>
      <c r="K730" s="3">
        <v>30</v>
      </c>
      <c r="L730" s="14">
        <f t="shared" si="46"/>
        <v>30</v>
      </c>
      <c r="M730" s="12">
        <v>4.2</v>
      </c>
      <c r="N730">
        <v>1</v>
      </c>
      <c r="O730">
        <v>73</v>
      </c>
      <c r="P730" s="1">
        <f t="shared" si="47"/>
        <v>0.73</v>
      </c>
    </row>
    <row r="731" spans="1:16" x14ac:dyDescent="0.35">
      <c r="A731" t="s">
        <v>1531</v>
      </c>
      <c r="B731" t="s">
        <v>1532</v>
      </c>
      <c r="C731" t="str">
        <f t="shared" si="44"/>
        <v>Jessica Chaney</v>
      </c>
      <c r="D731" t="s">
        <v>74</v>
      </c>
      <c r="E731" t="str">
        <f t="shared" si="45"/>
        <v>Female</v>
      </c>
      <c r="F731" s="12">
        <v>20</v>
      </c>
      <c r="G731" t="s">
        <v>174</v>
      </c>
      <c r="H731" s="12" t="s">
        <v>69</v>
      </c>
      <c r="I731" t="s">
        <v>17</v>
      </c>
      <c r="J731" s="12">
        <v>11</v>
      </c>
      <c r="K731" s="3">
        <v>75</v>
      </c>
      <c r="L731" s="14">
        <f t="shared" si="46"/>
        <v>75</v>
      </c>
      <c r="M731" s="12">
        <v>3.2</v>
      </c>
      <c r="N731">
        <v>1</v>
      </c>
      <c r="O731" s="1">
        <v>0.74</v>
      </c>
      <c r="P731" s="1">
        <f t="shared" si="47"/>
        <v>0.74</v>
      </c>
    </row>
    <row r="732" spans="1:16" x14ac:dyDescent="0.35">
      <c r="A732" t="s">
        <v>1533</v>
      </c>
      <c r="B732" t="s">
        <v>1534</v>
      </c>
      <c r="C732" t="str">
        <f t="shared" si="44"/>
        <v>John Gray</v>
      </c>
      <c r="D732" t="s">
        <v>59</v>
      </c>
      <c r="E732" t="str">
        <f t="shared" si="45"/>
        <v>Male</v>
      </c>
      <c r="F732" s="12">
        <v>42</v>
      </c>
      <c r="G732" t="s">
        <v>120</v>
      </c>
      <c r="H732" s="12" t="s">
        <v>121</v>
      </c>
      <c r="I732" t="s">
        <v>35</v>
      </c>
      <c r="J732" s="12">
        <v>7</v>
      </c>
      <c r="K732" s="3" t="s">
        <v>308</v>
      </c>
      <c r="L732" s="14" t="str">
        <f t="shared" si="46"/>
        <v>$ 20</v>
      </c>
      <c r="M732" s="12">
        <v>3</v>
      </c>
      <c r="N732">
        <v>0</v>
      </c>
      <c r="O732" s="1">
        <v>1</v>
      </c>
      <c r="P732" s="1">
        <f t="shared" si="47"/>
        <v>0.01</v>
      </c>
    </row>
    <row r="733" spans="1:16" x14ac:dyDescent="0.35">
      <c r="A733" t="s">
        <v>1535</v>
      </c>
      <c r="B733" t="s">
        <v>1536</v>
      </c>
      <c r="C733" t="str">
        <f t="shared" si="44"/>
        <v>Shane Booker</v>
      </c>
      <c r="D733" t="s">
        <v>27</v>
      </c>
      <c r="E733" t="str">
        <f t="shared" si="45"/>
        <v>Male</v>
      </c>
      <c r="F733" s="12">
        <v>21</v>
      </c>
      <c r="G733" t="s">
        <v>64</v>
      </c>
      <c r="H733" s="12" t="s">
        <v>22</v>
      </c>
      <c r="I733" t="s">
        <v>23</v>
      </c>
      <c r="J733" s="12">
        <v>3</v>
      </c>
      <c r="K733" s="3">
        <v>40</v>
      </c>
      <c r="L733" s="14">
        <f t="shared" si="46"/>
        <v>40</v>
      </c>
      <c r="M733" s="12">
        <v>0</v>
      </c>
      <c r="N733">
        <v>0</v>
      </c>
      <c r="O733" s="1">
        <v>0.87</v>
      </c>
      <c r="P733" s="1">
        <f t="shared" si="47"/>
        <v>0.87</v>
      </c>
    </row>
    <row r="734" spans="1:16" x14ac:dyDescent="0.35">
      <c r="A734" t="s">
        <v>1537</v>
      </c>
      <c r="B734" t="s">
        <v>1538</v>
      </c>
      <c r="C734" t="str">
        <f t="shared" si="44"/>
        <v>Kyle Hall</v>
      </c>
      <c r="D734" t="s">
        <v>27</v>
      </c>
      <c r="E734" t="str">
        <f t="shared" si="45"/>
        <v>Male</v>
      </c>
      <c r="F734" s="12">
        <v>39</v>
      </c>
      <c r="G734" t="s">
        <v>28</v>
      </c>
      <c r="H734" s="12" t="s">
        <v>29</v>
      </c>
      <c r="I734" t="s">
        <v>35</v>
      </c>
      <c r="J734" s="12">
        <v>21</v>
      </c>
      <c r="K734" s="3">
        <v>100</v>
      </c>
      <c r="L734" s="14">
        <f t="shared" si="46"/>
        <v>100</v>
      </c>
      <c r="M734" s="12">
        <v>2.2000000000000002</v>
      </c>
      <c r="N734">
        <v>0</v>
      </c>
      <c r="O734" s="1">
        <v>0.79</v>
      </c>
      <c r="P734" s="1">
        <f t="shared" si="47"/>
        <v>0.79</v>
      </c>
    </row>
    <row r="735" spans="1:16" x14ac:dyDescent="0.35">
      <c r="A735" t="s">
        <v>1539</v>
      </c>
      <c r="B735" t="s">
        <v>1540</v>
      </c>
      <c r="C735" t="str">
        <f t="shared" si="44"/>
        <v>Ronald Munoz</v>
      </c>
      <c r="D735" t="s">
        <v>27</v>
      </c>
      <c r="E735" t="str">
        <f t="shared" si="45"/>
        <v>Male</v>
      </c>
      <c r="F735" s="12">
        <v>32</v>
      </c>
      <c r="G735" t="s">
        <v>90</v>
      </c>
      <c r="H735" s="12" t="s">
        <v>91</v>
      </c>
      <c r="I735" t="s">
        <v>17</v>
      </c>
      <c r="J735" s="12">
        <v>11</v>
      </c>
      <c r="K735" s="3">
        <v>30</v>
      </c>
      <c r="L735" s="14">
        <f t="shared" si="46"/>
        <v>30</v>
      </c>
      <c r="M735" s="12">
        <v>1.5</v>
      </c>
      <c r="N735">
        <v>0</v>
      </c>
      <c r="O735" s="1">
        <v>0.68</v>
      </c>
      <c r="P735" s="1">
        <f t="shared" si="47"/>
        <v>0.68</v>
      </c>
    </row>
    <row r="736" spans="1:16" x14ac:dyDescent="0.35">
      <c r="A736" t="s">
        <v>1541</v>
      </c>
      <c r="B736" t="s">
        <v>1542</v>
      </c>
      <c r="C736" t="str">
        <f t="shared" si="44"/>
        <v>Christopher Long</v>
      </c>
      <c r="D736" t="s">
        <v>27</v>
      </c>
      <c r="E736" t="str">
        <f t="shared" si="45"/>
        <v>Male</v>
      </c>
      <c r="F736" s="12">
        <v>35</v>
      </c>
      <c r="G736" t="s">
        <v>28</v>
      </c>
      <c r="H736" s="12" t="s">
        <v>29</v>
      </c>
      <c r="I736" t="s">
        <v>49</v>
      </c>
      <c r="J736" s="12">
        <v>11</v>
      </c>
      <c r="K736" s="3" t="s">
        <v>24</v>
      </c>
      <c r="L736" s="14" t="str">
        <f t="shared" si="46"/>
        <v>$ 100</v>
      </c>
      <c r="M736" s="12">
        <v>3</v>
      </c>
      <c r="N736">
        <v>0</v>
      </c>
      <c r="O736" s="1">
        <v>0.84</v>
      </c>
      <c r="P736" s="1">
        <f t="shared" si="47"/>
        <v>0.84</v>
      </c>
    </row>
    <row r="737" spans="1:16" x14ac:dyDescent="0.35">
      <c r="A737" t="s">
        <v>1543</v>
      </c>
      <c r="B737" t="s">
        <v>1544</v>
      </c>
      <c r="C737" t="str">
        <f t="shared" si="44"/>
        <v>Sandra Ali</v>
      </c>
      <c r="D737" t="s">
        <v>38</v>
      </c>
      <c r="E737" t="str">
        <f t="shared" si="45"/>
        <v>Female</v>
      </c>
      <c r="F737" s="12">
        <v>35</v>
      </c>
      <c r="G737" t="s">
        <v>131</v>
      </c>
      <c r="H737" s="12" t="s">
        <v>132</v>
      </c>
      <c r="I737" t="s">
        <v>70</v>
      </c>
      <c r="J737" s="12">
        <v>17</v>
      </c>
      <c r="K737" s="3">
        <v>50</v>
      </c>
      <c r="L737" s="14">
        <f t="shared" si="46"/>
        <v>50</v>
      </c>
      <c r="M737" s="12">
        <v>3.1</v>
      </c>
      <c r="N737">
        <v>0</v>
      </c>
      <c r="O737" s="1">
        <v>0.71</v>
      </c>
      <c r="P737" s="1">
        <f t="shared" si="47"/>
        <v>0.71</v>
      </c>
    </row>
    <row r="738" spans="1:16" x14ac:dyDescent="0.35">
      <c r="A738" t="s">
        <v>1545</v>
      </c>
      <c r="B738" t="s">
        <v>1546</v>
      </c>
      <c r="C738" t="str">
        <f t="shared" si="44"/>
        <v>Jessica Garza</v>
      </c>
      <c r="D738" t="s">
        <v>20</v>
      </c>
      <c r="E738" t="str">
        <f t="shared" si="45"/>
        <v>Female</v>
      </c>
      <c r="F738" s="12">
        <v>23</v>
      </c>
      <c r="G738" t="s">
        <v>68</v>
      </c>
      <c r="H738" s="12" t="s">
        <v>69</v>
      </c>
      <c r="I738" t="s">
        <v>70</v>
      </c>
      <c r="J738" s="12">
        <v>11</v>
      </c>
      <c r="K738" s="3">
        <v>75</v>
      </c>
      <c r="L738" s="14">
        <f t="shared" si="46"/>
        <v>75</v>
      </c>
      <c r="M738" s="12">
        <v>0</v>
      </c>
      <c r="N738">
        <v>1</v>
      </c>
      <c r="O738" s="1">
        <v>0.92</v>
      </c>
      <c r="P738" s="1">
        <f t="shared" si="47"/>
        <v>0.92</v>
      </c>
    </row>
    <row r="739" spans="1:16" x14ac:dyDescent="0.35">
      <c r="A739" t="s">
        <v>1547</v>
      </c>
      <c r="B739" t="s">
        <v>1548</v>
      </c>
      <c r="C739" t="str">
        <f t="shared" si="44"/>
        <v>Gregory Waters</v>
      </c>
      <c r="D739" t="s">
        <v>27</v>
      </c>
      <c r="E739" t="str">
        <f t="shared" si="45"/>
        <v>Male</v>
      </c>
      <c r="F739" s="12">
        <v>26</v>
      </c>
      <c r="G739" t="s">
        <v>41</v>
      </c>
      <c r="H739" s="12" t="s">
        <v>42</v>
      </c>
      <c r="I739" t="s">
        <v>43</v>
      </c>
      <c r="J739" s="12">
        <v>6</v>
      </c>
      <c r="K739" s="3" t="s">
        <v>24</v>
      </c>
      <c r="L739" s="14" t="str">
        <f t="shared" si="46"/>
        <v>$ 100</v>
      </c>
      <c r="M739" s="12">
        <v>3</v>
      </c>
      <c r="N739">
        <v>1</v>
      </c>
      <c r="O739" s="1">
        <v>0.69</v>
      </c>
      <c r="P739" s="1">
        <f t="shared" si="47"/>
        <v>0.69</v>
      </c>
    </row>
    <row r="740" spans="1:16" x14ac:dyDescent="0.35">
      <c r="A740" t="s">
        <v>1549</v>
      </c>
      <c r="B740" t="s">
        <v>1550</v>
      </c>
      <c r="C740" t="str">
        <f t="shared" si="44"/>
        <v>Misty Adams</v>
      </c>
      <c r="D740" t="s">
        <v>38</v>
      </c>
      <c r="E740" t="str">
        <f t="shared" si="45"/>
        <v>Female</v>
      </c>
      <c r="F740" s="12">
        <v>34</v>
      </c>
      <c r="G740" t="s">
        <v>124</v>
      </c>
      <c r="H740" s="12" t="s">
        <v>22</v>
      </c>
      <c r="I740" t="s">
        <v>111</v>
      </c>
      <c r="J740" s="12">
        <v>3</v>
      </c>
      <c r="K740" s="3">
        <v>40</v>
      </c>
      <c r="L740" s="14">
        <f t="shared" si="46"/>
        <v>40</v>
      </c>
      <c r="M740" s="12">
        <v>0</v>
      </c>
      <c r="N740">
        <v>1</v>
      </c>
      <c r="O740" s="1">
        <v>0.71</v>
      </c>
      <c r="P740" s="1">
        <f t="shared" si="47"/>
        <v>0.71</v>
      </c>
    </row>
    <row r="741" spans="1:16" x14ac:dyDescent="0.35">
      <c r="A741" t="s">
        <v>1551</v>
      </c>
      <c r="B741" t="s">
        <v>1552</v>
      </c>
      <c r="C741" t="str">
        <f t="shared" si="44"/>
        <v>Megan Brown</v>
      </c>
      <c r="D741" t="s">
        <v>74</v>
      </c>
      <c r="E741" t="str">
        <f t="shared" si="45"/>
        <v>Female</v>
      </c>
      <c r="F741" s="12">
        <v>34</v>
      </c>
      <c r="G741" t="s">
        <v>28</v>
      </c>
      <c r="H741" s="12" t="s">
        <v>29</v>
      </c>
      <c r="I741" t="s">
        <v>17</v>
      </c>
      <c r="J741" s="12">
        <v>3</v>
      </c>
      <c r="K741" s="3">
        <v>40</v>
      </c>
      <c r="L741" s="14">
        <f t="shared" si="46"/>
        <v>40</v>
      </c>
      <c r="M741" s="12">
        <v>3</v>
      </c>
      <c r="N741">
        <v>0</v>
      </c>
      <c r="O741" s="1">
        <v>0.77</v>
      </c>
      <c r="P741" s="1">
        <f t="shared" si="47"/>
        <v>0.77</v>
      </c>
    </row>
    <row r="742" spans="1:16" x14ac:dyDescent="0.35">
      <c r="A742" t="s">
        <v>1553</v>
      </c>
      <c r="B742" t="s">
        <v>1554</v>
      </c>
      <c r="C742" t="str">
        <f t="shared" si="44"/>
        <v>Gregory Brown</v>
      </c>
      <c r="D742" t="s">
        <v>27</v>
      </c>
      <c r="E742" t="str">
        <f t="shared" si="45"/>
        <v>Male</v>
      </c>
      <c r="F742" s="12">
        <v>57</v>
      </c>
      <c r="G742" t="s">
        <v>15</v>
      </c>
      <c r="H742" s="12" t="s">
        <v>16</v>
      </c>
      <c r="I742" t="s">
        <v>35</v>
      </c>
      <c r="J742" s="12">
        <v>31</v>
      </c>
      <c r="K742" s="3">
        <v>50</v>
      </c>
      <c r="L742" s="14">
        <f t="shared" si="46"/>
        <v>50</v>
      </c>
      <c r="M742" s="12">
        <v>3</v>
      </c>
      <c r="N742">
        <v>1</v>
      </c>
      <c r="O742" s="1">
        <v>0.87</v>
      </c>
      <c r="P742" s="1">
        <f t="shared" si="47"/>
        <v>0.87</v>
      </c>
    </row>
    <row r="743" spans="1:16" x14ac:dyDescent="0.35">
      <c r="A743" t="s">
        <v>1555</v>
      </c>
      <c r="B743" t="s">
        <v>1556</v>
      </c>
      <c r="C743" t="str">
        <f t="shared" si="44"/>
        <v>Scott Alexander Md</v>
      </c>
      <c r="D743" t="s">
        <v>59</v>
      </c>
      <c r="E743" t="str">
        <f t="shared" si="45"/>
        <v>Male</v>
      </c>
      <c r="F743" s="12">
        <v>46</v>
      </c>
      <c r="G743" t="s">
        <v>124</v>
      </c>
      <c r="H743" s="12" t="s">
        <v>22</v>
      </c>
      <c r="I743" t="s">
        <v>35</v>
      </c>
      <c r="J743" s="12">
        <v>5</v>
      </c>
      <c r="K743" s="3">
        <v>30</v>
      </c>
      <c r="L743" s="14">
        <f t="shared" si="46"/>
        <v>30</v>
      </c>
      <c r="M743" s="12">
        <v>2.6</v>
      </c>
      <c r="N743">
        <v>1</v>
      </c>
      <c r="O743" s="1">
        <v>0.76</v>
      </c>
      <c r="P743" s="1">
        <f t="shared" si="47"/>
        <v>0.76</v>
      </c>
    </row>
    <row r="744" spans="1:16" x14ac:dyDescent="0.35">
      <c r="A744" t="s">
        <v>1557</v>
      </c>
      <c r="B744" t="s">
        <v>1558</v>
      </c>
      <c r="C744" t="str">
        <f t="shared" si="44"/>
        <v>Eric Nguyen</v>
      </c>
      <c r="D744" t="s">
        <v>27</v>
      </c>
      <c r="E744" t="str">
        <f t="shared" si="45"/>
        <v>Male</v>
      </c>
      <c r="F744" s="12">
        <v>55</v>
      </c>
      <c r="G744" t="s">
        <v>90</v>
      </c>
      <c r="H744" s="12" t="s">
        <v>91</v>
      </c>
      <c r="I744" t="s">
        <v>43</v>
      </c>
      <c r="J744" s="12">
        <v>37</v>
      </c>
      <c r="K744" s="3" t="s">
        <v>50</v>
      </c>
      <c r="L744" s="14" t="str">
        <f t="shared" si="46"/>
        <v>$ 75</v>
      </c>
      <c r="M744" s="12">
        <v>4.0999999999999996</v>
      </c>
      <c r="N744">
        <v>1</v>
      </c>
      <c r="O744">
        <v>16</v>
      </c>
      <c r="P744" s="1">
        <f t="shared" si="47"/>
        <v>0.16</v>
      </c>
    </row>
    <row r="745" spans="1:16" x14ac:dyDescent="0.35">
      <c r="A745" t="s">
        <v>1559</v>
      </c>
      <c r="B745" t="s">
        <v>1560</v>
      </c>
      <c r="C745" t="str">
        <f t="shared" si="44"/>
        <v>Wendy Boyer</v>
      </c>
      <c r="D745" t="s">
        <v>20</v>
      </c>
      <c r="E745" t="str">
        <f t="shared" si="45"/>
        <v>Female</v>
      </c>
      <c r="F745" s="12">
        <v>32</v>
      </c>
      <c r="G745" t="s">
        <v>21</v>
      </c>
      <c r="H745" s="12" t="s">
        <v>22</v>
      </c>
      <c r="I745" t="s">
        <v>86</v>
      </c>
      <c r="J745" s="12">
        <v>10</v>
      </c>
      <c r="K745" s="3" t="s">
        <v>95</v>
      </c>
      <c r="L745" s="14" t="str">
        <f t="shared" si="46"/>
        <v>$ 50</v>
      </c>
      <c r="M745" s="12">
        <v>1.5</v>
      </c>
      <c r="N745">
        <v>0</v>
      </c>
      <c r="O745" s="1">
        <v>0.65</v>
      </c>
      <c r="P745" s="1">
        <f t="shared" si="47"/>
        <v>0.65</v>
      </c>
    </row>
    <row r="746" spans="1:16" x14ac:dyDescent="0.35">
      <c r="A746" t="s">
        <v>1561</v>
      </c>
      <c r="B746" t="s">
        <v>1562</v>
      </c>
      <c r="C746" t="str">
        <f t="shared" si="44"/>
        <v>Mark Clark</v>
      </c>
      <c r="D746" t="s">
        <v>27</v>
      </c>
      <c r="E746" t="str">
        <f t="shared" si="45"/>
        <v>Male</v>
      </c>
      <c r="F746" s="12">
        <v>53</v>
      </c>
      <c r="G746" t="s">
        <v>47</v>
      </c>
      <c r="H746" s="12" t="s">
        <v>48</v>
      </c>
      <c r="I746" t="s">
        <v>43</v>
      </c>
      <c r="J746" s="12">
        <v>28</v>
      </c>
      <c r="K746" s="3" t="s">
        <v>95</v>
      </c>
      <c r="L746" s="14" t="str">
        <f t="shared" si="46"/>
        <v>$ 50</v>
      </c>
      <c r="M746" s="12">
        <v>2.9</v>
      </c>
      <c r="N746">
        <v>1</v>
      </c>
      <c r="O746" s="1">
        <v>0.82</v>
      </c>
      <c r="P746" s="1">
        <f t="shared" si="47"/>
        <v>0.82</v>
      </c>
    </row>
    <row r="747" spans="1:16" x14ac:dyDescent="0.35">
      <c r="A747" t="s">
        <v>1563</v>
      </c>
      <c r="B747" t="s">
        <v>1564</v>
      </c>
      <c r="C747" t="str">
        <f t="shared" si="44"/>
        <v>Carl Kline</v>
      </c>
      <c r="D747" t="s">
        <v>27</v>
      </c>
      <c r="E747" t="str">
        <f t="shared" si="45"/>
        <v>Male</v>
      </c>
      <c r="F747" s="12">
        <v>59</v>
      </c>
      <c r="G747" t="s">
        <v>174</v>
      </c>
      <c r="H747" s="12" t="s">
        <v>69</v>
      </c>
      <c r="I747" t="s">
        <v>43</v>
      </c>
      <c r="J747" s="12">
        <v>11</v>
      </c>
      <c r="K747" s="3">
        <v>100</v>
      </c>
      <c r="L747" s="14">
        <f t="shared" si="46"/>
        <v>100</v>
      </c>
      <c r="M747" s="12">
        <v>0</v>
      </c>
      <c r="N747">
        <v>1</v>
      </c>
      <c r="O747">
        <v>87</v>
      </c>
      <c r="P747" s="1">
        <f t="shared" si="47"/>
        <v>0.87</v>
      </c>
    </row>
    <row r="748" spans="1:16" x14ac:dyDescent="0.35">
      <c r="A748" t="s">
        <v>1565</v>
      </c>
      <c r="B748" t="s">
        <v>1566</v>
      </c>
      <c r="C748" t="str">
        <f t="shared" si="44"/>
        <v>Linda Williams</v>
      </c>
      <c r="D748" t="s">
        <v>38</v>
      </c>
      <c r="E748" t="str">
        <f t="shared" si="45"/>
        <v>Female</v>
      </c>
      <c r="F748" s="12">
        <v>44</v>
      </c>
      <c r="G748" t="s">
        <v>41</v>
      </c>
      <c r="H748" s="12" t="s">
        <v>42</v>
      </c>
      <c r="I748" t="s">
        <v>111</v>
      </c>
      <c r="J748" s="12">
        <v>19</v>
      </c>
      <c r="K748" s="3">
        <v>40</v>
      </c>
      <c r="L748" s="14">
        <f t="shared" si="46"/>
        <v>40</v>
      </c>
      <c r="M748" s="12">
        <v>4.9000000000000004</v>
      </c>
      <c r="N748">
        <v>0</v>
      </c>
      <c r="O748" s="1">
        <v>1</v>
      </c>
      <c r="P748" s="1">
        <f t="shared" si="47"/>
        <v>0.01</v>
      </c>
    </row>
    <row r="749" spans="1:16" x14ac:dyDescent="0.35">
      <c r="A749" t="s">
        <v>1567</v>
      </c>
      <c r="B749" t="s">
        <v>1568</v>
      </c>
      <c r="C749" t="str">
        <f t="shared" si="44"/>
        <v>Jason Edwards</v>
      </c>
      <c r="D749" t="s">
        <v>94</v>
      </c>
      <c r="E749" t="str">
        <f t="shared" si="45"/>
        <v>Male</v>
      </c>
      <c r="F749" s="12">
        <v>35</v>
      </c>
      <c r="G749" t="s">
        <v>135</v>
      </c>
      <c r="H749" s="12" t="s">
        <v>136</v>
      </c>
      <c r="I749" t="s">
        <v>17</v>
      </c>
      <c r="J749" s="12">
        <v>9</v>
      </c>
      <c r="K749" s="3" t="s">
        <v>95</v>
      </c>
      <c r="L749" s="14" t="str">
        <f t="shared" si="46"/>
        <v>$ 50</v>
      </c>
      <c r="M749" s="12">
        <v>3</v>
      </c>
      <c r="N749">
        <v>0</v>
      </c>
      <c r="O749">
        <v>71</v>
      </c>
      <c r="P749" s="1">
        <f t="shared" si="47"/>
        <v>0.71</v>
      </c>
    </row>
    <row r="750" spans="1:16" x14ac:dyDescent="0.35">
      <c r="A750" t="s">
        <v>1569</v>
      </c>
      <c r="B750" t="s">
        <v>1570</v>
      </c>
      <c r="C750" t="str">
        <f t="shared" si="44"/>
        <v>Madison Mcintosh</v>
      </c>
      <c r="D750" t="s">
        <v>38</v>
      </c>
      <c r="E750" t="str">
        <f t="shared" si="45"/>
        <v>Female</v>
      </c>
      <c r="F750" s="12">
        <v>42</v>
      </c>
      <c r="G750" t="s">
        <v>170</v>
      </c>
      <c r="H750" s="12" t="s">
        <v>171</v>
      </c>
      <c r="I750" t="s">
        <v>111</v>
      </c>
      <c r="J750" s="12">
        <v>5</v>
      </c>
      <c r="K750" s="3">
        <v>30</v>
      </c>
      <c r="L750" s="14">
        <f t="shared" si="46"/>
        <v>30</v>
      </c>
      <c r="M750" s="12">
        <v>4.9000000000000004</v>
      </c>
      <c r="N750">
        <v>1</v>
      </c>
      <c r="O750">
        <v>87</v>
      </c>
      <c r="P750" s="1">
        <f t="shared" si="47"/>
        <v>0.87</v>
      </c>
    </row>
    <row r="751" spans="1:16" x14ac:dyDescent="0.35">
      <c r="A751" t="s">
        <v>1571</v>
      </c>
      <c r="B751" t="s">
        <v>1572</v>
      </c>
      <c r="C751" t="str">
        <f t="shared" si="44"/>
        <v>Desiree Winters</v>
      </c>
      <c r="D751" t="s">
        <v>38</v>
      </c>
      <c r="E751" t="str">
        <f t="shared" si="45"/>
        <v>Female</v>
      </c>
      <c r="F751" s="12">
        <v>58</v>
      </c>
      <c r="G751" t="s">
        <v>109</v>
      </c>
      <c r="H751" s="12" t="s">
        <v>110</v>
      </c>
      <c r="I751" t="s">
        <v>17</v>
      </c>
      <c r="J751" s="12">
        <v>11</v>
      </c>
      <c r="K751" s="3" t="s">
        <v>106</v>
      </c>
      <c r="L751" s="14" t="str">
        <f t="shared" si="46"/>
        <v>$ 30</v>
      </c>
      <c r="M751" s="12">
        <v>4.5999999999999996</v>
      </c>
      <c r="N751">
        <v>0</v>
      </c>
      <c r="O751">
        <v>70</v>
      </c>
      <c r="P751" s="1">
        <f t="shared" si="47"/>
        <v>0.7</v>
      </c>
    </row>
    <row r="752" spans="1:16" x14ac:dyDescent="0.35">
      <c r="A752" t="s">
        <v>1573</v>
      </c>
      <c r="B752" t="s">
        <v>1574</v>
      </c>
      <c r="C752" t="str">
        <f t="shared" si="44"/>
        <v>Ryan Taylor</v>
      </c>
      <c r="D752" t="s">
        <v>59</v>
      </c>
      <c r="E752" t="str">
        <f t="shared" si="45"/>
        <v>Male</v>
      </c>
      <c r="F752" s="12">
        <v>41</v>
      </c>
      <c r="G752" t="s">
        <v>41</v>
      </c>
      <c r="H752" s="12" t="s">
        <v>42</v>
      </c>
      <c r="I752" t="s">
        <v>43</v>
      </c>
      <c r="J752" s="12">
        <v>21</v>
      </c>
      <c r="K752" s="3" t="s">
        <v>24</v>
      </c>
      <c r="L752" s="14" t="str">
        <f t="shared" si="46"/>
        <v>$ 100</v>
      </c>
      <c r="M752" s="12">
        <v>2.2000000000000002</v>
      </c>
      <c r="N752">
        <v>1</v>
      </c>
      <c r="O752" s="1">
        <v>0.83</v>
      </c>
      <c r="P752" s="1">
        <f t="shared" si="47"/>
        <v>0.83</v>
      </c>
    </row>
    <row r="753" spans="1:16" x14ac:dyDescent="0.35">
      <c r="A753" t="s">
        <v>1575</v>
      </c>
      <c r="B753" t="s">
        <v>1576</v>
      </c>
      <c r="C753" t="str">
        <f t="shared" si="44"/>
        <v>Patricia Scott</v>
      </c>
      <c r="D753" t="s">
        <v>38</v>
      </c>
      <c r="E753" t="str">
        <f t="shared" si="45"/>
        <v>Female</v>
      </c>
      <c r="F753" s="12">
        <v>41</v>
      </c>
      <c r="G753" t="s">
        <v>68</v>
      </c>
      <c r="H753" s="12" t="s">
        <v>69</v>
      </c>
      <c r="I753" t="s">
        <v>35</v>
      </c>
      <c r="J753" s="12">
        <v>11</v>
      </c>
      <c r="K753" s="3">
        <v>40</v>
      </c>
      <c r="L753" s="14">
        <f t="shared" si="46"/>
        <v>40</v>
      </c>
      <c r="M753" s="12">
        <v>3</v>
      </c>
      <c r="N753">
        <v>1</v>
      </c>
      <c r="O753" s="1">
        <v>0.74</v>
      </c>
      <c r="P753" s="1">
        <f t="shared" si="47"/>
        <v>0.74</v>
      </c>
    </row>
    <row r="754" spans="1:16" x14ac:dyDescent="0.35">
      <c r="A754" t="s">
        <v>1577</v>
      </c>
      <c r="B754" t="s">
        <v>1578</v>
      </c>
      <c r="C754" t="str">
        <f t="shared" si="44"/>
        <v>Erin Jimenez</v>
      </c>
      <c r="D754" t="s">
        <v>20</v>
      </c>
      <c r="E754" t="str">
        <f t="shared" si="45"/>
        <v>Female</v>
      </c>
      <c r="F754" s="12">
        <v>23</v>
      </c>
      <c r="G754" t="s">
        <v>124</v>
      </c>
      <c r="H754" s="12" t="s">
        <v>22</v>
      </c>
      <c r="I754" t="s">
        <v>17</v>
      </c>
      <c r="J754" s="12">
        <v>11</v>
      </c>
      <c r="K754" s="3">
        <v>30</v>
      </c>
      <c r="L754" s="14">
        <f t="shared" si="46"/>
        <v>30</v>
      </c>
      <c r="M754" s="12">
        <v>1.1000000000000001</v>
      </c>
      <c r="N754">
        <v>1</v>
      </c>
      <c r="O754" s="1">
        <v>0.86</v>
      </c>
      <c r="P754" s="1">
        <f t="shared" si="47"/>
        <v>0.86</v>
      </c>
    </row>
    <row r="755" spans="1:16" x14ac:dyDescent="0.35">
      <c r="A755" t="s">
        <v>1579</v>
      </c>
      <c r="B755" t="s">
        <v>1580</v>
      </c>
      <c r="C755" t="str">
        <f t="shared" si="44"/>
        <v>Anthony Krause</v>
      </c>
      <c r="D755" t="s">
        <v>27</v>
      </c>
      <c r="E755" t="str">
        <f t="shared" si="45"/>
        <v>Male</v>
      </c>
      <c r="F755" s="12">
        <v>51</v>
      </c>
      <c r="G755" t="s">
        <v>170</v>
      </c>
      <c r="H755" s="12" t="s">
        <v>171</v>
      </c>
      <c r="I755" t="s">
        <v>17</v>
      </c>
      <c r="J755" s="12">
        <v>17</v>
      </c>
      <c r="K755" s="3">
        <v>40</v>
      </c>
      <c r="L755" s="14">
        <f t="shared" si="46"/>
        <v>40</v>
      </c>
      <c r="M755" s="12">
        <v>4.5</v>
      </c>
      <c r="N755">
        <v>1</v>
      </c>
      <c r="O755" s="1">
        <v>0.72</v>
      </c>
      <c r="P755" s="1">
        <f t="shared" si="47"/>
        <v>0.72</v>
      </c>
    </row>
    <row r="756" spans="1:16" x14ac:dyDescent="0.35">
      <c r="A756" t="s">
        <v>1581</v>
      </c>
      <c r="B756" t="s">
        <v>1582</v>
      </c>
      <c r="C756" t="str">
        <f t="shared" si="44"/>
        <v>Diane Dean</v>
      </c>
      <c r="D756" t="s">
        <v>20</v>
      </c>
      <c r="E756" t="str">
        <f t="shared" si="45"/>
        <v>Female</v>
      </c>
      <c r="F756" s="12">
        <v>42</v>
      </c>
      <c r="G756" t="s">
        <v>131</v>
      </c>
      <c r="H756" s="12" t="s">
        <v>132</v>
      </c>
      <c r="I756" t="s">
        <v>43</v>
      </c>
      <c r="J756" s="12">
        <v>21</v>
      </c>
      <c r="K756" s="3">
        <v>40</v>
      </c>
      <c r="L756" s="14">
        <f t="shared" si="46"/>
        <v>40</v>
      </c>
      <c r="M756" s="12">
        <v>2.5</v>
      </c>
      <c r="N756">
        <v>1</v>
      </c>
      <c r="O756" s="1">
        <v>0.73</v>
      </c>
      <c r="P756" s="1">
        <f t="shared" si="47"/>
        <v>0.73</v>
      </c>
    </row>
    <row r="757" spans="1:16" x14ac:dyDescent="0.35">
      <c r="A757" t="s">
        <v>1583</v>
      </c>
      <c r="B757" t="s">
        <v>1584</v>
      </c>
      <c r="C757" t="str">
        <f t="shared" si="44"/>
        <v>Stuart Mckinney</v>
      </c>
      <c r="D757" t="s">
        <v>59</v>
      </c>
      <c r="E757" t="str">
        <f t="shared" si="45"/>
        <v>Male</v>
      </c>
      <c r="F757" s="12">
        <v>26</v>
      </c>
      <c r="G757" t="s">
        <v>82</v>
      </c>
      <c r="H757" s="12" t="s">
        <v>83</v>
      </c>
      <c r="I757" t="s">
        <v>49</v>
      </c>
      <c r="J757" s="12">
        <v>7</v>
      </c>
      <c r="K757" s="3" t="s">
        <v>50</v>
      </c>
      <c r="L757" s="14" t="str">
        <f t="shared" si="46"/>
        <v>$ 75</v>
      </c>
      <c r="M757" s="12">
        <v>2.9</v>
      </c>
      <c r="N757">
        <v>0</v>
      </c>
      <c r="O757" s="1">
        <v>0.78</v>
      </c>
      <c r="P757" s="1">
        <f t="shared" si="47"/>
        <v>0.78</v>
      </c>
    </row>
    <row r="758" spans="1:16" x14ac:dyDescent="0.35">
      <c r="A758" t="s">
        <v>1585</v>
      </c>
      <c r="B758" t="s">
        <v>1586</v>
      </c>
      <c r="C758" t="str">
        <f t="shared" si="44"/>
        <v>Kellie Le</v>
      </c>
      <c r="D758" t="s">
        <v>38</v>
      </c>
      <c r="E758" t="str">
        <f t="shared" si="45"/>
        <v>Female</v>
      </c>
      <c r="F758" s="12">
        <v>49</v>
      </c>
      <c r="G758" t="s">
        <v>47</v>
      </c>
      <c r="H758" s="12" t="s">
        <v>48</v>
      </c>
      <c r="I758" t="s">
        <v>43</v>
      </c>
      <c r="J758" s="12">
        <v>22</v>
      </c>
      <c r="K758" s="3">
        <v>75</v>
      </c>
      <c r="L758" s="14">
        <f t="shared" si="46"/>
        <v>75</v>
      </c>
      <c r="M758" s="12">
        <v>0</v>
      </c>
      <c r="N758">
        <v>1</v>
      </c>
      <c r="O758">
        <v>16</v>
      </c>
      <c r="P758" s="1">
        <f t="shared" si="47"/>
        <v>0.16</v>
      </c>
    </row>
    <row r="759" spans="1:16" x14ac:dyDescent="0.35">
      <c r="A759" t="s">
        <v>1587</v>
      </c>
      <c r="B759" t="s">
        <v>1588</v>
      </c>
      <c r="C759" t="str">
        <f t="shared" si="44"/>
        <v>Lauren Henry</v>
      </c>
      <c r="D759" t="s">
        <v>38</v>
      </c>
      <c r="E759" t="str">
        <f t="shared" si="45"/>
        <v>Female</v>
      </c>
      <c r="F759" s="12">
        <v>37</v>
      </c>
      <c r="G759" t="s">
        <v>15</v>
      </c>
      <c r="H759" s="12" t="s">
        <v>16</v>
      </c>
      <c r="I759" t="s">
        <v>86</v>
      </c>
      <c r="J759" s="12">
        <v>11</v>
      </c>
      <c r="K759" s="3" t="s">
        <v>50</v>
      </c>
      <c r="L759" s="14" t="str">
        <f t="shared" si="46"/>
        <v>$ 75</v>
      </c>
      <c r="M759" s="12">
        <v>3.5</v>
      </c>
      <c r="N759">
        <v>0</v>
      </c>
      <c r="O759" s="1">
        <v>0.75</v>
      </c>
      <c r="P759" s="1">
        <f t="shared" si="47"/>
        <v>0.75</v>
      </c>
    </row>
    <row r="760" spans="1:16" x14ac:dyDescent="0.35">
      <c r="A760" t="s">
        <v>1589</v>
      </c>
      <c r="B760" t="s">
        <v>1590</v>
      </c>
      <c r="C760" t="str">
        <f t="shared" si="44"/>
        <v>Brandon Fox</v>
      </c>
      <c r="D760" t="s">
        <v>27</v>
      </c>
      <c r="E760" t="str">
        <f t="shared" si="45"/>
        <v>Male</v>
      </c>
      <c r="F760" s="12">
        <v>31</v>
      </c>
      <c r="G760" t="s">
        <v>21</v>
      </c>
      <c r="H760" s="12" t="s">
        <v>22</v>
      </c>
      <c r="I760" t="s">
        <v>43</v>
      </c>
      <c r="J760" s="12">
        <v>1</v>
      </c>
      <c r="K760" s="3">
        <v>40</v>
      </c>
      <c r="L760" s="14">
        <f t="shared" si="46"/>
        <v>40</v>
      </c>
      <c r="M760" s="12">
        <v>4.5</v>
      </c>
      <c r="N760">
        <v>0</v>
      </c>
      <c r="O760" s="1">
        <v>0.96</v>
      </c>
      <c r="P760" s="1">
        <f t="shared" si="47"/>
        <v>0.96</v>
      </c>
    </row>
    <row r="761" spans="1:16" x14ac:dyDescent="0.35">
      <c r="A761" t="s">
        <v>1591</v>
      </c>
      <c r="B761" t="s">
        <v>1592</v>
      </c>
      <c r="C761" t="str">
        <f t="shared" si="44"/>
        <v>Richard Smith</v>
      </c>
      <c r="D761" t="s">
        <v>59</v>
      </c>
      <c r="E761" t="str">
        <f t="shared" si="45"/>
        <v>Male</v>
      </c>
      <c r="F761" s="12">
        <v>51</v>
      </c>
      <c r="G761" t="s">
        <v>109</v>
      </c>
      <c r="H761" s="12" t="s">
        <v>110</v>
      </c>
      <c r="I761" t="s">
        <v>23</v>
      </c>
      <c r="J761" s="12">
        <v>5</v>
      </c>
      <c r="K761" s="3" t="s">
        <v>53</v>
      </c>
      <c r="L761" s="14" t="str">
        <f t="shared" si="46"/>
        <v>$ 40</v>
      </c>
      <c r="M761" s="12">
        <v>1.7</v>
      </c>
      <c r="N761">
        <v>1</v>
      </c>
      <c r="O761" s="1">
        <v>0.61</v>
      </c>
      <c r="P761" s="1">
        <f t="shared" si="47"/>
        <v>0.61</v>
      </c>
    </row>
    <row r="762" spans="1:16" x14ac:dyDescent="0.35">
      <c r="A762" t="s">
        <v>1593</v>
      </c>
      <c r="B762" t="s">
        <v>1594</v>
      </c>
      <c r="C762" t="str">
        <f t="shared" si="44"/>
        <v>John White</v>
      </c>
      <c r="D762" t="s">
        <v>27</v>
      </c>
      <c r="E762" t="str">
        <f t="shared" si="45"/>
        <v>Male</v>
      </c>
      <c r="F762" s="12">
        <v>60</v>
      </c>
      <c r="G762" t="s">
        <v>170</v>
      </c>
      <c r="H762" s="12" t="s">
        <v>171</v>
      </c>
      <c r="I762" t="s">
        <v>86</v>
      </c>
      <c r="J762" s="12">
        <v>40</v>
      </c>
      <c r="K762" s="3">
        <v>50</v>
      </c>
      <c r="L762" s="14">
        <f t="shared" si="46"/>
        <v>50</v>
      </c>
      <c r="M762" s="12">
        <v>4.5999999999999996</v>
      </c>
      <c r="N762">
        <v>1</v>
      </c>
      <c r="O762" s="1">
        <v>1</v>
      </c>
      <c r="P762" s="1">
        <f t="shared" si="47"/>
        <v>0.01</v>
      </c>
    </row>
    <row r="763" spans="1:16" x14ac:dyDescent="0.35">
      <c r="A763" t="s">
        <v>1595</v>
      </c>
      <c r="B763" t="s">
        <v>1596</v>
      </c>
      <c r="C763" t="str">
        <f t="shared" si="44"/>
        <v>Gilbert Mcintyre</v>
      </c>
      <c r="D763" t="s">
        <v>27</v>
      </c>
      <c r="E763" t="str">
        <f t="shared" si="45"/>
        <v>Male</v>
      </c>
      <c r="F763" s="12">
        <v>51</v>
      </c>
      <c r="G763" t="s">
        <v>124</v>
      </c>
      <c r="H763" s="12" t="s">
        <v>22</v>
      </c>
      <c r="I763" t="s">
        <v>17</v>
      </c>
      <c r="J763" s="12">
        <v>19</v>
      </c>
      <c r="K763" s="3">
        <v>50</v>
      </c>
      <c r="L763" s="14">
        <f t="shared" si="46"/>
        <v>50</v>
      </c>
      <c r="M763" s="12">
        <v>3</v>
      </c>
      <c r="N763">
        <v>1</v>
      </c>
      <c r="O763" s="1">
        <v>0.82</v>
      </c>
      <c r="P763" s="1">
        <f t="shared" si="47"/>
        <v>0.82</v>
      </c>
    </row>
    <row r="764" spans="1:16" x14ac:dyDescent="0.35">
      <c r="A764" t="s">
        <v>1597</v>
      </c>
      <c r="B764" t="s">
        <v>1598</v>
      </c>
      <c r="C764" t="str">
        <f t="shared" si="44"/>
        <v>Christopher Sparks</v>
      </c>
      <c r="D764" t="s">
        <v>27</v>
      </c>
      <c r="E764" t="str">
        <f t="shared" si="45"/>
        <v>Male</v>
      </c>
      <c r="F764" s="12">
        <v>37</v>
      </c>
      <c r="G764" t="s">
        <v>28</v>
      </c>
      <c r="H764" s="12" t="s">
        <v>29</v>
      </c>
      <c r="I764" t="s">
        <v>30</v>
      </c>
      <c r="J764" s="12">
        <v>12</v>
      </c>
      <c r="K764" s="3">
        <v>40</v>
      </c>
      <c r="L764" s="14">
        <f t="shared" si="46"/>
        <v>40</v>
      </c>
      <c r="M764" s="12">
        <v>4.9000000000000004</v>
      </c>
      <c r="N764">
        <v>1</v>
      </c>
      <c r="O764" s="1">
        <v>0.8</v>
      </c>
      <c r="P764" s="1">
        <f t="shared" si="47"/>
        <v>0.8</v>
      </c>
    </row>
    <row r="765" spans="1:16" x14ac:dyDescent="0.35">
      <c r="A765" t="s">
        <v>1599</v>
      </c>
      <c r="B765" t="s">
        <v>1600</v>
      </c>
      <c r="C765" t="str">
        <f t="shared" si="44"/>
        <v>Aaron Hicks</v>
      </c>
      <c r="D765" t="s">
        <v>27</v>
      </c>
      <c r="E765" t="str">
        <f t="shared" si="45"/>
        <v>Male</v>
      </c>
      <c r="F765" s="12">
        <v>52</v>
      </c>
      <c r="G765" t="s">
        <v>90</v>
      </c>
      <c r="H765" s="12" t="s">
        <v>91</v>
      </c>
      <c r="I765" t="s">
        <v>17</v>
      </c>
      <c r="J765" s="12">
        <v>7</v>
      </c>
      <c r="K765" s="3">
        <v>40</v>
      </c>
      <c r="L765" s="14">
        <f t="shared" si="46"/>
        <v>40</v>
      </c>
      <c r="M765" s="12">
        <v>2.2000000000000002</v>
      </c>
      <c r="N765">
        <v>1</v>
      </c>
      <c r="O765" s="1">
        <v>0.96</v>
      </c>
      <c r="P765" s="1">
        <f t="shared" si="47"/>
        <v>0.96</v>
      </c>
    </row>
    <row r="766" spans="1:16" x14ac:dyDescent="0.35">
      <c r="A766" t="s">
        <v>1601</v>
      </c>
      <c r="B766" t="s">
        <v>1602</v>
      </c>
      <c r="C766" t="str">
        <f t="shared" si="44"/>
        <v>Jose Patterson</v>
      </c>
      <c r="D766" t="s">
        <v>27</v>
      </c>
      <c r="E766" t="str">
        <f t="shared" si="45"/>
        <v>Male</v>
      </c>
      <c r="F766" s="12">
        <v>27</v>
      </c>
      <c r="G766" t="s">
        <v>47</v>
      </c>
      <c r="H766" s="12" t="s">
        <v>48</v>
      </c>
      <c r="I766" t="s">
        <v>17</v>
      </c>
      <c r="J766" s="12">
        <v>4</v>
      </c>
      <c r="K766" s="3">
        <v>20</v>
      </c>
      <c r="L766" s="14">
        <f t="shared" si="46"/>
        <v>20</v>
      </c>
      <c r="M766" s="12">
        <v>3</v>
      </c>
      <c r="N766">
        <v>0</v>
      </c>
      <c r="O766" s="1">
        <v>0.63</v>
      </c>
      <c r="P766" s="1">
        <f t="shared" si="47"/>
        <v>0.63</v>
      </c>
    </row>
    <row r="767" spans="1:16" x14ac:dyDescent="0.35">
      <c r="A767" t="s">
        <v>1603</v>
      </c>
      <c r="B767" t="s">
        <v>1604</v>
      </c>
      <c r="C767" t="str">
        <f t="shared" si="44"/>
        <v>Bryan Long</v>
      </c>
      <c r="D767" t="s">
        <v>27</v>
      </c>
      <c r="E767" t="str">
        <f t="shared" si="45"/>
        <v>Male</v>
      </c>
      <c r="F767" s="12">
        <v>48</v>
      </c>
      <c r="G767" t="s">
        <v>21</v>
      </c>
      <c r="H767" s="12" t="s">
        <v>22</v>
      </c>
      <c r="I767" t="s">
        <v>30</v>
      </c>
      <c r="J767" s="12">
        <v>24</v>
      </c>
      <c r="K767" s="3">
        <v>40</v>
      </c>
      <c r="L767" s="14">
        <f t="shared" si="46"/>
        <v>40</v>
      </c>
      <c r="M767" s="12">
        <v>2.2000000000000002</v>
      </c>
      <c r="N767">
        <v>0</v>
      </c>
      <c r="O767" s="1">
        <v>0.67</v>
      </c>
      <c r="P767" s="1">
        <f t="shared" si="47"/>
        <v>0.67</v>
      </c>
    </row>
    <row r="768" spans="1:16" x14ac:dyDescent="0.35">
      <c r="A768" t="s">
        <v>1605</v>
      </c>
      <c r="B768" t="s">
        <v>1606</v>
      </c>
      <c r="C768" t="str">
        <f t="shared" si="44"/>
        <v>Tammy Gomez</v>
      </c>
      <c r="D768" t="s">
        <v>38</v>
      </c>
      <c r="E768" t="str">
        <f t="shared" si="45"/>
        <v>Female</v>
      </c>
      <c r="F768" s="12">
        <v>22</v>
      </c>
      <c r="G768" t="s">
        <v>82</v>
      </c>
      <c r="H768" s="12" t="s">
        <v>83</v>
      </c>
      <c r="I768" t="s">
        <v>49</v>
      </c>
      <c r="J768" s="12">
        <v>1</v>
      </c>
      <c r="K768" s="3" t="s">
        <v>106</v>
      </c>
      <c r="L768" s="14" t="str">
        <f t="shared" si="46"/>
        <v>$ 30</v>
      </c>
      <c r="M768" s="12">
        <v>3.3</v>
      </c>
      <c r="N768">
        <v>1</v>
      </c>
      <c r="O768" s="1">
        <v>0.61</v>
      </c>
      <c r="P768" s="1">
        <f t="shared" si="47"/>
        <v>0.61</v>
      </c>
    </row>
    <row r="769" spans="1:16" x14ac:dyDescent="0.35">
      <c r="A769" t="s">
        <v>1607</v>
      </c>
      <c r="B769" t="s">
        <v>1608</v>
      </c>
      <c r="C769" t="str">
        <f t="shared" si="44"/>
        <v>Diana Raymond</v>
      </c>
      <c r="D769" t="s">
        <v>20</v>
      </c>
      <c r="E769" t="str">
        <f t="shared" si="45"/>
        <v>Female</v>
      </c>
      <c r="F769" s="12">
        <v>48</v>
      </c>
      <c r="G769" t="s">
        <v>28</v>
      </c>
      <c r="H769" s="12" t="s">
        <v>29</v>
      </c>
      <c r="I769" t="s">
        <v>23</v>
      </c>
      <c r="J769" s="12">
        <v>28</v>
      </c>
      <c r="K769" s="3" t="s">
        <v>106</v>
      </c>
      <c r="L769" s="14" t="str">
        <f t="shared" si="46"/>
        <v>$ 30</v>
      </c>
      <c r="M769" s="12">
        <v>4.9000000000000004</v>
      </c>
      <c r="N769">
        <v>0</v>
      </c>
      <c r="O769" s="1">
        <v>0.77</v>
      </c>
      <c r="P769" s="1">
        <f t="shared" si="47"/>
        <v>0.77</v>
      </c>
    </row>
    <row r="770" spans="1:16" x14ac:dyDescent="0.35">
      <c r="A770" t="s">
        <v>1609</v>
      </c>
      <c r="B770" t="s">
        <v>1610</v>
      </c>
      <c r="C770" t="str">
        <f t="shared" si="44"/>
        <v>Jessica Armstrong</v>
      </c>
      <c r="D770" t="s">
        <v>38</v>
      </c>
      <c r="E770" t="str">
        <f t="shared" si="45"/>
        <v>Female</v>
      </c>
      <c r="F770" s="12">
        <v>54</v>
      </c>
      <c r="G770" t="s">
        <v>56</v>
      </c>
      <c r="H770" s="12" t="s">
        <v>22</v>
      </c>
      <c r="I770" t="s">
        <v>23</v>
      </c>
      <c r="J770" s="12">
        <v>19</v>
      </c>
      <c r="K770" s="3">
        <v>75</v>
      </c>
      <c r="L770" s="14">
        <f t="shared" si="46"/>
        <v>75</v>
      </c>
      <c r="M770" s="12">
        <v>0</v>
      </c>
      <c r="N770">
        <v>1</v>
      </c>
      <c r="O770">
        <v>16</v>
      </c>
      <c r="P770" s="1">
        <f t="shared" si="47"/>
        <v>0.16</v>
      </c>
    </row>
    <row r="771" spans="1:16" x14ac:dyDescent="0.35">
      <c r="A771" t="s">
        <v>1611</v>
      </c>
      <c r="B771" t="s">
        <v>1612</v>
      </c>
      <c r="C771" t="str">
        <f t="shared" ref="C771:C834" si="48">PROPER(B771)</f>
        <v>Amanda Martin</v>
      </c>
      <c r="D771" t="s">
        <v>74</v>
      </c>
      <c r="E771" t="str">
        <f t="shared" ref="E771:E834" si="49">PROPER(D771)</f>
        <v>Female</v>
      </c>
      <c r="F771" s="12">
        <v>52</v>
      </c>
      <c r="G771" t="s">
        <v>109</v>
      </c>
      <c r="H771" s="12" t="s">
        <v>110</v>
      </c>
      <c r="I771" t="s">
        <v>49</v>
      </c>
      <c r="J771" s="12">
        <v>4</v>
      </c>
      <c r="K771" s="3">
        <v>50</v>
      </c>
      <c r="L771" s="14">
        <f t="shared" ref="L771:L834" si="50">IF(K771="","",IF(LEFT(K771,3)="USD","$"&amp;MID(K771,4,LEN(K771)-3),K771))</f>
        <v>50</v>
      </c>
      <c r="M771" s="12">
        <v>3</v>
      </c>
      <c r="N771">
        <v>0</v>
      </c>
      <c r="O771" s="1">
        <v>0.84</v>
      </c>
      <c r="P771" s="1">
        <f t="shared" ref="P771:P834" si="51">IF(O771="","",IF(O771&lt;1,O771,O771/100))</f>
        <v>0.84</v>
      </c>
    </row>
    <row r="772" spans="1:16" x14ac:dyDescent="0.35">
      <c r="A772" t="s">
        <v>1613</v>
      </c>
      <c r="B772" t="s">
        <v>1614</v>
      </c>
      <c r="C772" t="str">
        <f t="shared" si="48"/>
        <v>Anne Hamilton</v>
      </c>
      <c r="D772" t="s">
        <v>38</v>
      </c>
      <c r="E772" t="str">
        <f t="shared" si="49"/>
        <v>Female</v>
      </c>
      <c r="F772" s="12">
        <v>39</v>
      </c>
      <c r="G772" t="s">
        <v>60</v>
      </c>
      <c r="H772" s="12" t="s">
        <v>61</v>
      </c>
      <c r="I772" t="s">
        <v>35</v>
      </c>
      <c r="J772" s="12">
        <v>20</v>
      </c>
      <c r="K772" s="3" t="s">
        <v>24</v>
      </c>
      <c r="L772" s="14" t="str">
        <f t="shared" si="50"/>
        <v>$ 100</v>
      </c>
      <c r="M772" s="12">
        <v>3</v>
      </c>
      <c r="N772">
        <v>1</v>
      </c>
      <c r="O772" s="1">
        <v>0.89</v>
      </c>
      <c r="P772" s="1">
        <f t="shared" si="51"/>
        <v>0.89</v>
      </c>
    </row>
    <row r="773" spans="1:16" x14ac:dyDescent="0.35">
      <c r="A773" t="s">
        <v>1615</v>
      </c>
      <c r="B773" t="s">
        <v>1616</v>
      </c>
      <c r="C773" t="str">
        <f t="shared" si="48"/>
        <v>Heather Curtis</v>
      </c>
      <c r="D773" t="s">
        <v>38</v>
      </c>
      <c r="E773" t="str">
        <f t="shared" si="49"/>
        <v>Female</v>
      </c>
      <c r="F773" s="12">
        <v>54</v>
      </c>
      <c r="G773" t="s">
        <v>120</v>
      </c>
      <c r="H773" s="12" t="s">
        <v>121</v>
      </c>
      <c r="I773" t="s">
        <v>23</v>
      </c>
      <c r="J773" s="12">
        <v>19</v>
      </c>
      <c r="K773" s="3" t="s">
        <v>106</v>
      </c>
      <c r="L773" s="14" t="str">
        <f t="shared" si="50"/>
        <v>$ 30</v>
      </c>
      <c r="M773" s="12">
        <v>4</v>
      </c>
      <c r="N773">
        <v>1</v>
      </c>
      <c r="O773" s="1">
        <v>0.9</v>
      </c>
      <c r="P773" s="1">
        <f t="shared" si="51"/>
        <v>0.9</v>
      </c>
    </row>
    <row r="774" spans="1:16" x14ac:dyDescent="0.35">
      <c r="A774" t="s">
        <v>1617</v>
      </c>
      <c r="B774" t="s">
        <v>1618</v>
      </c>
      <c r="C774" t="str">
        <f t="shared" si="48"/>
        <v>Tiffany Moses</v>
      </c>
      <c r="D774" t="s">
        <v>74</v>
      </c>
      <c r="E774" t="str">
        <f t="shared" si="49"/>
        <v>Female</v>
      </c>
      <c r="F774" s="12">
        <v>22</v>
      </c>
      <c r="G774" t="s">
        <v>56</v>
      </c>
      <c r="H774" s="12" t="s">
        <v>22</v>
      </c>
      <c r="I774" t="s">
        <v>75</v>
      </c>
      <c r="J774" s="12">
        <v>1</v>
      </c>
      <c r="K774" s="3">
        <v>20</v>
      </c>
      <c r="L774" s="14">
        <f t="shared" si="50"/>
        <v>20</v>
      </c>
      <c r="M774" s="12">
        <v>4.8</v>
      </c>
      <c r="N774">
        <v>0</v>
      </c>
      <c r="O774" s="1">
        <v>0.87</v>
      </c>
      <c r="P774" s="1">
        <f t="shared" si="51"/>
        <v>0.87</v>
      </c>
    </row>
    <row r="775" spans="1:16" x14ac:dyDescent="0.35">
      <c r="A775" t="s">
        <v>1619</v>
      </c>
      <c r="B775" t="s">
        <v>1620</v>
      </c>
      <c r="C775" t="str">
        <f t="shared" si="48"/>
        <v>Jacqueline Moon</v>
      </c>
      <c r="D775" t="s">
        <v>20</v>
      </c>
      <c r="E775" t="str">
        <f t="shared" si="49"/>
        <v>Female</v>
      </c>
      <c r="F775" s="12">
        <v>29</v>
      </c>
      <c r="G775" t="s">
        <v>149</v>
      </c>
      <c r="H775" s="12" t="s">
        <v>150</v>
      </c>
      <c r="I775" t="s">
        <v>23</v>
      </c>
      <c r="J775" s="12">
        <v>8</v>
      </c>
      <c r="K775" s="3">
        <v>50</v>
      </c>
      <c r="L775" s="14">
        <f t="shared" si="50"/>
        <v>50</v>
      </c>
      <c r="M775" s="12">
        <v>0</v>
      </c>
      <c r="N775">
        <v>0</v>
      </c>
      <c r="O775" s="1">
        <v>0.77</v>
      </c>
      <c r="P775" s="1">
        <f t="shared" si="51"/>
        <v>0.77</v>
      </c>
    </row>
    <row r="776" spans="1:16" x14ac:dyDescent="0.35">
      <c r="A776" t="s">
        <v>1621</v>
      </c>
      <c r="B776" t="s">
        <v>1622</v>
      </c>
      <c r="C776" t="str">
        <f t="shared" si="48"/>
        <v>James Campbell</v>
      </c>
      <c r="D776" t="s">
        <v>27</v>
      </c>
      <c r="E776" t="str">
        <f t="shared" si="49"/>
        <v>Male</v>
      </c>
      <c r="F776" s="12">
        <v>23</v>
      </c>
      <c r="G776" t="s">
        <v>185</v>
      </c>
      <c r="H776" s="12" t="s">
        <v>69</v>
      </c>
      <c r="I776" t="s">
        <v>86</v>
      </c>
      <c r="J776" s="12">
        <v>3</v>
      </c>
      <c r="K776" s="3" t="s">
        <v>106</v>
      </c>
      <c r="L776" s="14" t="str">
        <f t="shared" si="50"/>
        <v>$ 30</v>
      </c>
      <c r="M776" s="12">
        <v>1.6</v>
      </c>
      <c r="N776">
        <v>1</v>
      </c>
      <c r="O776" s="1">
        <v>0.72</v>
      </c>
      <c r="P776" s="1">
        <f t="shared" si="51"/>
        <v>0.72</v>
      </c>
    </row>
    <row r="777" spans="1:16" x14ac:dyDescent="0.35">
      <c r="A777" t="s">
        <v>1623</v>
      </c>
      <c r="B777" t="s">
        <v>1624</v>
      </c>
      <c r="C777" t="str">
        <f t="shared" si="48"/>
        <v>Melissa Vasquez</v>
      </c>
      <c r="D777" t="s">
        <v>38</v>
      </c>
      <c r="E777" t="str">
        <f t="shared" si="49"/>
        <v>Female</v>
      </c>
      <c r="F777" s="12">
        <v>58</v>
      </c>
      <c r="G777" t="s">
        <v>174</v>
      </c>
      <c r="H777" s="12" t="s">
        <v>69</v>
      </c>
      <c r="I777" t="s">
        <v>86</v>
      </c>
      <c r="J777" s="12">
        <v>30</v>
      </c>
      <c r="K777" s="3">
        <v>50</v>
      </c>
      <c r="L777" s="14">
        <f t="shared" si="50"/>
        <v>50</v>
      </c>
      <c r="M777" s="12">
        <v>1.3</v>
      </c>
      <c r="N777">
        <v>1</v>
      </c>
      <c r="O777" s="1">
        <v>0.87</v>
      </c>
      <c r="P777" s="1">
        <f t="shared" si="51"/>
        <v>0.87</v>
      </c>
    </row>
    <row r="778" spans="1:16" x14ac:dyDescent="0.35">
      <c r="A778" t="s">
        <v>1625</v>
      </c>
      <c r="B778" t="s">
        <v>1626</v>
      </c>
      <c r="C778" t="str">
        <f t="shared" si="48"/>
        <v>Katherine Carlson</v>
      </c>
      <c r="D778" t="s">
        <v>38</v>
      </c>
      <c r="E778" t="str">
        <f t="shared" si="49"/>
        <v>Female</v>
      </c>
      <c r="F778" s="12">
        <v>56</v>
      </c>
      <c r="G778" t="s">
        <v>170</v>
      </c>
      <c r="H778" s="12" t="s">
        <v>171</v>
      </c>
      <c r="I778" t="s">
        <v>17</v>
      </c>
      <c r="J778" s="12">
        <v>3</v>
      </c>
      <c r="K778" s="3">
        <v>40</v>
      </c>
      <c r="L778" s="14">
        <f t="shared" si="50"/>
        <v>40</v>
      </c>
      <c r="M778" s="12">
        <v>4.0999999999999996</v>
      </c>
      <c r="N778">
        <v>1</v>
      </c>
      <c r="O778" s="1">
        <v>0.89</v>
      </c>
      <c r="P778" s="1">
        <f t="shared" si="51"/>
        <v>0.89</v>
      </c>
    </row>
    <row r="779" spans="1:16" x14ac:dyDescent="0.35">
      <c r="A779" t="s">
        <v>1627</v>
      </c>
      <c r="B779" t="s">
        <v>1628</v>
      </c>
      <c r="C779" t="str">
        <f t="shared" si="48"/>
        <v>Adam Clay</v>
      </c>
      <c r="D779" t="s">
        <v>27</v>
      </c>
      <c r="E779" t="str">
        <f t="shared" si="49"/>
        <v>Male</v>
      </c>
      <c r="F779" s="12">
        <v>48</v>
      </c>
      <c r="G779" t="s">
        <v>60</v>
      </c>
      <c r="H779" s="12" t="s">
        <v>61</v>
      </c>
      <c r="I779" t="s">
        <v>35</v>
      </c>
      <c r="J779" s="12">
        <v>19</v>
      </c>
      <c r="K779" s="3">
        <v>40</v>
      </c>
      <c r="L779" s="14">
        <f t="shared" si="50"/>
        <v>40</v>
      </c>
      <c r="M779" s="12">
        <v>1.5</v>
      </c>
      <c r="N779">
        <v>0</v>
      </c>
      <c r="O779" s="1">
        <v>0.87</v>
      </c>
      <c r="P779" s="1">
        <f t="shared" si="51"/>
        <v>0.87</v>
      </c>
    </row>
    <row r="780" spans="1:16" x14ac:dyDescent="0.35">
      <c r="A780" t="s">
        <v>1629</v>
      </c>
      <c r="B780" t="s">
        <v>1630</v>
      </c>
      <c r="C780" t="str">
        <f t="shared" si="48"/>
        <v>Amy Combs</v>
      </c>
      <c r="D780" t="s">
        <v>74</v>
      </c>
      <c r="E780" t="str">
        <f t="shared" si="49"/>
        <v>Female</v>
      </c>
      <c r="F780" s="12">
        <v>31</v>
      </c>
      <c r="G780" t="s">
        <v>120</v>
      </c>
      <c r="H780" s="12" t="s">
        <v>121</v>
      </c>
      <c r="I780" t="s">
        <v>23</v>
      </c>
      <c r="J780" s="12">
        <v>11</v>
      </c>
      <c r="K780" s="3" t="s">
        <v>53</v>
      </c>
      <c r="L780" s="14" t="str">
        <f t="shared" si="50"/>
        <v>$ 40</v>
      </c>
      <c r="M780" s="12">
        <v>4.3</v>
      </c>
      <c r="N780">
        <v>1</v>
      </c>
      <c r="O780" s="1">
        <v>0.76</v>
      </c>
      <c r="P780" s="1">
        <f t="shared" si="51"/>
        <v>0.76</v>
      </c>
    </row>
    <row r="781" spans="1:16" x14ac:dyDescent="0.35">
      <c r="A781" t="s">
        <v>1631</v>
      </c>
      <c r="B781" t="s">
        <v>1632</v>
      </c>
      <c r="C781" t="str">
        <f t="shared" si="48"/>
        <v>Anthony Case</v>
      </c>
      <c r="D781" t="s">
        <v>27</v>
      </c>
      <c r="E781" t="str">
        <f t="shared" si="49"/>
        <v>Male</v>
      </c>
      <c r="F781" s="12">
        <v>44</v>
      </c>
      <c r="G781" t="s">
        <v>21</v>
      </c>
      <c r="H781" s="12" t="s">
        <v>22</v>
      </c>
      <c r="I781" t="s">
        <v>111</v>
      </c>
      <c r="J781" s="12">
        <v>26</v>
      </c>
      <c r="K781" s="3">
        <v>50</v>
      </c>
      <c r="L781" s="14">
        <f t="shared" si="50"/>
        <v>50</v>
      </c>
      <c r="M781" s="12">
        <v>1.6</v>
      </c>
      <c r="N781">
        <v>1</v>
      </c>
      <c r="O781" s="1">
        <v>1</v>
      </c>
      <c r="P781" s="1">
        <f t="shared" si="51"/>
        <v>0.01</v>
      </c>
    </row>
    <row r="782" spans="1:16" x14ac:dyDescent="0.35">
      <c r="A782" t="s">
        <v>1633</v>
      </c>
      <c r="B782" t="s">
        <v>1634</v>
      </c>
      <c r="C782" t="str">
        <f t="shared" si="48"/>
        <v>Kimberly Brown</v>
      </c>
      <c r="D782" t="s">
        <v>38</v>
      </c>
      <c r="E782" t="str">
        <f t="shared" si="49"/>
        <v>Female</v>
      </c>
      <c r="F782" s="12">
        <v>42</v>
      </c>
      <c r="G782" t="s">
        <v>135</v>
      </c>
      <c r="H782" s="12" t="s">
        <v>136</v>
      </c>
      <c r="I782" t="s">
        <v>23</v>
      </c>
      <c r="J782" s="12">
        <v>10</v>
      </c>
      <c r="K782" s="3">
        <v>100</v>
      </c>
      <c r="L782" s="14">
        <f t="shared" si="50"/>
        <v>100</v>
      </c>
      <c r="M782" s="12">
        <v>3.7</v>
      </c>
      <c r="N782">
        <v>1</v>
      </c>
      <c r="O782" s="1">
        <v>0.94</v>
      </c>
      <c r="P782" s="1">
        <f t="shared" si="51"/>
        <v>0.94</v>
      </c>
    </row>
    <row r="783" spans="1:16" x14ac:dyDescent="0.35">
      <c r="A783" t="s">
        <v>1635</v>
      </c>
      <c r="B783" t="s">
        <v>1636</v>
      </c>
      <c r="C783" t="str">
        <f t="shared" si="48"/>
        <v>Joshua Holloway</v>
      </c>
      <c r="D783" t="s">
        <v>94</v>
      </c>
      <c r="E783" t="str">
        <f t="shared" si="49"/>
        <v>Male</v>
      </c>
      <c r="F783" s="12">
        <v>59</v>
      </c>
      <c r="G783" t="s">
        <v>56</v>
      </c>
      <c r="H783" s="12" t="s">
        <v>22</v>
      </c>
      <c r="I783" t="s">
        <v>75</v>
      </c>
      <c r="J783" s="12">
        <v>17</v>
      </c>
      <c r="K783" s="3">
        <v>50</v>
      </c>
      <c r="L783" s="14">
        <f t="shared" si="50"/>
        <v>50</v>
      </c>
      <c r="M783" s="12">
        <v>1.4</v>
      </c>
      <c r="N783">
        <v>1</v>
      </c>
      <c r="O783">
        <v>16</v>
      </c>
      <c r="P783" s="1">
        <f t="shared" si="51"/>
        <v>0.16</v>
      </c>
    </row>
    <row r="784" spans="1:16" x14ac:dyDescent="0.35">
      <c r="A784" t="s">
        <v>1637</v>
      </c>
      <c r="B784" t="s">
        <v>1638</v>
      </c>
      <c r="C784" t="str">
        <f t="shared" si="48"/>
        <v>Cynthia Walton</v>
      </c>
      <c r="D784" t="s">
        <v>38</v>
      </c>
      <c r="E784" t="str">
        <f t="shared" si="49"/>
        <v>Female</v>
      </c>
      <c r="F784" s="12">
        <v>41</v>
      </c>
      <c r="G784" t="s">
        <v>68</v>
      </c>
      <c r="H784" s="12" t="s">
        <v>69</v>
      </c>
      <c r="I784" t="s">
        <v>17</v>
      </c>
      <c r="J784" s="12">
        <v>9</v>
      </c>
      <c r="K784" s="3">
        <v>100</v>
      </c>
      <c r="L784" s="14">
        <f t="shared" si="50"/>
        <v>100</v>
      </c>
      <c r="M784" s="12">
        <v>4.5</v>
      </c>
      <c r="N784">
        <v>1</v>
      </c>
      <c r="O784">
        <v>83</v>
      </c>
      <c r="P784" s="1">
        <f t="shared" si="51"/>
        <v>0.83</v>
      </c>
    </row>
    <row r="785" spans="1:16" x14ac:dyDescent="0.35">
      <c r="A785" t="s">
        <v>1639</v>
      </c>
      <c r="B785" t="s">
        <v>1640</v>
      </c>
      <c r="C785" t="str">
        <f t="shared" si="48"/>
        <v>Shawn Delgado</v>
      </c>
      <c r="D785" t="s">
        <v>27</v>
      </c>
      <c r="E785" t="str">
        <f t="shared" si="49"/>
        <v>Male</v>
      </c>
      <c r="F785" s="12">
        <v>21</v>
      </c>
      <c r="G785" t="s">
        <v>170</v>
      </c>
      <c r="H785" s="12" t="s">
        <v>171</v>
      </c>
      <c r="I785" t="s">
        <v>49</v>
      </c>
      <c r="J785" s="12">
        <v>11</v>
      </c>
      <c r="K785" s="3" t="s">
        <v>53</v>
      </c>
      <c r="L785" s="14" t="str">
        <f t="shared" si="50"/>
        <v>$ 40</v>
      </c>
      <c r="M785" s="12">
        <v>3.7</v>
      </c>
      <c r="N785">
        <v>0</v>
      </c>
      <c r="O785" s="1">
        <v>0.74</v>
      </c>
      <c r="P785" s="1">
        <f t="shared" si="51"/>
        <v>0.74</v>
      </c>
    </row>
    <row r="786" spans="1:16" x14ac:dyDescent="0.35">
      <c r="A786" t="s">
        <v>1641</v>
      </c>
      <c r="B786" t="s">
        <v>1642</v>
      </c>
      <c r="C786" t="str">
        <f t="shared" si="48"/>
        <v>Jeremy Smith</v>
      </c>
      <c r="D786" t="s">
        <v>94</v>
      </c>
      <c r="E786" t="str">
        <f t="shared" si="49"/>
        <v>Male</v>
      </c>
      <c r="F786" s="12">
        <v>53</v>
      </c>
      <c r="G786" t="s">
        <v>64</v>
      </c>
      <c r="H786" s="12" t="s">
        <v>22</v>
      </c>
      <c r="I786" t="s">
        <v>86</v>
      </c>
      <c r="J786" s="12">
        <v>5</v>
      </c>
      <c r="K786" s="3">
        <v>75</v>
      </c>
      <c r="L786" s="14">
        <f t="shared" si="50"/>
        <v>75</v>
      </c>
      <c r="M786" s="12">
        <v>1.1000000000000001</v>
      </c>
      <c r="N786">
        <v>0</v>
      </c>
      <c r="O786">
        <v>92</v>
      </c>
      <c r="P786" s="1">
        <f t="shared" si="51"/>
        <v>0.92</v>
      </c>
    </row>
    <row r="787" spans="1:16" x14ac:dyDescent="0.35">
      <c r="A787" t="s">
        <v>1643</v>
      </c>
      <c r="B787" t="s">
        <v>1644</v>
      </c>
      <c r="C787" t="str">
        <f t="shared" si="48"/>
        <v>Marc Ortiz</v>
      </c>
      <c r="D787" t="s">
        <v>27</v>
      </c>
      <c r="E787" t="str">
        <f t="shared" si="49"/>
        <v>Male</v>
      </c>
      <c r="F787" s="12">
        <v>35</v>
      </c>
      <c r="G787" t="s">
        <v>68</v>
      </c>
      <c r="H787" s="12" t="s">
        <v>69</v>
      </c>
      <c r="I787" t="s">
        <v>23</v>
      </c>
      <c r="J787" s="12">
        <v>15</v>
      </c>
      <c r="K787" s="3">
        <v>40</v>
      </c>
      <c r="L787" s="14">
        <f t="shared" si="50"/>
        <v>40</v>
      </c>
      <c r="M787" s="12">
        <v>3.7</v>
      </c>
      <c r="N787">
        <v>0</v>
      </c>
      <c r="O787" s="1">
        <v>0.66</v>
      </c>
      <c r="P787" s="1">
        <f t="shared" si="51"/>
        <v>0.66</v>
      </c>
    </row>
    <row r="788" spans="1:16" x14ac:dyDescent="0.35">
      <c r="A788" t="s">
        <v>1645</v>
      </c>
      <c r="B788" t="s">
        <v>1646</v>
      </c>
      <c r="C788" t="str">
        <f t="shared" si="48"/>
        <v>Michelle Gregory</v>
      </c>
      <c r="D788" t="s">
        <v>74</v>
      </c>
      <c r="E788" t="str">
        <f t="shared" si="49"/>
        <v>Female</v>
      </c>
      <c r="F788" s="12">
        <v>25</v>
      </c>
      <c r="G788" t="s">
        <v>104</v>
      </c>
      <c r="H788" s="12" t="s">
        <v>105</v>
      </c>
      <c r="I788" t="s">
        <v>111</v>
      </c>
      <c r="J788" s="12">
        <v>3</v>
      </c>
      <c r="K788" s="3">
        <v>50</v>
      </c>
      <c r="L788" s="14">
        <f t="shared" si="50"/>
        <v>50</v>
      </c>
      <c r="M788" s="12">
        <v>3.2</v>
      </c>
      <c r="N788">
        <v>1</v>
      </c>
      <c r="O788" s="1">
        <v>0.74</v>
      </c>
      <c r="P788" s="1">
        <f t="shared" si="51"/>
        <v>0.74</v>
      </c>
    </row>
    <row r="789" spans="1:16" x14ac:dyDescent="0.35">
      <c r="A789" t="s">
        <v>1647</v>
      </c>
      <c r="B789" t="s">
        <v>1648</v>
      </c>
      <c r="C789" t="str">
        <f t="shared" si="48"/>
        <v>Melanie Gay</v>
      </c>
      <c r="D789" t="s">
        <v>38</v>
      </c>
      <c r="E789" t="str">
        <f t="shared" si="49"/>
        <v>Female</v>
      </c>
      <c r="F789" s="12">
        <v>23</v>
      </c>
      <c r="G789" t="s">
        <v>15</v>
      </c>
      <c r="H789" s="12" t="s">
        <v>16</v>
      </c>
      <c r="I789" t="s">
        <v>70</v>
      </c>
      <c r="J789" s="12">
        <v>1</v>
      </c>
      <c r="K789" s="3">
        <v>30</v>
      </c>
      <c r="L789" s="14">
        <f t="shared" si="50"/>
        <v>30</v>
      </c>
      <c r="M789" s="12">
        <v>5</v>
      </c>
      <c r="N789">
        <v>0</v>
      </c>
      <c r="O789" s="1">
        <v>0.97</v>
      </c>
      <c r="P789" s="1">
        <f t="shared" si="51"/>
        <v>0.97</v>
      </c>
    </row>
    <row r="790" spans="1:16" x14ac:dyDescent="0.35">
      <c r="A790" t="s">
        <v>1649</v>
      </c>
      <c r="B790" t="s">
        <v>1650</v>
      </c>
      <c r="C790" t="str">
        <f t="shared" si="48"/>
        <v>Brittany Lambert</v>
      </c>
      <c r="D790" t="s">
        <v>38</v>
      </c>
      <c r="E790" t="str">
        <f t="shared" si="49"/>
        <v>Female</v>
      </c>
      <c r="F790" s="12">
        <v>56</v>
      </c>
      <c r="G790" t="s">
        <v>135</v>
      </c>
      <c r="H790" s="12" t="s">
        <v>136</v>
      </c>
      <c r="I790" t="s">
        <v>30</v>
      </c>
      <c r="J790" s="12">
        <v>13</v>
      </c>
      <c r="K790" s="3">
        <v>30</v>
      </c>
      <c r="L790" s="14">
        <f t="shared" si="50"/>
        <v>30</v>
      </c>
      <c r="M790" s="12">
        <v>0</v>
      </c>
      <c r="N790">
        <v>1</v>
      </c>
      <c r="O790">
        <v>77</v>
      </c>
      <c r="P790" s="1">
        <f t="shared" si="51"/>
        <v>0.77</v>
      </c>
    </row>
    <row r="791" spans="1:16" x14ac:dyDescent="0.35">
      <c r="A791" t="s">
        <v>1651</v>
      </c>
      <c r="B791" t="s">
        <v>1652</v>
      </c>
      <c r="C791" t="str">
        <f t="shared" si="48"/>
        <v>Mary Hernandez</v>
      </c>
      <c r="D791" t="s">
        <v>38</v>
      </c>
      <c r="E791" t="str">
        <f t="shared" si="49"/>
        <v>Female</v>
      </c>
      <c r="F791" s="12">
        <v>31</v>
      </c>
      <c r="G791" t="s">
        <v>174</v>
      </c>
      <c r="H791" s="12" t="s">
        <v>69</v>
      </c>
      <c r="I791" t="s">
        <v>70</v>
      </c>
      <c r="J791" s="12">
        <v>6</v>
      </c>
      <c r="K791" s="3">
        <v>40</v>
      </c>
      <c r="L791" s="14">
        <f t="shared" si="50"/>
        <v>40</v>
      </c>
      <c r="M791" s="12">
        <v>3.5</v>
      </c>
      <c r="N791">
        <v>1</v>
      </c>
      <c r="O791" s="1">
        <v>0.86</v>
      </c>
      <c r="P791" s="1">
        <f t="shared" si="51"/>
        <v>0.86</v>
      </c>
    </row>
    <row r="792" spans="1:16" x14ac:dyDescent="0.35">
      <c r="A792" t="s">
        <v>1653</v>
      </c>
      <c r="B792" t="s">
        <v>1654</v>
      </c>
      <c r="C792" t="str">
        <f t="shared" si="48"/>
        <v>Jonathan Jones</v>
      </c>
      <c r="D792" t="s">
        <v>27</v>
      </c>
      <c r="E792" t="str">
        <f t="shared" si="49"/>
        <v>Male</v>
      </c>
      <c r="F792" s="12">
        <v>24</v>
      </c>
      <c r="G792" t="s">
        <v>56</v>
      </c>
      <c r="H792" s="12" t="s">
        <v>22</v>
      </c>
      <c r="I792" t="s">
        <v>75</v>
      </c>
      <c r="J792" s="12">
        <v>4</v>
      </c>
      <c r="K792" s="3">
        <v>50</v>
      </c>
      <c r="L792" s="14">
        <f t="shared" si="50"/>
        <v>50</v>
      </c>
      <c r="M792" s="12">
        <v>3.1</v>
      </c>
      <c r="N792">
        <v>0</v>
      </c>
      <c r="O792" s="1">
        <v>0.95</v>
      </c>
      <c r="P792" s="1">
        <f t="shared" si="51"/>
        <v>0.95</v>
      </c>
    </row>
    <row r="793" spans="1:16" x14ac:dyDescent="0.35">
      <c r="A793" t="s">
        <v>1655</v>
      </c>
      <c r="B793" t="s">
        <v>1656</v>
      </c>
      <c r="C793" t="str">
        <f t="shared" si="48"/>
        <v>Gina Williams</v>
      </c>
      <c r="D793" t="s">
        <v>20</v>
      </c>
      <c r="E793" t="str">
        <f t="shared" si="49"/>
        <v>Female</v>
      </c>
      <c r="F793" s="12">
        <v>35</v>
      </c>
      <c r="G793" t="s">
        <v>104</v>
      </c>
      <c r="H793" s="12" t="s">
        <v>105</v>
      </c>
      <c r="I793" t="s">
        <v>75</v>
      </c>
      <c r="J793" s="12">
        <v>7</v>
      </c>
      <c r="K793" s="3">
        <v>40</v>
      </c>
      <c r="L793" s="14">
        <f t="shared" si="50"/>
        <v>40</v>
      </c>
      <c r="M793" s="12">
        <v>3.9</v>
      </c>
      <c r="N793">
        <v>0</v>
      </c>
      <c r="O793" s="1">
        <v>0.72</v>
      </c>
      <c r="P793" s="1">
        <f t="shared" si="51"/>
        <v>0.72</v>
      </c>
    </row>
    <row r="794" spans="1:16" x14ac:dyDescent="0.35">
      <c r="A794" t="s">
        <v>1657</v>
      </c>
      <c r="B794" t="s">
        <v>1658</v>
      </c>
      <c r="C794" t="str">
        <f t="shared" si="48"/>
        <v>Kelly Lawson</v>
      </c>
      <c r="D794" t="s">
        <v>20</v>
      </c>
      <c r="E794" t="str">
        <f t="shared" si="49"/>
        <v>Female</v>
      </c>
      <c r="F794" s="12">
        <v>20</v>
      </c>
      <c r="G794" t="s">
        <v>185</v>
      </c>
      <c r="H794" s="12" t="s">
        <v>69</v>
      </c>
      <c r="I794" t="s">
        <v>43</v>
      </c>
      <c r="J794" s="12">
        <v>1</v>
      </c>
      <c r="K794" s="3">
        <v>40</v>
      </c>
      <c r="L794" s="14">
        <f t="shared" si="50"/>
        <v>40</v>
      </c>
      <c r="M794" s="12">
        <v>3.5</v>
      </c>
      <c r="N794">
        <v>0</v>
      </c>
      <c r="O794" s="1">
        <v>0.71</v>
      </c>
      <c r="P794" s="1">
        <f t="shared" si="51"/>
        <v>0.71</v>
      </c>
    </row>
    <row r="795" spans="1:16" x14ac:dyDescent="0.35">
      <c r="A795" t="s">
        <v>1659</v>
      </c>
      <c r="B795" t="s">
        <v>1660</v>
      </c>
      <c r="C795" t="str">
        <f t="shared" si="48"/>
        <v>Keith Smith</v>
      </c>
      <c r="D795" t="s">
        <v>94</v>
      </c>
      <c r="E795" t="str">
        <f t="shared" si="49"/>
        <v>Male</v>
      </c>
      <c r="F795" s="12">
        <v>26</v>
      </c>
      <c r="G795" t="s">
        <v>21</v>
      </c>
      <c r="H795" s="12" t="s">
        <v>22</v>
      </c>
      <c r="I795" t="s">
        <v>49</v>
      </c>
      <c r="J795" s="12">
        <v>5</v>
      </c>
      <c r="K795" s="3">
        <v>100</v>
      </c>
      <c r="L795" s="14">
        <f t="shared" si="50"/>
        <v>100</v>
      </c>
      <c r="M795" s="12">
        <v>2.5</v>
      </c>
      <c r="N795">
        <v>1</v>
      </c>
      <c r="O795" s="1">
        <v>0.93</v>
      </c>
      <c r="P795" s="1">
        <f t="shared" si="51"/>
        <v>0.93</v>
      </c>
    </row>
    <row r="796" spans="1:16" x14ac:dyDescent="0.35">
      <c r="A796" t="s">
        <v>1661</v>
      </c>
      <c r="B796" t="s">
        <v>1662</v>
      </c>
      <c r="C796" t="str">
        <f t="shared" si="48"/>
        <v>Christopher Hunter</v>
      </c>
      <c r="D796" t="s">
        <v>27</v>
      </c>
      <c r="E796" t="str">
        <f t="shared" si="49"/>
        <v>Male</v>
      </c>
      <c r="F796" s="12">
        <v>54</v>
      </c>
      <c r="G796" t="s">
        <v>64</v>
      </c>
      <c r="H796" s="12" t="s">
        <v>22</v>
      </c>
      <c r="I796" t="s">
        <v>86</v>
      </c>
      <c r="J796" s="12">
        <v>29</v>
      </c>
      <c r="K796" s="3" t="s">
        <v>53</v>
      </c>
      <c r="L796" s="14" t="str">
        <f t="shared" si="50"/>
        <v>$ 40</v>
      </c>
      <c r="M796" s="12">
        <v>3.1</v>
      </c>
      <c r="N796">
        <v>1</v>
      </c>
      <c r="O796">
        <v>16</v>
      </c>
      <c r="P796" s="1">
        <f t="shared" si="51"/>
        <v>0.16</v>
      </c>
    </row>
    <row r="797" spans="1:16" x14ac:dyDescent="0.35">
      <c r="A797" t="s">
        <v>1663</v>
      </c>
      <c r="B797" t="s">
        <v>1664</v>
      </c>
      <c r="C797" t="str">
        <f t="shared" si="48"/>
        <v>Dwayne Parks</v>
      </c>
      <c r="D797" t="s">
        <v>27</v>
      </c>
      <c r="E797" t="str">
        <f t="shared" si="49"/>
        <v>Male</v>
      </c>
      <c r="F797" s="12">
        <v>53</v>
      </c>
      <c r="G797" t="s">
        <v>120</v>
      </c>
      <c r="H797" s="12" t="s">
        <v>121</v>
      </c>
      <c r="I797" t="s">
        <v>75</v>
      </c>
      <c r="J797" s="12">
        <v>12</v>
      </c>
      <c r="K797" s="3">
        <v>100</v>
      </c>
      <c r="L797" s="14">
        <f t="shared" si="50"/>
        <v>100</v>
      </c>
      <c r="M797" s="12">
        <v>4.7</v>
      </c>
      <c r="N797">
        <v>1</v>
      </c>
      <c r="O797" s="1">
        <v>0.87</v>
      </c>
      <c r="P797" s="1">
        <f t="shared" si="51"/>
        <v>0.87</v>
      </c>
    </row>
    <row r="798" spans="1:16" x14ac:dyDescent="0.35">
      <c r="A798" t="s">
        <v>1665</v>
      </c>
      <c r="B798" t="s">
        <v>1666</v>
      </c>
      <c r="C798" t="str">
        <f t="shared" si="48"/>
        <v>Mary Hall</v>
      </c>
      <c r="D798" t="s">
        <v>74</v>
      </c>
      <c r="E798" t="str">
        <f t="shared" si="49"/>
        <v>Female</v>
      </c>
      <c r="F798" s="12">
        <v>33</v>
      </c>
      <c r="G798" t="s">
        <v>124</v>
      </c>
      <c r="H798" s="12" t="s">
        <v>22</v>
      </c>
      <c r="I798" t="s">
        <v>86</v>
      </c>
      <c r="J798" s="12">
        <v>4</v>
      </c>
      <c r="K798" s="3">
        <v>40</v>
      </c>
      <c r="L798" s="14">
        <f t="shared" si="50"/>
        <v>40</v>
      </c>
      <c r="M798" s="12">
        <v>1.9</v>
      </c>
      <c r="N798">
        <v>0</v>
      </c>
      <c r="O798">
        <v>73</v>
      </c>
      <c r="P798" s="1">
        <f t="shared" si="51"/>
        <v>0.73</v>
      </c>
    </row>
    <row r="799" spans="1:16" x14ac:dyDescent="0.35">
      <c r="A799" t="s">
        <v>1667</v>
      </c>
      <c r="B799" t="s">
        <v>1668</v>
      </c>
      <c r="C799" t="str">
        <f t="shared" si="48"/>
        <v>Jake Gilmore</v>
      </c>
      <c r="D799" t="s">
        <v>27</v>
      </c>
      <c r="E799" t="str">
        <f t="shared" si="49"/>
        <v>Male</v>
      </c>
      <c r="F799" s="12">
        <v>43</v>
      </c>
      <c r="G799" t="s">
        <v>41</v>
      </c>
      <c r="H799" s="12" t="s">
        <v>42</v>
      </c>
      <c r="I799" t="s">
        <v>35</v>
      </c>
      <c r="J799" s="12">
        <v>12</v>
      </c>
      <c r="K799" s="3">
        <v>40</v>
      </c>
      <c r="L799" s="14">
        <f t="shared" si="50"/>
        <v>40</v>
      </c>
      <c r="M799" s="12">
        <v>1.6</v>
      </c>
      <c r="N799">
        <v>1</v>
      </c>
      <c r="O799" s="1">
        <v>0.74</v>
      </c>
      <c r="P799" s="1">
        <f t="shared" si="51"/>
        <v>0.74</v>
      </c>
    </row>
    <row r="800" spans="1:16" x14ac:dyDescent="0.35">
      <c r="A800" t="s">
        <v>1669</v>
      </c>
      <c r="B800" t="s">
        <v>1670</v>
      </c>
      <c r="C800" t="str">
        <f t="shared" si="48"/>
        <v>Mark Lopez</v>
      </c>
      <c r="D800" t="s">
        <v>27</v>
      </c>
      <c r="E800" t="str">
        <f t="shared" si="49"/>
        <v>Male</v>
      </c>
      <c r="F800" s="12">
        <v>37</v>
      </c>
      <c r="G800" t="s">
        <v>124</v>
      </c>
      <c r="H800" s="12" t="s">
        <v>22</v>
      </c>
      <c r="I800" t="s">
        <v>86</v>
      </c>
      <c r="J800" s="12">
        <v>3</v>
      </c>
      <c r="K800" s="3">
        <v>20</v>
      </c>
      <c r="L800" s="14">
        <f t="shared" si="50"/>
        <v>20</v>
      </c>
      <c r="M800" s="12">
        <v>2.5</v>
      </c>
      <c r="N800">
        <v>0</v>
      </c>
      <c r="O800" s="1">
        <v>0.62</v>
      </c>
      <c r="P800" s="1">
        <f t="shared" si="51"/>
        <v>0.62</v>
      </c>
    </row>
    <row r="801" spans="1:16" x14ac:dyDescent="0.35">
      <c r="A801" t="s">
        <v>1671</v>
      </c>
      <c r="B801" t="s">
        <v>1672</v>
      </c>
      <c r="C801" t="str">
        <f t="shared" si="48"/>
        <v>Dana Rice</v>
      </c>
      <c r="D801" t="s">
        <v>38</v>
      </c>
      <c r="E801" t="str">
        <f t="shared" si="49"/>
        <v>Female</v>
      </c>
      <c r="F801" s="12">
        <v>58</v>
      </c>
      <c r="G801" t="s">
        <v>131</v>
      </c>
      <c r="H801" s="12" t="s">
        <v>132</v>
      </c>
      <c r="I801" t="s">
        <v>49</v>
      </c>
      <c r="J801" s="12">
        <v>15</v>
      </c>
      <c r="K801" s="3">
        <v>20</v>
      </c>
      <c r="L801" s="14">
        <f t="shared" si="50"/>
        <v>20</v>
      </c>
      <c r="M801" s="12">
        <v>3.5</v>
      </c>
      <c r="N801">
        <v>1</v>
      </c>
      <c r="O801" s="1">
        <v>0.98</v>
      </c>
      <c r="P801" s="1">
        <f t="shared" si="51"/>
        <v>0.98</v>
      </c>
    </row>
    <row r="802" spans="1:16" x14ac:dyDescent="0.35">
      <c r="A802" t="s">
        <v>1673</v>
      </c>
      <c r="B802" t="s">
        <v>1674</v>
      </c>
      <c r="C802" t="str">
        <f t="shared" si="48"/>
        <v>Beth Young</v>
      </c>
      <c r="D802" t="s">
        <v>20</v>
      </c>
      <c r="E802" t="str">
        <f t="shared" si="49"/>
        <v>Female</v>
      </c>
      <c r="F802" s="12">
        <v>39</v>
      </c>
      <c r="G802" t="s">
        <v>185</v>
      </c>
      <c r="H802" s="12" t="s">
        <v>69</v>
      </c>
      <c r="I802" t="s">
        <v>23</v>
      </c>
      <c r="J802" s="12">
        <v>15</v>
      </c>
      <c r="K802" s="3">
        <v>50</v>
      </c>
      <c r="L802" s="14">
        <f t="shared" si="50"/>
        <v>50</v>
      </c>
      <c r="M802" s="12">
        <v>3</v>
      </c>
      <c r="N802">
        <v>0</v>
      </c>
      <c r="O802" s="1">
        <v>0.8</v>
      </c>
      <c r="P802" s="1">
        <f t="shared" si="51"/>
        <v>0.8</v>
      </c>
    </row>
    <row r="803" spans="1:16" x14ac:dyDescent="0.35">
      <c r="A803" t="s">
        <v>1675</v>
      </c>
      <c r="B803" t="s">
        <v>1676</v>
      </c>
      <c r="C803" t="str">
        <f t="shared" si="48"/>
        <v>Ryan Powell</v>
      </c>
      <c r="D803" t="s">
        <v>27</v>
      </c>
      <c r="E803" t="str">
        <f t="shared" si="49"/>
        <v>Male</v>
      </c>
      <c r="F803" s="12">
        <v>43</v>
      </c>
      <c r="G803" t="s">
        <v>60</v>
      </c>
      <c r="H803" s="12" t="s">
        <v>61</v>
      </c>
      <c r="I803" t="s">
        <v>30</v>
      </c>
      <c r="J803" s="12">
        <v>13</v>
      </c>
      <c r="K803" s="3" t="s">
        <v>308</v>
      </c>
      <c r="L803" s="14" t="str">
        <f t="shared" si="50"/>
        <v>$ 20</v>
      </c>
      <c r="M803" s="12">
        <v>1.2</v>
      </c>
      <c r="N803">
        <v>1</v>
      </c>
      <c r="O803">
        <v>69</v>
      </c>
      <c r="P803" s="1">
        <f t="shared" si="51"/>
        <v>0.69</v>
      </c>
    </row>
    <row r="804" spans="1:16" x14ac:dyDescent="0.35">
      <c r="A804" t="s">
        <v>1677</v>
      </c>
      <c r="B804" t="s">
        <v>1678</v>
      </c>
      <c r="C804" t="str">
        <f t="shared" si="48"/>
        <v>Amanda Fowler</v>
      </c>
      <c r="D804" t="s">
        <v>74</v>
      </c>
      <c r="E804" t="str">
        <f t="shared" si="49"/>
        <v>Female</v>
      </c>
      <c r="F804" s="12">
        <v>40</v>
      </c>
      <c r="G804" t="s">
        <v>185</v>
      </c>
      <c r="H804" s="12" t="s">
        <v>69</v>
      </c>
      <c r="I804" t="s">
        <v>17</v>
      </c>
      <c r="J804" s="12">
        <v>20</v>
      </c>
      <c r="K804" s="3" t="s">
        <v>106</v>
      </c>
      <c r="L804" s="14" t="str">
        <f t="shared" si="50"/>
        <v>$ 30</v>
      </c>
      <c r="M804" s="12">
        <v>3</v>
      </c>
      <c r="N804">
        <v>0</v>
      </c>
      <c r="O804">
        <v>90</v>
      </c>
      <c r="P804" s="1">
        <f t="shared" si="51"/>
        <v>0.9</v>
      </c>
    </row>
    <row r="805" spans="1:16" x14ac:dyDescent="0.35">
      <c r="A805" t="s">
        <v>1679</v>
      </c>
      <c r="B805" t="s">
        <v>1680</v>
      </c>
      <c r="C805" t="str">
        <f t="shared" si="48"/>
        <v>Lindsay Rivera</v>
      </c>
      <c r="D805" t="s">
        <v>38</v>
      </c>
      <c r="E805" t="str">
        <f t="shared" si="49"/>
        <v>Female</v>
      </c>
      <c r="F805" s="12">
        <v>51</v>
      </c>
      <c r="G805" t="s">
        <v>64</v>
      </c>
      <c r="H805" s="12" t="s">
        <v>22</v>
      </c>
      <c r="I805" t="s">
        <v>111</v>
      </c>
      <c r="J805" s="12">
        <v>30</v>
      </c>
      <c r="K805" s="3">
        <v>75</v>
      </c>
      <c r="L805" s="14">
        <f t="shared" si="50"/>
        <v>75</v>
      </c>
      <c r="M805" s="12">
        <v>3</v>
      </c>
      <c r="N805">
        <v>1</v>
      </c>
      <c r="O805" s="1">
        <v>0.74</v>
      </c>
      <c r="P805" s="1">
        <f t="shared" si="51"/>
        <v>0.74</v>
      </c>
    </row>
    <row r="806" spans="1:16" x14ac:dyDescent="0.35">
      <c r="A806" t="s">
        <v>1681</v>
      </c>
      <c r="B806" t="s">
        <v>1682</v>
      </c>
      <c r="C806" t="str">
        <f t="shared" si="48"/>
        <v>Mark Ward</v>
      </c>
      <c r="D806" t="s">
        <v>27</v>
      </c>
      <c r="E806" t="str">
        <f t="shared" si="49"/>
        <v>Male</v>
      </c>
      <c r="F806" s="12">
        <v>23</v>
      </c>
      <c r="G806" t="s">
        <v>28</v>
      </c>
      <c r="H806" s="12" t="s">
        <v>29</v>
      </c>
      <c r="I806" t="s">
        <v>43</v>
      </c>
      <c r="J806" s="12">
        <v>4</v>
      </c>
      <c r="K806" s="3">
        <v>50</v>
      </c>
      <c r="L806" s="14">
        <f t="shared" si="50"/>
        <v>50</v>
      </c>
      <c r="M806" s="12">
        <v>4.5</v>
      </c>
      <c r="N806">
        <v>0</v>
      </c>
      <c r="O806" s="1">
        <v>0.98</v>
      </c>
      <c r="P806" s="1">
        <f t="shared" si="51"/>
        <v>0.98</v>
      </c>
    </row>
    <row r="807" spans="1:16" x14ac:dyDescent="0.35">
      <c r="A807" t="s">
        <v>1683</v>
      </c>
      <c r="B807" t="s">
        <v>1684</v>
      </c>
      <c r="C807" t="str">
        <f t="shared" si="48"/>
        <v>Amanda Smith</v>
      </c>
      <c r="D807" t="s">
        <v>38</v>
      </c>
      <c r="E807" t="str">
        <f t="shared" si="49"/>
        <v>Female</v>
      </c>
      <c r="F807" s="12">
        <v>31</v>
      </c>
      <c r="G807" t="s">
        <v>47</v>
      </c>
      <c r="H807" s="12" t="s">
        <v>48</v>
      </c>
      <c r="I807" t="s">
        <v>30</v>
      </c>
      <c r="J807" s="12">
        <v>11</v>
      </c>
      <c r="K807" s="3" t="s">
        <v>308</v>
      </c>
      <c r="L807" s="14" t="str">
        <f t="shared" si="50"/>
        <v>$ 20</v>
      </c>
      <c r="M807" s="12">
        <v>3</v>
      </c>
      <c r="N807">
        <v>1</v>
      </c>
      <c r="O807" s="1">
        <v>0.84</v>
      </c>
      <c r="P807" s="1">
        <f t="shared" si="51"/>
        <v>0.84</v>
      </c>
    </row>
    <row r="808" spans="1:16" x14ac:dyDescent="0.35">
      <c r="A808" t="s">
        <v>1685</v>
      </c>
      <c r="B808" t="s">
        <v>1686</v>
      </c>
      <c r="C808" t="str">
        <f t="shared" si="48"/>
        <v>Emily Brown</v>
      </c>
      <c r="D808" t="s">
        <v>20</v>
      </c>
      <c r="E808" t="str">
        <f t="shared" si="49"/>
        <v>Female</v>
      </c>
      <c r="F808" s="12">
        <v>44</v>
      </c>
      <c r="G808" t="s">
        <v>120</v>
      </c>
      <c r="H808" s="12" t="s">
        <v>121</v>
      </c>
      <c r="I808" t="s">
        <v>35</v>
      </c>
      <c r="J808" s="12">
        <v>3</v>
      </c>
      <c r="K808" s="3">
        <v>20</v>
      </c>
      <c r="L808" s="14">
        <f t="shared" si="50"/>
        <v>20</v>
      </c>
      <c r="M808" s="12">
        <v>5</v>
      </c>
      <c r="N808">
        <v>1</v>
      </c>
      <c r="O808" s="1">
        <v>0.75</v>
      </c>
      <c r="P808" s="1">
        <f t="shared" si="51"/>
        <v>0.75</v>
      </c>
    </row>
    <row r="809" spans="1:16" x14ac:dyDescent="0.35">
      <c r="A809" t="s">
        <v>1687</v>
      </c>
      <c r="B809" t="s">
        <v>1688</v>
      </c>
      <c r="C809" t="str">
        <f t="shared" si="48"/>
        <v>Dwayne Cardenas</v>
      </c>
      <c r="D809" t="s">
        <v>94</v>
      </c>
      <c r="E809" t="str">
        <f t="shared" si="49"/>
        <v>Male</v>
      </c>
      <c r="F809" s="12">
        <v>56</v>
      </c>
      <c r="G809" t="s">
        <v>28</v>
      </c>
      <c r="H809" s="12" t="s">
        <v>29</v>
      </c>
      <c r="I809" t="s">
        <v>23</v>
      </c>
      <c r="J809" s="12">
        <v>23</v>
      </c>
      <c r="K809" s="3">
        <v>75</v>
      </c>
      <c r="L809" s="14">
        <f t="shared" si="50"/>
        <v>75</v>
      </c>
      <c r="M809" s="12">
        <v>3.9</v>
      </c>
      <c r="N809">
        <v>1</v>
      </c>
      <c r="O809">
        <v>16</v>
      </c>
      <c r="P809" s="1">
        <f t="shared" si="51"/>
        <v>0.16</v>
      </c>
    </row>
    <row r="810" spans="1:16" x14ac:dyDescent="0.35">
      <c r="A810" t="s">
        <v>1689</v>
      </c>
      <c r="B810" t="s">
        <v>1690</v>
      </c>
      <c r="C810" t="str">
        <f t="shared" si="48"/>
        <v>Dr. Rhonda Hernandez</v>
      </c>
      <c r="D810" t="s">
        <v>20</v>
      </c>
      <c r="E810" t="str">
        <f t="shared" si="49"/>
        <v>Female</v>
      </c>
      <c r="F810" s="12">
        <v>48</v>
      </c>
      <c r="G810" t="s">
        <v>21</v>
      </c>
      <c r="H810" s="12" t="s">
        <v>22</v>
      </c>
      <c r="I810" t="s">
        <v>75</v>
      </c>
      <c r="J810" s="12">
        <v>5</v>
      </c>
      <c r="K810" s="3">
        <v>100</v>
      </c>
      <c r="L810" s="14">
        <f t="shared" si="50"/>
        <v>100</v>
      </c>
      <c r="M810" s="12">
        <v>1.8</v>
      </c>
      <c r="N810">
        <v>1</v>
      </c>
      <c r="O810" s="1">
        <v>0.97</v>
      </c>
      <c r="P810" s="1">
        <f t="shared" si="51"/>
        <v>0.97</v>
      </c>
    </row>
    <row r="811" spans="1:16" x14ac:dyDescent="0.35">
      <c r="A811" t="s">
        <v>1691</v>
      </c>
      <c r="B811" t="s">
        <v>1692</v>
      </c>
      <c r="C811" t="str">
        <f t="shared" si="48"/>
        <v>Melody Barker</v>
      </c>
      <c r="D811" t="s">
        <v>38</v>
      </c>
      <c r="E811" t="str">
        <f t="shared" si="49"/>
        <v>Female</v>
      </c>
      <c r="F811" s="12">
        <v>46</v>
      </c>
      <c r="G811" t="s">
        <v>120</v>
      </c>
      <c r="H811" s="12" t="s">
        <v>121</v>
      </c>
      <c r="I811" t="s">
        <v>35</v>
      </c>
      <c r="J811" s="12">
        <v>28</v>
      </c>
      <c r="K811" s="3">
        <v>30</v>
      </c>
      <c r="L811" s="14">
        <f t="shared" si="50"/>
        <v>30</v>
      </c>
      <c r="M811" s="12">
        <v>4.2</v>
      </c>
      <c r="N811">
        <v>1</v>
      </c>
      <c r="O811">
        <v>16</v>
      </c>
      <c r="P811" s="1">
        <f t="shared" si="51"/>
        <v>0.16</v>
      </c>
    </row>
    <row r="812" spans="1:16" x14ac:dyDescent="0.35">
      <c r="A812" t="s">
        <v>1693</v>
      </c>
      <c r="B812" t="s">
        <v>1694</v>
      </c>
      <c r="C812" t="str">
        <f t="shared" si="48"/>
        <v>Russell Carpenter</v>
      </c>
      <c r="D812" t="s">
        <v>27</v>
      </c>
      <c r="E812" t="str">
        <f t="shared" si="49"/>
        <v>Male</v>
      </c>
      <c r="F812" s="12">
        <v>21</v>
      </c>
      <c r="G812" t="s">
        <v>135</v>
      </c>
      <c r="H812" s="12" t="s">
        <v>136</v>
      </c>
      <c r="I812" t="s">
        <v>43</v>
      </c>
      <c r="J812" s="12">
        <v>11</v>
      </c>
      <c r="K812" s="3">
        <v>20</v>
      </c>
      <c r="L812" s="14">
        <f t="shared" si="50"/>
        <v>20</v>
      </c>
      <c r="M812" s="12">
        <v>2.6</v>
      </c>
      <c r="N812">
        <v>1</v>
      </c>
      <c r="O812" s="1">
        <v>0.64</v>
      </c>
      <c r="P812" s="1">
        <f t="shared" si="51"/>
        <v>0.64</v>
      </c>
    </row>
    <row r="813" spans="1:16" x14ac:dyDescent="0.35">
      <c r="A813" t="s">
        <v>1695</v>
      </c>
      <c r="B813" t="s">
        <v>1696</v>
      </c>
      <c r="C813" t="str">
        <f t="shared" si="48"/>
        <v>Richard Hill</v>
      </c>
      <c r="D813" t="s">
        <v>27</v>
      </c>
      <c r="E813" t="str">
        <f t="shared" si="49"/>
        <v>Male</v>
      </c>
      <c r="F813" s="12">
        <v>52</v>
      </c>
      <c r="G813" t="s">
        <v>120</v>
      </c>
      <c r="H813" s="12" t="s">
        <v>121</v>
      </c>
      <c r="I813" t="s">
        <v>49</v>
      </c>
      <c r="J813" s="12">
        <v>30</v>
      </c>
      <c r="K813" s="3">
        <v>30</v>
      </c>
      <c r="L813" s="14">
        <f t="shared" si="50"/>
        <v>30</v>
      </c>
      <c r="M813" s="12">
        <v>2</v>
      </c>
      <c r="N813">
        <v>1</v>
      </c>
      <c r="O813" s="1">
        <v>0.68</v>
      </c>
      <c r="P813" s="1">
        <f t="shared" si="51"/>
        <v>0.68</v>
      </c>
    </row>
    <row r="814" spans="1:16" x14ac:dyDescent="0.35">
      <c r="A814" t="s">
        <v>1697</v>
      </c>
      <c r="B814" t="s">
        <v>1698</v>
      </c>
      <c r="C814" t="str">
        <f t="shared" si="48"/>
        <v>Lindsay Potts</v>
      </c>
      <c r="D814" t="s">
        <v>38</v>
      </c>
      <c r="E814" t="str">
        <f t="shared" si="49"/>
        <v>Female</v>
      </c>
      <c r="F814" s="12">
        <v>39</v>
      </c>
      <c r="G814" t="s">
        <v>120</v>
      </c>
      <c r="H814" s="12" t="s">
        <v>121</v>
      </c>
      <c r="I814" t="s">
        <v>30</v>
      </c>
      <c r="J814" s="12">
        <v>20</v>
      </c>
      <c r="K814" s="3">
        <v>75</v>
      </c>
      <c r="L814" s="14">
        <f t="shared" si="50"/>
        <v>75</v>
      </c>
      <c r="M814" s="12">
        <v>2.7</v>
      </c>
      <c r="N814">
        <v>1</v>
      </c>
      <c r="O814" s="1">
        <v>0.67</v>
      </c>
      <c r="P814" s="1">
        <f t="shared" si="51"/>
        <v>0.67</v>
      </c>
    </row>
    <row r="815" spans="1:16" x14ac:dyDescent="0.35">
      <c r="A815" t="s">
        <v>1699</v>
      </c>
      <c r="B815" t="s">
        <v>1700</v>
      </c>
      <c r="C815" t="str">
        <f t="shared" si="48"/>
        <v>Michelle Campbell</v>
      </c>
      <c r="D815" t="s">
        <v>38</v>
      </c>
      <c r="E815" t="str">
        <f t="shared" si="49"/>
        <v>Female</v>
      </c>
      <c r="F815" s="12">
        <v>31</v>
      </c>
      <c r="G815" t="s">
        <v>21</v>
      </c>
      <c r="H815" s="12" t="s">
        <v>22</v>
      </c>
      <c r="I815" t="s">
        <v>23</v>
      </c>
      <c r="J815" s="12">
        <v>11</v>
      </c>
      <c r="K815" s="3">
        <v>30</v>
      </c>
      <c r="L815" s="14">
        <f t="shared" si="50"/>
        <v>30</v>
      </c>
      <c r="M815" s="12">
        <v>2.2999999999999998</v>
      </c>
      <c r="N815">
        <v>1</v>
      </c>
      <c r="O815" s="1">
        <v>0.79</v>
      </c>
      <c r="P815" s="1">
        <f t="shared" si="51"/>
        <v>0.79</v>
      </c>
    </row>
    <row r="816" spans="1:16" x14ac:dyDescent="0.35">
      <c r="A816" t="s">
        <v>1701</v>
      </c>
      <c r="B816" t="s">
        <v>1702</v>
      </c>
      <c r="C816" t="str">
        <f t="shared" si="48"/>
        <v>Alan Williams</v>
      </c>
      <c r="D816" t="s">
        <v>27</v>
      </c>
      <c r="E816" t="str">
        <f t="shared" si="49"/>
        <v>Male</v>
      </c>
      <c r="F816" s="12">
        <v>22</v>
      </c>
      <c r="G816" t="s">
        <v>109</v>
      </c>
      <c r="H816" s="12" t="s">
        <v>110</v>
      </c>
      <c r="I816" t="s">
        <v>70</v>
      </c>
      <c r="J816" s="12">
        <v>4</v>
      </c>
      <c r="K816" s="3">
        <v>40</v>
      </c>
      <c r="L816" s="14">
        <f t="shared" si="50"/>
        <v>40</v>
      </c>
      <c r="M816" s="12">
        <v>3.8</v>
      </c>
      <c r="N816">
        <v>1</v>
      </c>
      <c r="O816" s="1">
        <v>1</v>
      </c>
      <c r="P816" s="1">
        <f t="shared" si="51"/>
        <v>0.01</v>
      </c>
    </row>
    <row r="817" spans="1:16" x14ac:dyDescent="0.35">
      <c r="A817" t="s">
        <v>1703</v>
      </c>
      <c r="B817" t="s">
        <v>1704</v>
      </c>
      <c r="C817" t="str">
        <f t="shared" si="48"/>
        <v>Robin Hinton</v>
      </c>
      <c r="D817" t="s">
        <v>38</v>
      </c>
      <c r="E817" t="str">
        <f t="shared" si="49"/>
        <v>Female</v>
      </c>
      <c r="F817" s="12">
        <v>38</v>
      </c>
      <c r="G817" t="s">
        <v>64</v>
      </c>
      <c r="H817" s="12" t="s">
        <v>22</v>
      </c>
      <c r="I817" t="s">
        <v>70</v>
      </c>
      <c r="J817" s="12">
        <v>10</v>
      </c>
      <c r="K817" s="3">
        <v>40</v>
      </c>
      <c r="L817" s="14">
        <f t="shared" si="50"/>
        <v>40</v>
      </c>
      <c r="M817" s="12">
        <v>3</v>
      </c>
      <c r="N817">
        <v>0</v>
      </c>
      <c r="O817" s="1">
        <v>0.66</v>
      </c>
      <c r="P817" s="1">
        <f t="shared" si="51"/>
        <v>0.66</v>
      </c>
    </row>
    <row r="818" spans="1:16" x14ac:dyDescent="0.35">
      <c r="A818" t="s">
        <v>1705</v>
      </c>
      <c r="B818" t="s">
        <v>1706</v>
      </c>
      <c r="C818" t="str">
        <f t="shared" si="48"/>
        <v>Brian Holland</v>
      </c>
      <c r="D818" t="s">
        <v>94</v>
      </c>
      <c r="E818" t="str">
        <f t="shared" si="49"/>
        <v>Male</v>
      </c>
      <c r="F818" s="12">
        <v>44</v>
      </c>
      <c r="G818" t="s">
        <v>68</v>
      </c>
      <c r="H818" s="12" t="s">
        <v>69</v>
      </c>
      <c r="I818" t="s">
        <v>30</v>
      </c>
      <c r="J818" s="12">
        <v>24</v>
      </c>
      <c r="K818" s="3" t="s">
        <v>50</v>
      </c>
      <c r="L818" s="14" t="str">
        <f t="shared" si="50"/>
        <v>$ 75</v>
      </c>
      <c r="M818" s="12">
        <v>4.5999999999999996</v>
      </c>
      <c r="N818">
        <v>1</v>
      </c>
      <c r="O818" s="1">
        <v>0.97</v>
      </c>
      <c r="P818" s="1">
        <f t="shared" si="51"/>
        <v>0.97</v>
      </c>
    </row>
    <row r="819" spans="1:16" x14ac:dyDescent="0.35">
      <c r="A819" t="s">
        <v>1707</v>
      </c>
      <c r="B819" t="s">
        <v>1708</v>
      </c>
      <c r="C819" t="str">
        <f t="shared" si="48"/>
        <v>Adam Stone</v>
      </c>
      <c r="D819" t="s">
        <v>27</v>
      </c>
      <c r="E819" t="str">
        <f t="shared" si="49"/>
        <v>Male</v>
      </c>
      <c r="F819" s="12">
        <v>53</v>
      </c>
      <c r="G819" t="s">
        <v>47</v>
      </c>
      <c r="H819" s="12" t="s">
        <v>48</v>
      </c>
      <c r="I819" t="s">
        <v>111</v>
      </c>
      <c r="J819" s="12">
        <v>21</v>
      </c>
      <c r="K819" s="3">
        <v>100</v>
      </c>
      <c r="L819" s="14">
        <f t="shared" si="50"/>
        <v>100</v>
      </c>
      <c r="M819" s="12">
        <v>3.4</v>
      </c>
      <c r="N819">
        <v>0</v>
      </c>
      <c r="O819" s="1">
        <v>0.62</v>
      </c>
      <c r="P819" s="1">
        <f t="shared" si="51"/>
        <v>0.62</v>
      </c>
    </row>
    <row r="820" spans="1:16" x14ac:dyDescent="0.35">
      <c r="A820" t="s">
        <v>1709</v>
      </c>
      <c r="B820" t="s">
        <v>1710</v>
      </c>
      <c r="C820" t="str">
        <f t="shared" si="48"/>
        <v>Curtis Lambert</v>
      </c>
      <c r="D820" t="s">
        <v>94</v>
      </c>
      <c r="E820" t="str">
        <f t="shared" si="49"/>
        <v>Male</v>
      </c>
      <c r="F820" s="12">
        <v>22</v>
      </c>
      <c r="G820" t="s">
        <v>170</v>
      </c>
      <c r="H820" s="12" t="s">
        <v>171</v>
      </c>
      <c r="I820" t="s">
        <v>49</v>
      </c>
      <c r="J820" s="12">
        <v>2</v>
      </c>
      <c r="K820" s="3" t="s">
        <v>308</v>
      </c>
      <c r="L820" s="14" t="str">
        <f t="shared" si="50"/>
        <v>$ 20</v>
      </c>
      <c r="M820" s="12">
        <v>3</v>
      </c>
      <c r="N820">
        <v>1</v>
      </c>
      <c r="O820">
        <v>16</v>
      </c>
      <c r="P820" s="1">
        <f t="shared" si="51"/>
        <v>0.16</v>
      </c>
    </row>
    <row r="821" spans="1:16" x14ac:dyDescent="0.35">
      <c r="A821" t="s">
        <v>1711</v>
      </c>
      <c r="B821" t="s">
        <v>1712</v>
      </c>
      <c r="C821" t="str">
        <f t="shared" si="48"/>
        <v>Alexandra Sims</v>
      </c>
      <c r="D821" t="s">
        <v>74</v>
      </c>
      <c r="E821" t="str">
        <f t="shared" si="49"/>
        <v>Female</v>
      </c>
      <c r="F821" s="12">
        <v>40</v>
      </c>
      <c r="G821" t="s">
        <v>90</v>
      </c>
      <c r="H821" s="12" t="s">
        <v>91</v>
      </c>
      <c r="I821" t="s">
        <v>17</v>
      </c>
      <c r="J821" s="12">
        <v>14</v>
      </c>
      <c r="K821" s="3">
        <v>75</v>
      </c>
      <c r="L821" s="14">
        <f t="shared" si="50"/>
        <v>75</v>
      </c>
      <c r="M821" s="12">
        <v>0</v>
      </c>
      <c r="N821">
        <v>1</v>
      </c>
      <c r="O821" s="1">
        <v>0.79</v>
      </c>
      <c r="P821" s="1">
        <f t="shared" si="51"/>
        <v>0.79</v>
      </c>
    </row>
    <row r="822" spans="1:16" x14ac:dyDescent="0.35">
      <c r="A822" t="s">
        <v>1713</v>
      </c>
      <c r="B822" t="s">
        <v>1714</v>
      </c>
      <c r="C822" t="str">
        <f t="shared" si="48"/>
        <v>Brenda Spencer</v>
      </c>
      <c r="D822" t="s">
        <v>38</v>
      </c>
      <c r="E822" t="str">
        <f t="shared" si="49"/>
        <v>Female</v>
      </c>
      <c r="F822" s="12">
        <v>49</v>
      </c>
      <c r="G822" t="s">
        <v>170</v>
      </c>
      <c r="H822" s="12" t="s">
        <v>171</v>
      </c>
      <c r="I822" t="s">
        <v>23</v>
      </c>
      <c r="J822" s="12">
        <v>15</v>
      </c>
      <c r="K822" s="3">
        <v>40</v>
      </c>
      <c r="L822" s="14">
        <f t="shared" si="50"/>
        <v>40</v>
      </c>
      <c r="M822" s="12">
        <v>3.9</v>
      </c>
      <c r="N822">
        <v>0</v>
      </c>
      <c r="O822" s="1">
        <v>0.86</v>
      </c>
      <c r="P822" s="1">
        <f t="shared" si="51"/>
        <v>0.86</v>
      </c>
    </row>
    <row r="823" spans="1:16" x14ac:dyDescent="0.35">
      <c r="A823" t="s">
        <v>1715</v>
      </c>
      <c r="B823" t="s">
        <v>1716</v>
      </c>
      <c r="C823" t="str">
        <f t="shared" si="48"/>
        <v>Joshua Bush</v>
      </c>
      <c r="D823" t="s">
        <v>59</v>
      </c>
      <c r="E823" t="str">
        <f t="shared" si="49"/>
        <v>Male</v>
      </c>
      <c r="F823" s="12">
        <v>30</v>
      </c>
      <c r="G823" t="s">
        <v>21</v>
      </c>
      <c r="H823" s="12" t="s">
        <v>22</v>
      </c>
      <c r="I823" t="s">
        <v>70</v>
      </c>
      <c r="J823" s="12">
        <v>11</v>
      </c>
      <c r="K823" s="3">
        <v>30</v>
      </c>
      <c r="L823" s="14">
        <f t="shared" si="50"/>
        <v>30</v>
      </c>
      <c r="M823" s="12">
        <v>4.2</v>
      </c>
      <c r="N823">
        <v>0</v>
      </c>
      <c r="O823" s="1">
        <v>0.65</v>
      </c>
      <c r="P823" s="1">
        <f t="shared" si="51"/>
        <v>0.65</v>
      </c>
    </row>
    <row r="824" spans="1:16" x14ac:dyDescent="0.35">
      <c r="A824" t="s">
        <v>1717</v>
      </c>
      <c r="B824" t="s">
        <v>1718</v>
      </c>
      <c r="C824" t="str">
        <f t="shared" si="48"/>
        <v>Erin Martin</v>
      </c>
      <c r="D824" t="s">
        <v>38</v>
      </c>
      <c r="E824" t="str">
        <f t="shared" si="49"/>
        <v>Female</v>
      </c>
      <c r="F824" s="12">
        <v>37</v>
      </c>
      <c r="G824" t="s">
        <v>82</v>
      </c>
      <c r="H824" s="12" t="s">
        <v>83</v>
      </c>
      <c r="I824" t="s">
        <v>43</v>
      </c>
      <c r="J824" s="12">
        <v>6</v>
      </c>
      <c r="K824" s="3">
        <v>20</v>
      </c>
      <c r="L824" s="14">
        <f t="shared" si="50"/>
        <v>20</v>
      </c>
      <c r="M824" s="12">
        <v>3</v>
      </c>
      <c r="N824">
        <v>1</v>
      </c>
      <c r="O824" s="1">
        <v>0.99</v>
      </c>
      <c r="P824" s="1">
        <f t="shared" si="51"/>
        <v>0.99</v>
      </c>
    </row>
    <row r="825" spans="1:16" x14ac:dyDescent="0.35">
      <c r="A825" t="s">
        <v>1719</v>
      </c>
      <c r="B825" t="s">
        <v>1720</v>
      </c>
      <c r="C825" t="str">
        <f t="shared" si="48"/>
        <v>Alexander Hogan</v>
      </c>
      <c r="D825" t="s">
        <v>27</v>
      </c>
      <c r="E825" t="str">
        <f t="shared" si="49"/>
        <v>Male</v>
      </c>
      <c r="F825" s="12">
        <v>21</v>
      </c>
      <c r="G825" t="s">
        <v>135</v>
      </c>
      <c r="H825" s="12" t="s">
        <v>136</v>
      </c>
      <c r="I825" t="s">
        <v>30</v>
      </c>
      <c r="J825" s="12">
        <v>2</v>
      </c>
      <c r="K825" s="3">
        <v>100</v>
      </c>
      <c r="L825" s="14">
        <f t="shared" si="50"/>
        <v>100</v>
      </c>
      <c r="M825" s="12">
        <v>3.6</v>
      </c>
      <c r="N825">
        <v>0</v>
      </c>
      <c r="O825">
        <v>85</v>
      </c>
      <c r="P825" s="1">
        <f t="shared" si="51"/>
        <v>0.85</v>
      </c>
    </row>
    <row r="826" spans="1:16" x14ac:dyDescent="0.35">
      <c r="A826" t="s">
        <v>1721</v>
      </c>
      <c r="B826" t="s">
        <v>1722</v>
      </c>
      <c r="C826" t="str">
        <f t="shared" si="48"/>
        <v>William Harris</v>
      </c>
      <c r="D826" t="s">
        <v>94</v>
      </c>
      <c r="E826" t="str">
        <f t="shared" si="49"/>
        <v>Male</v>
      </c>
      <c r="F826" s="12">
        <v>20</v>
      </c>
      <c r="G826" t="s">
        <v>109</v>
      </c>
      <c r="H826" s="12" t="s">
        <v>110</v>
      </c>
      <c r="I826" t="s">
        <v>43</v>
      </c>
      <c r="J826" s="12">
        <v>1</v>
      </c>
      <c r="K826" s="3" t="s">
        <v>95</v>
      </c>
      <c r="L826" s="14" t="str">
        <f t="shared" si="50"/>
        <v>$ 50</v>
      </c>
      <c r="M826" s="12">
        <v>3</v>
      </c>
      <c r="N826">
        <v>1</v>
      </c>
      <c r="O826" s="1">
        <v>0.81</v>
      </c>
      <c r="P826" s="1">
        <f t="shared" si="51"/>
        <v>0.81</v>
      </c>
    </row>
    <row r="827" spans="1:16" x14ac:dyDescent="0.35">
      <c r="A827" t="s">
        <v>1723</v>
      </c>
      <c r="B827" t="s">
        <v>1724</v>
      </c>
      <c r="C827" t="str">
        <f t="shared" si="48"/>
        <v>Michael Mcmahon</v>
      </c>
      <c r="D827" t="s">
        <v>27</v>
      </c>
      <c r="E827" t="str">
        <f t="shared" si="49"/>
        <v>Male</v>
      </c>
      <c r="F827" s="12">
        <v>20</v>
      </c>
      <c r="G827" t="s">
        <v>170</v>
      </c>
      <c r="H827" s="12" t="s">
        <v>171</v>
      </c>
      <c r="I827" t="s">
        <v>49</v>
      </c>
      <c r="J827" s="12">
        <v>2</v>
      </c>
      <c r="K827" s="3">
        <v>40</v>
      </c>
      <c r="L827" s="14">
        <f t="shared" si="50"/>
        <v>40</v>
      </c>
      <c r="M827" s="12">
        <v>2.1</v>
      </c>
      <c r="N827">
        <v>0</v>
      </c>
      <c r="O827" s="1">
        <v>0.64</v>
      </c>
      <c r="P827" s="1">
        <f t="shared" si="51"/>
        <v>0.64</v>
      </c>
    </row>
    <row r="828" spans="1:16" x14ac:dyDescent="0.35">
      <c r="A828" t="s">
        <v>1725</v>
      </c>
      <c r="B828" t="s">
        <v>1726</v>
      </c>
      <c r="C828" t="str">
        <f t="shared" si="48"/>
        <v>Michael Watson</v>
      </c>
      <c r="D828" t="s">
        <v>59</v>
      </c>
      <c r="E828" t="str">
        <f t="shared" si="49"/>
        <v>Male</v>
      </c>
      <c r="F828" s="12">
        <v>20</v>
      </c>
      <c r="G828" t="s">
        <v>68</v>
      </c>
      <c r="H828" s="12" t="s">
        <v>69</v>
      </c>
      <c r="I828" t="s">
        <v>111</v>
      </c>
      <c r="J828" s="12">
        <v>2</v>
      </c>
      <c r="K828" s="3">
        <v>20</v>
      </c>
      <c r="L828" s="14">
        <f t="shared" si="50"/>
        <v>20</v>
      </c>
      <c r="M828" s="12">
        <v>3.9</v>
      </c>
      <c r="N828">
        <v>0</v>
      </c>
      <c r="O828" s="1">
        <v>0.84</v>
      </c>
      <c r="P828" s="1">
        <f t="shared" si="51"/>
        <v>0.84</v>
      </c>
    </row>
    <row r="829" spans="1:16" x14ac:dyDescent="0.35">
      <c r="A829" t="s">
        <v>1727</v>
      </c>
      <c r="B829" t="s">
        <v>1728</v>
      </c>
      <c r="C829" t="str">
        <f t="shared" si="48"/>
        <v>Lori Perez</v>
      </c>
      <c r="D829" t="s">
        <v>38</v>
      </c>
      <c r="E829" t="str">
        <f t="shared" si="49"/>
        <v>Female</v>
      </c>
      <c r="F829" s="12">
        <v>26</v>
      </c>
      <c r="G829" t="s">
        <v>120</v>
      </c>
      <c r="H829" s="12" t="s">
        <v>121</v>
      </c>
      <c r="I829" t="s">
        <v>111</v>
      </c>
      <c r="J829" s="12">
        <v>2</v>
      </c>
      <c r="K829" s="3">
        <v>40</v>
      </c>
      <c r="L829" s="14">
        <f t="shared" si="50"/>
        <v>40</v>
      </c>
      <c r="M829" s="12">
        <v>0</v>
      </c>
      <c r="N829">
        <v>1</v>
      </c>
      <c r="O829" s="1">
        <v>0.66</v>
      </c>
      <c r="P829" s="1">
        <f t="shared" si="51"/>
        <v>0.66</v>
      </c>
    </row>
    <row r="830" spans="1:16" x14ac:dyDescent="0.35">
      <c r="A830" t="s">
        <v>1729</v>
      </c>
      <c r="B830" t="s">
        <v>1730</v>
      </c>
      <c r="C830" t="str">
        <f t="shared" si="48"/>
        <v>Lindsay Le</v>
      </c>
      <c r="D830" t="s">
        <v>38</v>
      </c>
      <c r="E830" t="str">
        <f t="shared" si="49"/>
        <v>Female</v>
      </c>
      <c r="F830" s="12">
        <v>50</v>
      </c>
      <c r="G830" t="s">
        <v>109</v>
      </c>
      <c r="H830" s="12" t="s">
        <v>110</v>
      </c>
      <c r="I830" t="s">
        <v>35</v>
      </c>
      <c r="J830" s="12">
        <v>12</v>
      </c>
      <c r="K830" s="3">
        <v>75</v>
      </c>
      <c r="L830" s="14">
        <f t="shared" si="50"/>
        <v>75</v>
      </c>
      <c r="M830" s="12">
        <v>0</v>
      </c>
      <c r="N830">
        <v>0</v>
      </c>
      <c r="O830">
        <v>75</v>
      </c>
      <c r="P830" s="1">
        <f t="shared" si="51"/>
        <v>0.75</v>
      </c>
    </row>
    <row r="831" spans="1:16" x14ac:dyDescent="0.35">
      <c r="A831" t="s">
        <v>1731</v>
      </c>
      <c r="B831" t="s">
        <v>1732</v>
      </c>
      <c r="C831" t="str">
        <f t="shared" si="48"/>
        <v>Scott Long</v>
      </c>
      <c r="D831" t="s">
        <v>94</v>
      </c>
      <c r="E831" t="str">
        <f t="shared" si="49"/>
        <v>Male</v>
      </c>
      <c r="F831" s="12">
        <v>50</v>
      </c>
      <c r="G831" t="s">
        <v>185</v>
      </c>
      <c r="H831" s="12" t="s">
        <v>69</v>
      </c>
      <c r="I831" t="s">
        <v>43</v>
      </c>
      <c r="J831" s="12">
        <v>28</v>
      </c>
      <c r="K831" s="3">
        <v>30</v>
      </c>
      <c r="L831" s="14">
        <f t="shared" si="50"/>
        <v>30</v>
      </c>
      <c r="M831" s="12">
        <v>1.8</v>
      </c>
      <c r="N831">
        <v>1</v>
      </c>
      <c r="O831">
        <v>16</v>
      </c>
      <c r="P831" s="1">
        <f t="shared" si="51"/>
        <v>0.16</v>
      </c>
    </row>
    <row r="832" spans="1:16" x14ac:dyDescent="0.35">
      <c r="A832" t="s">
        <v>1733</v>
      </c>
      <c r="B832" t="s">
        <v>1734</v>
      </c>
      <c r="C832" t="str">
        <f t="shared" si="48"/>
        <v>Diana Ferguson</v>
      </c>
      <c r="D832" t="s">
        <v>74</v>
      </c>
      <c r="E832" t="str">
        <f t="shared" si="49"/>
        <v>Female</v>
      </c>
      <c r="F832" s="12">
        <v>54</v>
      </c>
      <c r="G832" t="s">
        <v>47</v>
      </c>
      <c r="H832" s="12" t="s">
        <v>48</v>
      </c>
      <c r="I832" t="s">
        <v>43</v>
      </c>
      <c r="J832" s="12">
        <v>4</v>
      </c>
      <c r="K832" s="3">
        <v>20</v>
      </c>
      <c r="L832" s="14">
        <f t="shared" si="50"/>
        <v>20</v>
      </c>
      <c r="M832" s="12">
        <v>1.1000000000000001</v>
      </c>
      <c r="N832">
        <v>1</v>
      </c>
      <c r="O832" s="1">
        <v>0.63</v>
      </c>
      <c r="P832" s="1">
        <f t="shared" si="51"/>
        <v>0.63</v>
      </c>
    </row>
    <row r="833" spans="1:16" x14ac:dyDescent="0.35">
      <c r="A833" t="s">
        <v>1735</v>
      </c>
      <c r="B833" t="s">
        <v>1736</v>
      </c>
      <c r="C833" t="str">
        <f t="shared" si="48"/>
        <v>Joseph Miller</v>
      </c>
      <c r="D833" t="s">
        <v>27</v>
      </c>
      <c r="E833" t="str">
        <f t="shared" si="49"/>
        <v>Male</v>
      </c>
      <c r="F833" s="12">
        <v>54</v>
      </c>
      <c r="G833" t="s">
        <v>185</v>
      </c>
      <c r="H833" s="12" t="s">
        <v>69</v>
      </c>
      <c r="I833" t="s">
        <v>17</v>
      </c>
      <c r="J833" s="12">
        <v>3</v>
      </c>
      <c r="K833" s="3">
        <v>20</v>
      </c>
      <c r="L833" s="14">
        <f t="shared" si="50"/>
        <v>20</v>
      </c>
      <c r="M833" s="12">
        <v>1.6</v>
      </c>
      <c r="N833">
        <v>1</v>
      </c>
      <c r="O833" s="1">
        <v>0.7</v>
      </c>
      <c r="P833" s="1">
        <f t="shared" si="51"/>
        <v>0.7</v>
      </c>
    </row>
    <row r="834" spans="1:16" x14ac:dyDescent="0.35">
      <c r="A834" t="s">
        <v>1737</v>
      </c>
      <c r="B834" t="s">
        <v>1738</v>
      </c>
      <c r="C834" t="str">
        <f t="shared" si="48"/>
        <v>Julia Reid</v>
      </c>
      <c r="D834" t="s">
        <v>74</v>
      </c>
      <c r="E834" t="str">
        <f t="shared" si="49"/>
        <v>Female</v>
      </c>
      <c r="F834" s="12">
        <v>34</v>
      </c>
      <c r="G834" t="s">
        <v>135</v>
      </c>
      <c r="H834" s="12" t="s">
        <v>136</v>
      </c>
      <c r="I834" t="s">
        <v>111</v>
      </c>
      <c r="J834" s="12">
        <v>4</v>
      </c>
      <c r="K834" s="3">
        <v>30</v>
      </c>
      <c r="L834" s="14">
        <f t="shared" si="50"/>
        <v>30</v>
      </c>
      <c r="M834" s="12">
        <v>3.1</v>
      </c>
      <c r="N834">
        <v>1</v>
      </c>
      <c r="O834" s="1">
        <v>0.9</v>
      </c>
      <c r="P834" s="1">
        <f t="shared" si="51"/>
        <v>0.9</v>
      </c>
    </row>
    <row r="835" spans="1:16" x14ac:dyDescent="0.35">
      <c r="A835" t="s">
        <v>1739</v>
      </c>
      <c r="B835" t="s">
        <v>1740</v>
      </c>
      <c r="C835" t="str">
        <f t="shared" ref="C835:C898" si="52">PROPER(B835)</f>
        <v>Samantha Matthews</v>
      </c>
      <c r="D835" t="s">
        <v>74</v>
      </c>
      <c r="E835" t="str">
        <f t="shared" ref="E835:E898" si="53">PROPER(D835)</f>
        <v>Female</v>
      </c>
      <c r="F835" s="12">
        <v>20</v>
      </c>
      <c r="G835" t="s">
        <v>15</v>
      </c>
      <c r="H835" s="12" t="s">
        <v>16</v>
      </c>
      <c r="I835" t="s">
        <v>86</v>
      </c>
      <c r="J835" s="12">
        <v>1</v>
      </c>
      <c r="K835" s="3">
        <v>50</v>
      </c>
      <c r="L835" s="14">
        <f t="shared" ref="L835:L898" si="54">IF(K835="","",IF(LEFT(K835,3)="USD","$"&amp;MID(K835,4,LEN(K835)-3),K835))</f>
        <v>50</v>
      </c>
      <c r="M835" s="12">
        <v>3.4</v>
      </c>
      <c r="N835">
        <v>1</v>
      </c>
      <c r="O835">
        <v>79</v>
      </c>
      <c r="P835" s="1">
        <f t="shared" ref="P835:P898" si="55">IF(O835="","",IF(O835&lt;1,O835,O835/100))</f>
        <v>0.79</v>
      </c>
    </row>
    <row r="836" spans="1:16" x14ac:dyDescent="0.35">
      <c r="A836" t="s">
        <v>1741</v>
      </c>
      <c r="B836" t="s">
        <v>1742</v>
      </c>
      <c r="C836" t="str">
        <f t="shared" si="52"/>
        <v>Brian Bailey</v>
      </c>
      <c r="D836" t="s">
        <v>27</v>
      </c>
      <c r="E836" t="str">
        <f t="shared" si="53"/>
        <v>Male</v>
      </c>
      <c r="F836" s="12">
        <v>29</v>
      </c>
      <c r="G836" t="s">
        <v>28</v>
      </c>
      <c r="H836" s="12" t="s">
        <v>29</v>
      </c>
      <c r="I836" t="s">
        <v>43</v>
      </c>
      <c r="J836" s="12">
        <v>8</v>
      </c>
      <c r="K836" s="3">
        <v>40</v>
      </c>
      <c r="L836" s="14">
        <f t="shared" si="54"/>
        <v>40</v>
      </c>
      <c r="M836" s="12">
        <v>3.1</v>
      </c>
      <c r="N836">
        <v>0</v>
      </c>
      <c r="O836" s="1">
        <v>0.6</v>
      </c>
      <c r="P836" s="1">
        <f t="shared" si="55"/>
        <v>0.6</v>
      </c>
    </row>
    <row r="837" spans="1:16" x14ac:dyDescent="0.35">
      <c r="A837" t="s">
        <v>1743</v>
      </c>
      <c r="B837" t="s">
        <v>1744</v>
      </c>
      <c r="C837" t="str">
        <f t="shared" si="52"/>
        <v>Toni Hinton</v>
      </c>
      <c r="D837" t="s">
        <v>38</v>
      </c>
      <c r="E837" t="str">
        <f t="shared" si="53"/>
        <v>Female</v>
      </c>
      <c r="F837" s="12">
        <v>57</v>
      </c>
      <c r="G837" t="s">
        <v>64</v>
      </c>
      <c r="H837" s="12" t="s">
        <v>22</v>
      </c>
      <c r="I837" t="s">
        <v>86</v>
      </c>
      <c r="J837" s="12">
        <v>11</v>
      </c>
      <c r="K837" s="3" t="s">
        <v>50</v>
      </c>
      <c r="L837" s="14" t="str">
        <f t="shared" si="54"/>
        <v>$ 75</v>
      </c>
      <c r="M837" s="12">
        <v>2.2999999999999998</v>
      </c>
      <c r="N837">
        <v>0</v>
      </c>
      <c r="O837">
        <v>16</v>
      </c>
      <c r="P837" s="1">
        <f t="shared" si="55"/>
        <v>0.16</v>
      </c>
    </row>
    <row r="838" spans="1:16" x14ac:dyDescent="0.35">
      <c r="A838" t="s">
        <v>1745</v>
      </c>
      <c r="B838" t="s">
        <v>1746</v>
      </c>
      <c r="C838" t="str">
        <f t="shared" si="52"/>
        <v>Robin Ortiz</v>
      </c>
      <c r="D838" t="s">
        <v>38</v>
      </c>
      <c r="E838" t="str">
        <f t="shared" si="53"/>
        <v>Female</v>
      </c>
      <c r="F838" s="12">
        <v>36</v>
      </c>
      <c r="G838" t="s">
        <v>41</v>
      </c>
      <c r="H838" s="12" t="s">
        <v>42</v>
      </c>
      <c r="I838" t="s">
        <v>43</v>
      </c>
      <c r="J838" s="12">
        <v>8</v>
      </c>
      <c r="K838" s="3" t="s">
        <v>53</v>
      </c>
      <c r="L838" s="14" t="str">
        <f t="shared" si="54"/>
        <v>$ 40</v>
      </c>
      <c r="M838" s="12">
        <v>3</v>
      </c>
      <c r="N838">
        <v>0</v>
      </c>
      <c r="O838" s="1">
        <v>0.8</v>
      </c>
      <c r="P838" s="1">
        <f t="shared" si="55"/>
        <v>0.8</v>
      </c>
    </row>
    <row r="839" spans="1:16" x14ac:dyDescent="0.35">
      <c r="A839" t="s">
        <v>1747</v>
      </c>
      <c r="B839" t="s">
        <v>1748</v>
      </c>
      <c r="C839" t="str">
        <f t="shared" si="52"/>
        <v>Adam Griffith</v>
      </c>
      <c r="D839" t="s">
        <v>94</v>
      </c>
      <c r="E839" t="str">
        <f t="shared" si="53"/>
        <v>Male</v>
      </c>
      <c r="F839" s="12">
        <v>51</v>
      </c>
      <c r="G839" t="s">
        <v>109</v>
      </c>
      <c r="H839" s="12" t="s">
        <v>110</v>
      </c>
      <c r="I839" t="s">
        <v>35</v>
      </c>
      <c r="J839" s="12">
        <v>32</v>
      </c>
      <c r="K839" s="3">
        <v>50</v>
      </c>
      <c r="L839" s="14">
        <f t="shared" si="54"/>
        <v>50</v>
      </c>
      <c r="M839" s="12">
        <v>3.2</v>
      </c>
      <c r="N839">
        <v>0</v>
      </c>
      <c r="O839">
        <v>88</v>
      </c>
      <c r="P839" s="1">
        <f t="shared" si="55"/>
        <v>0.88</v>
      </c>
    </row>
    <row r="840" spans="1:16" x14ac:dyDescent="0.35">
      <c r="A840" t="s">
        <v>1749</v>
      </c>
      <c r="B840" t="s">
        <v>1750</v>
      </c>
      <c r="C840" t="str">
        <f t="shared" si="52"/>
        <v>Daniel Roberson</v>
      </c>
      <c r="D840" t="s">
        <v>27</v>
      </c>
      <c r="E840" t="str">
        <f t="shared" si="53"/>
        <v>Male</v>
      </c>
      <c r="F840" s="12">
        <v>44</v>
      </c>
      <c r="G840" t="s">
        <v>90</v>
      </c>
      <c r="H840" s="12" t="s">
        <v>91</v>
      </c>
      <c r="I840" t="s">
        <v>70</v>
      </c>
      <c r="J840" s="12">
        <v>4</v>
      </c>
      <c r="K840" s="3" t="s">
        <v>106</v>
      </c>
      <c r="L840" s="14" t="str">
        <f t="shared" si="54"/>
        <v>$ 30</v>
      </c>
      <c r="M840" s="12">
        <v>0</v>
      </c>
      <c r="N840">
        <v>0</v>
      </c>
      <c r="O840" s="1">
        <v>0.8</v>
      </c>
      <c r="P840" s="1">
        <f t="shared" si="55"/>
        <v>0.8</v>
      </c>
    </row>
    <row r="841" spans="1:16" x14ac:dyDescent="0.35">
      <c r="A841" t="s">
        <v>1751</v>
      </c>
      <c r="B841" t="s">
        <v>1752</v>
      </c>
      <c r="C841" t="str">
        <f t="shared" si="52"/>
        <v>Dale Haynes</v>
      </c>
      <c r="D841" t="s">
        <v>94</v>
      </c>
      <c r="E841" t="str">
        <f t="shared" si="53"/>
        <v>Male</v>
      </c>
      <c r="F841" s="12">
        <v>58</v>
      </c>
      <c r="G841" t="s">
        <v>185</v>
      </c>
      <c r="H841" s="12" t="s">
        <v>69</v>
      </c>
      <c r="I841" t="s">
        <v>75</v>
      </c>
      <c r="J841" s="12">
        <v>33</v>
      </c>
      <c r="K841" s="3">
        <v>30</v>
      </c>
      <c r="L841" s="14">
        <f t="shared" si="54"/>
        <v>30</v>
      </c>
      <c r="M841" s="12">
        <v>3.3</v>
      </c>
      <c r="N841">
        <v>1</v>
      </c>
      <c r="O841" s="1">
        <v>0.71</v>
      </c>
      <c r="P841" s="1">
        <f t="shared" si="55"/>
        <v>0.71</v>
      </c>
    </row>
    <row r="842" spans="1:16" x14ac:dyDescent="0.35">
      <c r="A842" t="s">
        <v>1753</v>
      </c>
      <c r="B842" t="s">
        <v>1754</v>
      </c>
      <c r="C842" t="str">
        <f t="shared" si="52"/>
        <v>Emily Scott</v>
      </c>
      <c r="D842" t="s">
        <v>38</v>
      </c>
      <c r="E842" t="str">
        <f t="shared" si="53"/>
        <v>Female</v>
      </c>
      <c r="F842" s="12">
        <v>38</v>
      </c>
      <c r="G842" t="s">
        <v>149</v>
      </c>
      <c r="H842" s="12" t="s">
        <v>150</v>
      </c>
      <c r="I842" t="s">
        <v>23</v>
      </c>
      <c r="J842" s="12">
        <v>14</v>
      </c>
      <c r="K842" s="3">
        <v>40</v>
      </c>
      <c r="L842" s="14">
        <f t="shared" si="54"/>
        <v>40</v>
      </c>
      <c r="M842" s="12">
        <v>1.1000000000000001</v>
      </c>
      <c r="N842">
        <v>1</v>
      </c>
      <c r="O842" s="1">
        <v>0.76</v>
      </c>
      <c r="P842" s="1">
        <f t="shared" si="55"/>
        <v>0.76</v>
      </c>
    </row>
    <row r="843" spans="1:16" x14ac:dyDescent="0.35">
      <c r="A843" t="s">
        <v>1755</v>
      </c>
      <c r="B843" t="s">
        <v>1756</v>
      </c>
      <c r="C843" t="str">
        <f t="shared" si="52"/>
        <v>David Brown</v>
      </c>
      <c r="D843" t="s">
        <v>27</v>
      </c>
      <c r="E843" t="str">
        <f t="shared" si="53"/>
        <v>Male</v>
      </c>
      <c r="F843" s="12">
        <v>24</v>
      </c>
      <c r="G843" t="s">
        <v>56</v>
      </c>
      <c r="H843" s="12" t="s">
        <v>22</v>
      </c>
      <c r="I843" t="s">
        <v>70</v>
      </c>
      <c r="J843" s="12">
        <v>6</v>
      </c>
      <c r="K843" s="3" t="s">
        <v>106</v>
      </c>
      <c r="L843" s="14" t="str">
        <f t="shared" si="54"/>
        <v>$ 30</v>
      </c>
      <c r="M843" s="12">
        <v>4.5999999999999996</v>
      </c>
      <c r="N843">
        <v>1</v>
      </c>
      <c r="O843" s="1">
        <v>0.93</v>
      </c>
      <c r="P843" s="1">
        <f t="shared" si="55"/>
        <v>0.93</v>
      </c>
    </row>
    <row r="844" spans="1:16" x14ac:dyDescent="0.35">
      <c r="A844" t="s">
        <v>1757</v>
      </c>
      <c r="B844" t="s">
        <v>1758</v>
      </c>
      <c r="C844" t="str">
        <f t="shared" si="52"/>
        <v>Stephanie Guzman</v>
      </c>
      <c r="D844" t="s">
        <v>38</v>
      </c>
      <c r="E844" t="str">
        <f t="shared" si="53"/>
        <v>Female</v>
      </c>
      <c r="F844" s="12">
        <v>30</v>
      </c>
      <c r="G844" t="s">
        <v>60</v>
      </c>
      <c r="H844" s="12" t="s">
        <v>61</v>
      </c>
      <c r="I844" t="s">
        <v>17</v>
      </c>
      <c r="J844" s="12">
        <v>5</v>
      </c>
      <c r="K844" s="3" t="s">
        <v>106</v>
      </c>
      <c r="L844" s="14" t="str">
        <f t="shared" si="54"/>
        <v>$ 30</v>
      </c>
      <c r="M844" s="12">
        <v>3</v>
      </c>
      <c r="N844">
        <v>0</v>
      </c>
      <c r="O844">
        <v>16</v>
      </c>
      <c r="P844" s="1">
        <f t="shared" si="55"/>
        <v>0.16</v>
      </c>
    </row>
    <row r="845" spans="1:16" x14ac:dyDescent="0.35">
      <c r="A845" t="s">
        <v>1759</v>
      </c>
      <c r="B845" t="s">
        <v>1760</v>
      </c>
      <c r="C845" t="str">
        <f t="shared" si="52"/>
        <v>Maxwell Johnson</v>
      </c>
      <c r="D845" t="s">
        <v>59</v>
      </c>
      <c r="E845" t="str">
        <f t="shared" si="53"/>
        <v>Male</v>
      </c>
      <c r="F845" s="12">
        <v>25</v>
      </c>
      <c r="G845" t="s">
        <v>47</v>
      </c>
      <c r="H845" s="12" t="s">
        <v>48</v>
      </c>
      <c r="I845" t="s">
        <v>75</v>
      </c>
      <c r="J845" s="12">
        <v>3</v>
      </c>
      <c r="K845" s="3">
        <v>75</v>
      </c>
      <c r="L845" s="14">
        <f t="shared" si="54"/>
        <v>75</v>
      </c>
      <c r="M845" s="12">
        <v>3</v>
      </c>
      <c r="N845">
        <v>0</v>
      </c>
      <c r="O845" s="1">
        <v>0.83</v>
      </c>
      <c r="P845" s="1">
        <f t="shared" si="55"/>
        <v>0.83</v>
      </c>
    </row>
    <row r="846" spans="1:16" x14ac:dyDescent="0.35">
      <c r="A846" t="s">
        <v>1761</v>
      </c>
      <c r="B846" t="s">
        <v>1762</v>
      </c>
      <c r="C846" t="str">
        <f t="shared" si="52"/>
        <v>Reginald Stephens</v>
      </c>
      <c r="D846" t="s">
        <v>27</v>
      </c>
      <c r="E846" t="str">
        <f t="shared" si="53"/>
        <v>Male</v>
      </c>
      <c r="F846" s="12">
        <v>54</v>
      </c>
      <c r="G846" t="s">
        <v>47</v>
      </c>
      <c r="H846" s="12" t="s">
        <v>48</v>
      </c>
      <c r="I846" t="s">
        <v>23</v>
      </c>
      <c r="J846" s="12">
        <v>17</v>
      </c>
      <c r="K846" s="3">
        <v>100</v>
      </c>
      <c r="L846" s="14">
        <f t="shared" si="54"/>
        <v>100</v>
      </c>
      <c r="M846" s="12">
        <v>0</v>
      </c>
      <c r="N846">
        <v>0</v>
      </c>
      <c r="O846" s="1">
        <v>0.71</v>
      </c>
      <c r="P846" s="1">
        <f t="shared" si="55"/>
        <v>0.71</v>
      </c>
    </row>
    <row r="847" spans="1:16" x14ac:dyDescent="0.35">
      <c r="A847" t="s">
        <v>1763</v>
      </c>
      <c r="B847" t="s">
        <v>1764</v>
      </c>
      <c r="C847" t="str">
        <f t="shared" si="52"/>
        <v>Justin Jones</v>
      </c>
      <c r="D847" t="s">
        <v>27</v>
      </c>
      <c r="E847" t="str">
        <f t="shared" si="53"/>
        <v>Male</v>
      </c>
      <c r="F847" s="12">
        <v>54</v>
      </c>
      <c r="G847" t="s">
        <v>15</v>
      </c>
      <c r="H847" s="12" t="s">
        <v>16</v>
      </c>
      <c r="I847" t="s">
        <v>75</v>
      </c>
      <c r="J847" s="12">
        <v>9</v>
      </c>
      <c r="K847" s="3" t="s">
        <v>308</v>
      </c>
      <c r="L847" s="14" t="str">
        <f t="shared" si="54"/>
        <v>$ 20</v>
      </c>
      <c r="M847" s="12">
        <v>0</v>
      </c>
      <c r="N847">
        <v>1</v>
      </c>
      <c r="O847" s="1">
        <v>0.96</v>
      </c>
      <c r="P847" s="1">
        <f t="shared" si="55"/>
        <v>0.96</v>
      </c>
    </row>
    <row r="848" spans="1:16" x14ac:dyDescent="0.35">
      <c r="A848" t="s">
        <v>1765</v>
      </c>
      <c r="B848" t="s">
        <v>1766</v>
      </c>
      <c r="C848" t="str">
        <f t="shared" si="52"/>
        <v>Kristine Garcia</v>
      </c>
      <c r="D848" t="s">
        <v>38</v>
      </c>
      <c r="E848" t="str">
        <f t="shared" si="53"/>
        <v>Female</v>
      </c>
      <c r="F848" s="12">
        <v>53</v>
      </c>
      <c r="G848" t="s">
        <v>131</v>
      </c>
      <c r="H848" s="12" t="s">
        <v>132</v>
      </c>
      <c r="I848" t="s">
        <v>30</v>
      </c>
      <c r="J848" s="12">
        <v>16</v>
      </c>
      <c r="K848" s="3">
        <v>40</v>
      </c>
      <c r="L848" s="14">
        <f t="shared" si="54"/>
        <v>40</v>
      </c>
      <c r="M848" s="12">
        <v>0</v>
      </c>
      <c r="N848">
        <v>1</v>
      </c>
      <c r="O848">
        <v>16</v>
      </c>
      <c r="P848" s="1">
        <f t="shared" si="55"/>
        <v>0.16</v>
      </c>
    </row>
    <row r="849" spans="1:16" x14ac:dyDescent="0.35">
      <c r="A849" t="s">
        <v>1767</v>
      </c>
      <c r="B849" t="s">
        <v>1768</v>
      </c>
      <c r="C849" t="str">
        <f t="shared" si="52"/>
        <v>John Nguyen</v>
      </c>
      <c r="D849" t="s">
        <v>27</v>
      </c>
      <c r="E849" t="str">
        <f t="shared" si="53"/>
        <v>Male</v>
      </c>
      <c r="F849" s="12">
        <v>22</v>
      </c>
      <c r="G849" t="s">
        <v>120</v>
      </c>
      <c r="H849" s="12" t="s">
        <v>121</v>
      </c>
      <c r="I849" t="s">
        <v>43</v>
      </c>
      <c r="J849" s="12">
        <v>3</v>
      </c>
      <c r="K849" s="3">
        <v>75</v>
      </c>
      <c r="L849" s="14">
        <f t="shared" si="54"/>
        <v>75</v>
      </c>
      <c r="M849" s="12">
        <v>3.4</v>
      </c>
      <c r="N849">
        <v>1</v>
      </c>
      <c r="O849" s="1">
        <v>0.65</v>
      </c>
      <c r="P849" s="1">
        <f t="shared" si="55"/>
        <v>0.65</v>
      </c>
    </row>
    <row r="850" spans="1:16" x14ac:dyDescent="0.35">
      <c r="A850" t="s">
        <v>1769</v>
      </c>
      <c r="B850" t="s">
        <v>1770</v>
      </c>
      <c r="C850" t="str">
        <f t="shared" si="52"/>
        <v>Anna Fleming</v>
      </c>
      <c r="D850" t="s">
        <v>38</v>
      </c>
      <c r="E850" t="str">
        <f t="shared" si="53"/>
        <v>Female</v>
      </c>
      <c r="F850" s="12">
        <v>23</v>
      </c>
      <c r="G850" t="s">
        <v>174</v>
      </c>
      <c r="H850" s="12" t="s">
        <v>69</v>
      </c>
      <c r="I850" t="s">
        <v>49</v>
      </c>
      <c r="J850" s="12">
        <v>2</v>
      </c>
      <c r="K850" s="3" t="s">
        <v>308</v>
      </c>
      <c r="L850" s="14" t="str">
        <f t="shared" si="54"/>
        <v>$ 20</v>
      </c>
      <c r="M850" s="12">
        <v>1.3</v>
      </c>
      <c r="N850">
        <v>0</v>
      </c>
      <c r="O850">
        <v>16</v>
      </c>
      <c r="P850" s="1">
        <f t="shared" si="55"/>
        <v>0.16</v>
      </c>
    </row>
    <row r="851" spans="1:16" x14ac:dyDescent="0.35">
      <c r="A851" t="s">
        <v>1771</v>
      </c>
      <c r="B851" t="s">
        <v>1772</v>
      </c>
      <c r="C851" t="str">
        <f t="shared" si="52"/>
        <v>Linda Williamson</v>
      </c>
      <c r="D851" t="s">
        <v>20</v>
      </c>
      <c r="E851" t="str">
        <f t="shared" si="53"/>
        <v>Female</v>
      </c>
      <c r="F851" s="12">
        <v>47</v>
      </c>
      <c r="G851" t="s">
        <v>131</v>
      </c>
      <c r="H851" s="12" t="s">
        <v>132</v>
      </c>
      <c r="I851" t="s">
        <v>75</v>
      </c>
      <c r="J851" s="12">
        <v>16</v>
      </c>
      <c r="K851" s="3">
        <v>50</v>
      </c>
      <c r="L851" s="14">
        <f t="shared" si="54"/>
        <v>50</v>
      </c>
      <c r="M851" s="12">
        <v>1.9</v>
      </c>
      <c r="N851">
        <v>0</v>
      </c>
      <c r="O851" s="1">
        <v>0.71</v>
      </c>
      <c r="P851" s="1">
        <f t="shared" si="55"/>
        <v>0.71</v>
      </c>
    </row>
    <row r="852" spans="1:16" x14ac:dyDescent="0.35">
      <c r="A852" t="s">
        <v>1773</v>
      </c>
      <c r="B852" t="s">
        <v>1774</v>
      </c>
      <c r="C852" t="str">
        <f t="shared" si="52"/>
        <v>Roy Wilson</v>
      </c>
      <c r="D852" t="s">
        <v>94</v>
      </c>
      <c r="E852" t="str">
        <f t="shared" si="53"/>
        <v>Male</v>
      </c>
      <c r="F852" s="12">
        <v>24</v>
      </c>
      <c r="G852" t="s">
        <v>131</v>
      </c>
      <c r="H852" s="12" t="s">
        <v>132</v>
      </c>
      <c r="I852" t="s">
        <v>35</v>
      </c>
      <c r="J852" s="12">
        <v>6</v>
      </c>
      <c r="K852" s="3">
        <v>50</v>
      </c>
      <c r="L852" s="14">
        <f t="shared" si="54"/>
        <v>50</v>
      </c>
      <c r="M852" s="12">
        <v>1.4</v>
      </c>
      <c r="N852">
        <v>1</v>
      </c>
      <c r="O852">
        <v>63</v>
      </c>
      <c r="P852" s="1">
        <f t="shared" si="55"/>
        <v>0.63</v>
      </c>
    </row>
    <row r="853" spans="1:16" x14ac:dyDescent="0.35">
      <c r="A853" t="s">
        <v>1775</v>
      </c>
      <c r="B853" t="s">
        <v>1776</v>
      </c>
      <c r="C853" t="str">
        <f t="shared" si="52"/>
        <v>Jennifer Pierce</v>
      </c>
      <c r="D853" t="s">
        <v>38</v>
      </c>
      <c r="E853" t="str">
        <f t="shared" si="53"/>
        <v>Female</v>
      </c>
      <c r="F853" s="12">
        <v>57</v>
      </c>
      <c r="G853" t="s">
        <v>90</v>
      </c>
      <c r="H853" s="12" t="s">
        <v>91</v>
      </c>
      <c r="I853" t="s">
        <v>70</v>
      </c>
      <c r="J853" s="12">
        <v>10</v>
      </c>
      <c r="K853" s="3">
        <v>100</v>
      </c>
      <c r="L853" s="14">
        <f t="shared" si="54"/>
        <v>100</v>
      </c>
      <c r="M853" s="12">
        <v>4.3</v>
      </c>
      <c r="N853">
        <v>0</v>
      </c>
      <c r="O853">
        <v>16</v>
      </c>
      <c r="P853" s="1">
        <f t="shared" si="55"/>
        <v>0.16</v>
      </c>
    </row>
    <row r="854" spans="1:16" x14ac:dyDescent="0.35">
      <c r="A854" t="s">
        <v>1777</v>
      </c>
      <c r="B854" t="s">
        <v>1778</v>
      </c>
      <c r="C854" t="str">
        <f t="shared" si="52"/>
        <v>Jason Johnson</v>
      </c>
      <c r="D854" t="s">
        <v>94</v>
      </c>
      <c r="E854" t="str">
        <f t="shared" si="53"/>
        <v>Male</v>
      </c>
      <c r="F854" s="12">
        <v>48</v>
      </c>
      <c r="G854" t="s">
        <v>185</v>
      </c>
      <c r="H854" s="12" t="s">
        <v>69</v>
      </c>
      <c r="I854" t="s">
        <v>30</v>
      </c>
      <c r="J854" s="12">
        <v>16</v>
      </c>
      <c r="K854" s="3">
        <v>30</v>
      </c>
      <c r="L854" s="14">
        <f t="shared" si="54"/>
        <v>30</v>
      </c>
      <c r="M854" s="12">
        <v>3</v>
      </c>
      <c r="N854">
        <v>1</v>
      </c>
      <c r="O854" s="1">
        <v>0.97</v>
      </c>
      <c r="P854" s="1">
        <f t="shared" si="55"/>
        <v>0.97</v>
      </c>
    </row>
    <row r="855" spans="1:16" x14ac:dyDescent="0.35">
      <c r="A855" t="s">
        <v>1779</v>
      </c>
      <c r="B855" t="s">
        <v>1780</v>
      </c>
      <c r="C855" t="str">
        <f t="shared" si="52"/>
        <v>Jasmine Lane</v>
      </c>
      <c r="D855" t="s">
        <v>74</v>
      </c>
      <c r="E855" t="str">
        <f t="shared" si="53"/>
        <v>Female</v>
      </c>
      <c r="F855" s="12">
        <v>21</v>
      </c>
      <c r="G855" t="s">
        <v>60</v>
      </c>
      <c r="H855" s="12" t="s">
        <v>61</v>
      </c>
      <c r="I855" t="s">
        <v>70</v>
      </c>
      <c r="J855" s="12">
        <v>11</v>
      </c>
      <c r="K855" s="3">
        <v>100</v>
      </c>
      <c r="L855" s="14">
        <f t="shared" si="54"/>
        <v>100</v>
      </c>
      <c r="M855" s="12">
        <v>4.3</v>
      </c>
      <c r="N855">
        <v>0</v>
      </c>
      <c r="O855">
        <v>16</v>
      </c>
      <c r="P855" s="1">
        <f t="shared" si="55"/>
        <v>0.16</v>
      </c>
    </row>
    <row r="856" spans="1:16" x14ac:dyDescent="0.35">
      <c r="A856" t="s">
        <v>1781</v>
      </c>
      <c r="B856" t="s">
        <v>1782</v>
      </c>
      <c r="C856" t="str">
        <f t="shared" si="52"/>
        <v>Evan Soto</v>
      </c>
      <c r="D856" t="s">
        <v>27</v>
      </c>
      <c r="E856" t="str">
        <f t="shared" si="53"/>
        <v>Male</v>
      </c>
      <c r="F856" s="12">
        <v>33</v>
      </c>
      <c r="G856" t="s">
        <v>82</v>
      </c>
      <c r="H856" s="12" t="s">
        <v>83</v>
      </c>
      <c r="I856" t="s">
        <v>43</v>
      </c>
      <c r="J856" s="12">
        <v>13</v>
      </c>
      <c r="K856" s="3" t="s">
        <v>50</v>
      </c>
      <c r="L856" s="14" t="str">
        <f t="shared" si="54"/>
        <v>$ 75</v>
      </c>
      <c r="M856" s="12">
        <v>0</v>
      </c>
      <c r="N856">
        <v>1</v>
      </c>
      <c r="O856">
        <v>16</v>
      </c>
      <c r="P856" s="1">
        <f t="shared" si="55"/>
        <v>0.16</v>
      </c>
    </row>
    <row r="857" spans="1:16" x14ac:dyDescent="0.35">
      <c r="A857" t="s">
        <v>1783</v>
      </c>
      <c r="B857" t="s">
        <v>1784</v>
      </c>
      <c r="C857" t="str">
        <f t="shared" si="52"/>
        <v>Kevin Serrano</v>
      </c>
      <c r="D857" t="s">
        <v>94</v>
      </c>
      <c r="E857" t="str">
        <f t="shared" si="53"/>
        <v>Male</v>
      </c>
      <c r="F857" s="12">
        <v>41</v>
      </c>
      <c r="G857" t="s">
        <v>60</v>
      </c>
      <c r="H857" s="12" t="s">
        <v>61</v>
      </c>
      <c r="I857" t="s">
        <v>86</v>
      </c>
      <c r="J857" s="12">
        <v>12</v>
      </c>
      <c r="K857" s="3">
        <v>40</v>
      </c>
      <c r="L857" s="14">
        <f t="shared" si="54"/>
        <v>40</v>
      </c>
      <c r="M857" s="12">
        <v>1.3</v>
      </c>
      <c r="N857">
        <v>0</v>
      </c>
      <c r="O857" s="1">
        <v>0.85</v>
      </c>
      <c r="P857" s="1">
        <f t="shared" si="55"/>
        <v>0.85</v>
      </c>
    </row>
    <row r="858" spans="1:16" x14ac:dyDescent="0.35">
      <c r="A858" t="s">
        <v>1785</v>
      </c>
      <c r="B858" t="s">
        <v>1786</v>
      </c>
      <c r="C858" t="str">
        <f t="shared" si="52"/>
        <v>Nathaniel Benson</v>
      </c>
      <c r="D858" t="s">
        <v>59</v>
      </c>
      <c r="E858" t="str">
        <f t="shared" si="53"/>
        <v>Male</v>
      </c>
      <c r="F858" s="12">
        <v>40</v>
      </c>
      <c r="G858" t="s">
        <v>21</v>
      </c>
      <c r="H858" s="12" t="s">
        <v>22</v>
      </c>
      <c r="I858" t="s">
        <v>75</v>
      </c>
      <c r="J858" s="12">
        <v>13</v>
      </c>
      <c r="K858" s="3" t="s">
        <v>95</v>
      </c>
      <c r="L858" s="14" t="str">
        <f t="shared" si="54"/>
        <v>$ 50</v>
      </c>
      <c r="M858" s="12">
        <v>2.9</v>
      </c>
      <c r="N858">
        <v>1</v>
      </c>
      <c r="O858" s="1">
        <v>0.82</v>
      </c>
      <c r="P858" s="1">
        <f t="shared" si="55"/>
        <v>0.82</v>
      </c>
    </row>
    <row r="859" spans="1:16" x14ac:dyDescent="0.35">
      <c r="A859" t="s">
        <v>1787</v>
      </c>
      <c r="B859" t="s">
        <v>1788</v>
      </c>
      <c r="C859" t="str">
        <f t="shared" si="52"/>
        <v>Deanna Miles</v>
      </c>
      <c r="D859" t="s">
        <v>38</v>
      </c>
      <c r="E859" t="str">
        <f t="shared" si="53"/>
        <v>Female</v>
      </c>
      <c r="F859" s="12">
        <v>40</v>
      </c>
      <c r="G859" t="s">
        <v>174</v>
      </c>
      <c r="H859" s="12" t="s">
        <v>69</v>
      </c>
      <c r="I859" t="s">
        <v>30</v>
      </c>
      <c r="J859" s="12">
        <v>22</v>
      </c>
      <c r="K859" s="3" t="s">
        <v>53</v>
      </c>
      <c r="L859" s="14" t="str">
        <f t="shared" si="54"/>
        <v>$ 40</v>
      </c>
      <c r="M859" s="12">
        <v>4.3</v>
      </c>
      <c r="N859">
        <v>0</v>
      </c>
      <c r="O859" s="1">
        <v>0.95</v>
      </c>
      <c r="P859" s="1">
        <f t="shared" si="55"/>
        <v>0.95</v>
      </c>
    </row>
    <row r="860" spans="1:16" x14ac:dyDescent="0.35">
      <c r="A860" t="s">
        <v>1789</v>
      </c>
      <c r="B860" t="s">
        <v>1790</v>
      </c>
      <c r="C860" t="str">
        <f t="shared" si="52"/>
        <v>Beverly Roy</v>
      </c>
      <c r="D860" t="s">
        <v>74</v>
      </c>
      <c r="E860" t="str">
        <f t="shared" si="53"/>
        <v>Female</v>
      </c>
      <c r="F860" s="12">
        <v>20</v>
      </c>
      <c r="G860" t="s">
        <v>56</v>
      </c>
      <c r="H860" s="12" t="s">
        <v>22</v>
      </c>
      <c r="I860" t="s">
        <v>30</v>
      </c>
      <c r="J860" s="12">
        <v>1</v>
      </c>
      <c r="K860" s="3">
        <v>40</v>
      </c>
      <c r="L860" s="14">
        <f t="shared" si="54"/>
        <v>40</v>
      </c>
      <c r="M860" s="12">
        <v>2.7</v>
      </c>
      <c r="N860">
        <v>0</v>
      </c>
      <c r="O860">
        <v>94</v>
      </c>
      <c r="P860" s="1">
        <f t="shared" si="55"/>
        <v>0.94</v>
      </c>
    </row>
    <row r="861" spans="1:16" x14ac:dyDescent="0.35">
      <c r="A861" t="s">
        <v>1791</v>
      </c>
      <c r="B861" t="s">
        <v>1792</v>
      </c>
      <c r="C861" t="str">
        <f t="shared" si="52"/>
        <v>Heather Saunders</v>
      </c>
      <c r="D861" t="s">
        <v>38</v>
      </c>
      <c r="E861" t="str">
        <f t="shared" si="53"/>
        <v>Female</v>
      </c>
      <c r="F861" s="12">
        <v>42</v>
      </c>
      <c r="G861" t="s">
        <v>174</v>
      </c>
      <c r="H861" s="12" t="s">
        <v>69</v>
      </c>
      <c r="I861" t="s">
        <v>35</v>
      </c>
      <c r="J861" s="12">
        <v>11</v>
      </c>
      <c r="K861" s="3">
        <v>50</v>
      </c>
      <c r="L861" s="14">
        <f t="shared" si="54"/>
        <v>50</v>
      </c>
      <c r="M861" s="12">
        <v>4.2</v>
      </c>
      <c r="N861">
        <v>1</v>
      </c>
      <c r="O861" s="1">
        <v>0.96</v>
      </c>
      <c r="P861" s="1">
        <f t="shared" si="55"/>
        <v>0.96</v>
      </c>
    </row>
    <row r="862" spans="1:16" x14ac:dyDescent="0.35">
      <c r="A862" t="s">
        <v>1793</v>
      </c>
      <c r="B862" t="s">
        <v>1794</v>
      </c>
      <c r="C862" t="str">
        <f t="shared" si="52"/>
        <v>Nicholas Guerrero</v>
      </c>
      <c r="D862" t="s">
        <v>27</v>
      </c>
      <c r="E862" t="str">
        <f t="shared" si="53"/>
        <v>Male</v>
      </c>
      <c r="F862" s="12">
        <v>32</v>
      </c>
      <c r="G862" t="s">
        <v>124</v>
      </c>
      <c r="H862" s="12" t="s">
        <v>22</v>
      </c>
      <c r="I862" t="s">
        <v>17</v>
      </c>
      <c r="J862" s="12">
        <v>12</v>
      </c>
      <c r="K862" s="3">
        <v>40</v>
      </c>
      <c r="L862" s="14">
        <f t="shared" si="54"/>
        <v>40</v>
      </c>
      <c r="M862" s="12">
        <v>0</v>
      </c>
      <c r="N862">
        <v>1</v>
      </c>
      <c r="O862" s="1">
        <v>0.63</v>
      </c>
      <c r="P862" s="1">
        <f t="shared" si="55"/>
        <v>0.63</v>
      </c>
    </row>
    <row r="863" spans="1:16" x14ac:dyDescent="0.35">
      <c r="A863" t="s">
        <v>1795</v>
      </c>
      <c r="B863" t="s">
        <v>1796</v>
      </c>
      <c r="C863" t="str">
        <f t="shared" si="52"/>
        <v>Christopher Johnson</v>
      </c>
      <c r="D863" t="s">
        <v>94</v>
      </c>
      <c r="E863" t="str">
        <f t="shared" si="53"/>
        <v>Male</v>
      </c>
      <c r="F863" s="12">
        <v>60</v>
      </c>
      <c r="G863" t="s">
        <v>82</v>
      </c>
      <c r="H863" s="12" t="s">
        <v>83</v>
      </c>
      <c r="I863" t="s">
        <v>43</v>
      </c>
      <c r="J863" s="12">
        <v>11</v>
      </c>
      <c r="K863" s="3">
        <v>20</v>
      </c>
      <c r="L863" s="14">
        <f t="shared" si="54"/>
        <v>20</v>
      </c>
      <c r="M863" s="12">
        <v>2.2000000000000002</v>
      </c>
      <c r="N863">
        <v>0</v>
      </c>
      <c r="O863" s="1">
        <v>0.6</v>
      </c>
      <c r="P863" s="1">
        <f t="shared" si="55"/>
        <v>0.6</v>
      </c>
    </row>
    <row r="864" spans="1:16" x14ac:dyDescent="0.35">
      <c r="A864" t="s">
        <v>1797</v>
      </c>
      <c r="B864" t="s">
        <v>1798</v>
      </c>
      <c r="C864" t="str">
        <f t="shared" si="52"/>
        <v>Steven Flowers</v>
      </c>
      <c r="D864" t="s">
        <v>27</v>
      </c>
      <c r="E864" t="str">
        <f t="shared" si="53"/>
        <v>Male</v>
      </c>
      <c r="F864" s="12">
        <v>46</v>
      </c>
      <c r="G864" t="s">
        <v>135</v>
      </c>
      <c r="H864" s="12" t="s">
        <v>136</v>
      </c>
      <c r="I864" t="s">
        <v>111</v>
      </c>
      <c r="J864" s="12">
        <v>12</v>
      </c>
      <c r="K864" s="3">
        <v>50</v>
      </c>
      <c r="L864" s="14">
        <f t="shared" si="54"/>
        <v>50</v>
      </c>
      <c r="M864" s="12">
        <v>4.7</v>
      </c>
      <c r="N864">
        <v>1</v>
      </c>
      <c r="O864" s="1">
        <v>0.77</v>
      </c>
      <c r="P864" s="1">
        <f t="shared" si="55"/>
        <v>0.77</v>
      </c>
    </row>
    <row r="865" spans="1:16" x14ac:dyDescent="0.35">
      <c r="A865" t="s">
        <v>1799</v>
      </c>
      <c r="B865" t="s">
        <v>1800</v>
      </c>
      <c r="C865" t="str">
        <f t="shared" si="52"/>
        <v>Marvin Woods Iii</v>
      </c>
      <c r="D865" t="s">
        <v>27</v>
      </c>
      <c r="E865" t="str">
        <f t="shared" si="53"/>
        <v>Male</v>
      </c>
      <c r="F865" s="12">
        <v>29</v>
      </c>
      <c r="G865" t="s">
        <v>170</v>
      </c>
      <c r="H865" s="12" t="s">
        <v>171</v>
      </c>
      <c r="I865" t="s">
        <v>86</v>
      </c>
      <c r="J865" s="12">
        <v>11</v>
      </c>
      <c r="K865" s="3">
        <v>30</v>
      </c>
      <c r="L865" s="14">
        <f t="shared" si="54"/>
        <v>30</v>
      </c>
      <c r="M865" s="12">
        <v>0</v>
      </c>
      <c r="N865">
        <v>0</v>
      </c>
      <c r="O865" s="1">
        <v>0.63</v>
      </c>
      <c r="P865" s="1">
        <f t="shared" si="55"/>
        <v>0.63</v>
      </c>
    </row>
    <row r="866" spans="1:16" x14ac:dyDescent="0.35">
      <c r="A866" t="s">
        <v>1801</v>
      </c>
      <c r="B866" t="s">
        <v>1802</v>
      </c>
      <c r="C866" t="str">
        <f t="shared" si="52"/>
        <v>Michelle Cook</v>
      </c>
      <c r="D866" t="s">
        <v>20</v>
      </c>
      <c r="E866" t="str">
        <f t="shared" si="53"/>
        <v>Female</v>
      </c>
      <c r="F866" s="12">
        <v>39</v>
      </c>
      <c r="G866" t="s">
        <v>104</v>
      </c>
      <c r="H866" s="12" t="s">
        <v>105</v>
      </c>
      <c r="I866" t="s">
        <v>23</v>
      </c>
      <c r="J866" s="12">
        <v>18</v>
      </c>
      <c r="K866" s="3">
        <v>20</v>
      </c>
      <c r="L866" s="14">
        <f t="shared" si="54"/>
        <v>20</v>
      </c>
      <c r="M866" s="12">
        <v>2.5</v>
      </c>
      <c r="N866">
        <v>1</v>
      </c>
      <c r="O866" s="1">
        <v>0.61</v>
      </c>
      <c r="P866" s="1">
        <f t="shared" si="55"/>
        <v>0.61</v>
      </c>
    </row>
    <row r="867" spans="1:16" x14ac:dyDescent="0.35">
      <c r="A867" t="s">
        <v>1803</v>
      </c>
      <c r="B867" t="s">
        <v>1804</v>
      </c>
      <c r="C867" t="str">
        <f t="shared" si="52"/>
        <v>Logan Zamora</v>
      </c>
      <c r="D867" t="s">
        <v>59</v>
      </c>
      <c r="E867" t="str">
        <f t="shared" si="53"/>
        <v>Male</v>
      </c>
      <c r="F867" s="12">
        <v>55</v>
      </c>
      <c r="G867" t="s">
        <v>120</v>
      </c>
      <c r="H867" s="12" t="s">
        <v>121</v>
      </c>
      <c r="I867" t="s">
        <v>23</v>
      </c>
      <c r="J867" s="12">
        <v>2</v>
      </c>
      <c r="K867" s="3">
        <v>50</v>
      </c>
      <c r="L867" s="14">
        <f t="shared" si="54"/>
        <v>50</v>
      </c>
      <c r="M867" s="12">
        <v>3.9</v>
      </c>
      <c r="N867">
        <v>1</v>
      </c>
      <c r="O867" s="1">
        <v>0.88</v>
      </c>
      <c r="P867" s="1">
        <f t="shared" si="55"/>
        <v>0.88</v>
      </c>
    </row>
    <row r="868" spans="1:16" x14ac:dyDescent="0.35">
      <c r="A868" t="s">
        <v>1805</v>
      </c>
      <c r="B868" t="s">
        <v>1806</v>
      </c>
      <c r="C868" t="str">
        <f t="shared" si="52"/>
        <v>Casey Roberts</v>
      </c>
      <c r="D868" t="s">
        <v>27</v>
      </c>
      <c r="E868" t="str">
        <f t="shared" si="53"/>
        <v>Male</v>
      </c>
      <c r="F868" s="12">
        <v>55</v>
      </c>
      <c r="G868" t="s">
        <v>60</v>
      </c>
      <c r="H868" s="12" t="s">
        <v>61</v>
      </c>
      <c r="I868" t="s">
        <v>75</v>
      </c>
      <c r="J868" s="12">
        <v>11</v>
      </c>
      <c r="K868" s="3" t="s">
        <v>24</v>
      </c>
      <c r="L868" s="14" t="str">
        <f t="shared" si="54"/>
        <v>$ 100</v>
      </c>
      <c r="M868" s="12">
        <v>1.2</v>
      </c>
      <c r="N868">
        <v>1</v>
      </c>
      <c r="O868" s="1">
        <v>0.69</v>
      </c>
      <c r="P868" s="1">
        <f t="shared" si="55"/>
        <v>0.69</v>
      </c>
    </row>
    <row r="869" spans="1:16" x14ac:dyDescent="0.35">
      <c r="A869" t="s">
        <v>1807</v>
      </c>
      <c r="B869" t="s">
        <v>1808</v>
      </c>
      <c r="C869" t="str">
        <f t="shared" si="52"/>
        <v>Jerry Price</v>
      </c>
      <c r="D869" t="s">
        <v>94</v>
      </c>
      <c r="E869" t="str">
        <f t="shared" si="53"/>
        <v>Male</v>
      </c>
      <c r="F869" s="12">
        <v>40</v>
      </c>
      <c r="G869" t="s">
        <v>47</v>
      </c>
      <c r="H869" s="12" t="s">
        <v>48</v>
      </c>
      <c r="I869" t="s">
        <v>49</v>
      </c>
      <c r="J869" s="12">
        <v>2</v>
      </c>
      <c r="K869" s="3">
        <v>75</v>
      </c>
      <c r="L869" s="14">
        <f t="shared" si="54"/>
        <v>75</v>
      </c>
      <c r="M869" s="12">
        <v>4.5</v>
      </c>
      <c r="N869">
        <v>1</v>
      </c>
      <c r="O869">
        <v>16</v>
      </c>
      <c r="P869" s="1">
        <f t="shared" si="55"/>
        <v>0.16</v>
      </c>
    </row>
    <row r="870" spans="1:16" x14ac:dyDescent="0.35">
      <c r="A870" t="s">
        <v>1809</v>
      </c>
      <c r="B870" t="s">
        <v>1810</v>
      </c>
      <c r="C870" t="str">
        <f t="shared" si="52"/>
        <v>Kelly Ellis</v>
      </c>
      <c r="D870" t="s">
        <v>38</v>
      </c>
      <c r="E870" t="str">
        <f t="shared" si="53"/>
        <v>Female</v>
      </c>
      <c r="F870" s="12">
        <v>56</v>
      </c>
      <c r="G870" t="s">
        <v>170</v>
      </c>
      <c r="H870" s="12" t="s">
        <v>171</v>
      </c>
      <c r="I870" t="s">
        <v>70</v>
      </c>
      <c r="J870" s="12">
        <v>35</v>
      </c>
      <c r="K870" s="3">
        <v>40</v>
      </c>
      <c r="L870" s="14">
        <f t="shared" si="54"/>
        <v>40</v>
      </c>
      <c r="M870" s="12">
        <v>2.7</v>
      </c>
      <c r="N870">
        <v>1</v>
      </c>
      <c r="O870" s="1">
        <v>0.82</v>
      </c>
      <c r="P870" s="1">
        <f t="shared" si="55"/>
        <v>0.82</v>
      </c>
    </row>
    <row r="871" spans="1:16" x14ac:dyDescent="0.35">
      <c r="A871" t="s">
        <v>1811</v>
      </c>
      <c r="B871" t="s">
        <v>1812</v>
      </c>
      <c r="C871" t="str">
        <f t="shared" si="52"/>
        <v>Caleb Guerra</v>
      </c>
      <c r="D871" t="s">
        <v>59</v>
      </c>
      <c r="E871" t="str">
        <f t="shared" si="53"/>
        <v>Male</v>
      </c>
      <c r="F871" s="12">
        <v>57</v>
      </c>
      <c r="G871" t="s">
        <v>174</v>
      </c>
      <c r="H871" s="12" t="s">
        <v>69</v>
      </c>
      <c r="I871" t="s">
        <v>23</v>
      </c>
      <c r="J871" s="12">
        <v>21</v>
      </c>
      <c r="K871" s="3">
        <v>75</v>
      </c>
      <c r="L871" s="14">
        <f t="shared" si="54"/>
        <v>75</v>
      </c>
      <c r="M871" s="12">
        <v>2</v>
      </c>
      <c r="N871">
        <v>0</v>
      </c>
      <c r="O871" s="1">
        <v>0.96</v>
      </c>
      <c r="P871" s="1">
        <f t="shared" si="55"/>
        <v>0.96</v>
      </c>
    </row>
    <row r="872" spans="1:16" x14ac:dyDescent="0.35">
      <c r="A872" t="s">
        <v>1813</v>
      </c>
      <c r="B872" t="s">
        <v>1814</v>
      </c>
      <c r="C872" t="str">
        <f t="shared" si="52"/>
        <v>Samantha Norman</v>
      </c>
      <c r="D872" t="s">
        <v>38</v>
      </c>
      <c r="E872" t="str">
        <f t="shared" si="53"/>
        <v>Female</v>
      </c>
      <c r="F872" s="12">
        <v>56</v>
      </c>
      <c r="G872" t="s">
        <v>120</v>
      </c>
      <c r="H872" s="12" t="s">
        <v>121</v>
      </c>
      <c r="I872" t="s">
        <v>86</v>
      </c>
      <c r="J872" s="12">
        <v>3</v>
      </c>
      <c r="K872" s="3">
        <v>40</v>
      </c>
      <c r="L872" s="14">
        <f t="shared" si="54"/>
        <v>40</v>
      </c>
      <c r="M872" s="12">
        <v>1.7</v>
      </c>
      <c r="N872">
        <v>0</v>
      </c>
      <c r="O872" s="1">
        <v>0.71</v>
      </c>
      <c r="P872" s="1">
        <f t="shared" si="55"/>
        <v>0.71</v>
      </c>
    </row>
    <row r="873" spans="1:16" x14ac:dyDescent="0.35">
      <c r="A873" t="s">
        <v>1815</v>
      </c>
      <c r="B873" t="s">
        <v>1816</v>
      </c>
      <c r="C873" t="str">
        <f t="shared" si="52"/>
        <v>Sarah Clarke</v>
      </c>
      <c r="D873" t="s">
        <v>38</v>
      </c>
      <c r="E873" t="str">
        <f t="shared" si="53"/>
        <v>Female</v>
      </c>
      <c r="F873" s="12">
        <v>49</v>
      </c>
      <c r="G873" t="s">
        <v>28</v>
      </c>
      <c r="H873" s="12" t="s">
        <v>29</v>
      </c>
      <c r="I873" t="s">
        <v>23</v>
      </c>
      <c r="J873" s="12">
        <v>24</v>
      </c>
      <c r="K873" s="3">
        <v>75</v>
      </c>
      <c r="L873" s="14">
        <f t="shared" si="54"/>
        <v>75</v>
      </c>
      <c r="M873" s="12">
        <v>3</v>
      </c>
      <c r="N873">
        <v>1</v>
      </c>
      <c r="O873" s="1">
        <v>0.77</v>
      </c>
      <c r="P873" s="1">
        <f t="shared" si="55"/>
        <v>0.77</v>
      </c>
    </row>
    <row r="874" spans="1:16" x14ac:dyDescent="0.35">
      <c r="A874" t="s">
        <v>1817</v>
      </c>
      <c r="B874" t="s">
        <v>1818</v>
      </c>
      <c r="C874" t="str">
        <f t="shared" si="52"/>
        <v>Aaron Blair</v>
      </c>
      <c r="D874" t="s">
        <v>59</v>
      </c>
      <c r="E874" t="str">
        <f t="shared" si="53"/>
        <v>Male</v>
      </c>
      <c r="F874" s="12">
        <v>26</v>
      </c>
      <c r="G874" t="s">
        <v>185</v>
      </c>
      <c r="H874" s="12" t="s">
        <v>69</v>
      </c>
      <c r="I874" t="s">
        <v>17</v>
      </c>
      <c r="J874" s="12">
        <v>11</v>
      </c>
      <c r="K874" s="3">
        <v>75</v>
      </c>
      <c r="L874" s="14">
        <f t="shared" si="54"/>
        <v>75</v>
      </c>
      <c r="M874" s="12">
        <v>2.1</v>
      </c>
      <c r="N874">
        <v>1</v>
      </c>
      <c r="O874">
        <v>16</v>
      </c>
      <c r="P874" s="1">
        <f t="shared" si="55"/>
        <v>0.16</v>
      </c>
    </row>
    <row r="875" spans="1:16" x14ac:dyDescent="0.35">
      <c r="A875" t="s">
        <v>1819</v>
      </c>
      <c r="B875" t="s">
        <v>1820</v>
      </c>
      <c r="C875" t="str">
        <f t="shared" si="52"/>
        <v>Courtney Burton</v>
      </c>
      <c r="D875" t="s">
        <v>74</v>
      </c>
      <c r="E875" t="str">
        <f t="shared" si="53"/>
        <v>Female</v>
      </c>
      <c r="F875" s="12">
        <v>36</v>
      </c>
      <c r="G875" t="s">
        <v>109</v>
      </c>
      <c r="H875" s="12" t="s">
        <v>110</v>
      </c>
      <c r="I875" t="s">
        <v>70</v>
      </c>
      <c r="J875" s="12">
        <v>11</v>
      </c>
      <c r="K875" s="3">
        <v>75</v>
      </c>
      <c r="L875" s="14">
        <f t="shared" si="54"/>
        <v>75</v>
      </c>
      <c r="M875" s="12">
        <v>1.5</v>
      </c>
      <c r="N875">
        <v>1</v>
      </c>
      <c r="O875" s="1">
        <v>0.73</v>
      </c>
      <c r="P875" s="1">
        <f t="shared" si="55"/>
        <v>0.73</v>
      </c>
    </row>
    <row r="876" spans="1:16" x14ac:dyDescent="0.35">
      <c r="A876" t="s">
        <v>1821</v>
      </c>
      <c r="B876" t="s">
        <v>1822</v>
      </c>
      <c r="C876" t="str">
        <f t="shared" si="52"/>
        <v>Gerald Taylor</v>
      </c>
      <c r="D876" t="s">
        <v>27</v>
      </c>
      <c r="E876" t="str">
        <f t="shared" si="53"/>
        <v>Male</v>
      </c>
      <c r="F876" s="12">
        <v>20</v>
      </c>
      <c r="G876" t="s">
        <v>120</v>
      </c>
      <c r="H876" s="12" t="s">
        <v>121</v>
      </c>
      <c r="I876" t="s">
        <v>35</v>
      </c>
      <c r="J876" s="12">
        <v>2</v>
      </c>
      <c r="K876" s="3" t="s">
        <v>106</v>
      </c>
      <c r="L876" s="14" t="str">
        <f t="shared" si="54"/>
        <v>$ 30</v>
      </c>
      <c r="M876" s="12">
        <v>1.7</v>
      </c>
      <c r="N876">
        <v>1</v>
      </c>
      <c r="O876" s="1">
        <v>0.6</v>
      </c>
      <c r="P876" s="1">
        <f t="shared" si="55"/>
        <v>0.6</v>
      </c>
    </row>
    <row r="877" spans="1:16" x14ac:dyDescent="0.35">
      <c r="A877" t="s">
        <v>1823</v>
      </c>
      <c r="B877" t="s">
        <v>1824</v>
      </c>
      <c r="C877" t="str">
        <f t="shared" si="52"/>
        <v>Mary Ward</v>
      </c>
      <c r="D877" t="s">
        <v>38</v>
      </c>
      <c r="E877" t="str">
        <f t="shared" si="53"/>
        <v>Female</v>
      </c>
      <c r="F877" s="12">
        <v>40</v>
      </c>
      <c r="G877" t="s">
        <v>185</v>
      </c>
      <c r="H877" s="12" t="s">
        <v>69</v>
      </c>
      <c r="I877" t="s">
        <v>43</v>
      </c>
      <c r="J877" s="12">
        <v>11</v>
      </c>
      <c r="K877" s="3">
        <v>40</v>
      </c>
      <c r="L877" s="14">
        <f t="shared" si="54"/>
        <v>40</v>
      </c>
      <c r="M877" s="12">
        <v>1.2</v>
      </c>
      <c r="N877">
        <v>1</v>
      </c>
      <c r="O877" s="1">
        <v>0.67</v>
      </c>
      <c r="P877" s="1">
        <f t="shared" si="55"/>
        <v>0.67</v>
      </c>
    </row>
    <row r="878" spans="1:16" x14ac:dyDescent="0.35">
      <c r="A878" t="s">
        <v>1825</v>
      </c>
      <c r="B878" t="s">
        <v>1826</v>
      </c>
      <c r="C878" t="str">
        <f t="shared" si="52"/>
        <v>Mrs. Lisa Beard Dvm</v>
      </c>
      <c r="D878" t="s">
        <v>38</v>
      </c>
      <c r="E878" t="str">
        <f t="shared" si="53"/>
        <v>Female</v>
      </c>
      <c r="F878" s="12">
        <v>30</v>
      </c>
      <c r="G878" t="s">
        <v>90</v>
      </c>
      <c r="H878" s="12" t="s">
        <v>91</v>
      </c>
      <c r="I878" t="s">
        <v>23</v>
      </c>
      <c r="J878" s="12">
        <v>6</v>
      </c>
      <c r="K878" s="3">
        <v>75</v>
      </c>
      <c r="L878" s="14">
        <f t="shared" si="54"/>
        <v>75</v>
      </c>
      <c r="M878" s="12">
        <v>0</v>
      </c>
      <c r="N878">
        <v>0</v>
      </c>
      <c r="O878" s="1">
        <v>0.8</v>
      </c>
      <c r="P878" s="1">
        <f t="shared" si="55"/>
        <v>0.8</v>
      </c>
    </row>
    <row r="879" spans="1:16" x14ac:dyDescent="0.35">
      <c r="A879" t="s">
        <v>1827</v>
      </c>
      <c r="B879" t="s">
        <v>1828</v>
      </c>
      <c r="C879" t="str">
        <f t="shared" si="52"/>
        <v>Larry Wallace</v>
      </c>
      <c r="D879" t="s">
        <v>94</v>
      </c>
      <c r="E879" t="str">
        <f t="shared" si="53"/>
        <v>Male</v>
      </c>
      <c r="F879" s="12">
        <v>51</v>
      </c>
      <c r="G879" t="s">
        <v>21</v>
      </c>
      <c r="H879" s="12" t="s">
        <v>22</v>
      </c>
      <c r="I879" t="s">
        <v>30</v>
      </c>
      <c r="J879" s="12">
        <v>21</v>
      </c>
      <c r="K879" s="3">
        <v>20</v>
      </c>
      <c r="L879" s="14">
        <f t="shared" si="54"/>
        <v>20</v>
      </c>
      <c r="M879" s="12">
        <v>3</v>
      </c>
      <c r="N879">
        <v>1</v>
      </c>
      <c r="O879">
        <v>16</v>
      </c>
      <c r="P879" s="1">
        <f t="shared" si="55"/>
        <v>0.16</v>
      </c>
    </row>
    <row r="880" spans="1:16" x14ac:dyDescent="0.35">
      <c r="A880" t="s">
        <v>1829</v>
      </c>
      <c r="B880" t="s">
        <v>1830</v>
      </c>
      <c r="C880" t="str">
        <f t="shared" si="52"/>
        <v>Jeremiah Thompson</v>
      </c>
      <c r="D880" t="s">
        <v>94</v>
      </c>
      <c r="E880" t="str">
        <f t="shared" si="53"/>
        <v>Male</v>
      </c>
      <c r="F880" s="12">
        <v>46</v>
      </c>
      <c r="G880" t="s">
        <v>56</v>
      </c>
      <c r="H880" s="12" t="s">
        <v>22</v>
      </c>
      <c r="I880" t="s">
        <v>70</v>
      </c>
      <c r="J880" s="12">
        <v>24</v>
      </c>
      <c r="K880" s="3">
        <v>40</v>
      </c>
      <c r="L880" s="14">
        <f t="shared" si="54"/>
        <v>40</v>
      </c>
      <c r="M880" s="12">
        <v>3.3</v>
      </c>
      <c r="N880">
        <v>1</v>
      </c>
      <c r="O880" s="1">
        <v>0.87</v>
      </c>
      <c r="P880" s="1">
        <f t="shared" si="55"/>
        <v>0.87</v>
      </c>
    </row>
    <row r="881" spans="1:16" x14ac:dyDescent="0.35">
      <c r="A881" t="s">
        <v>1831</v>
      </c>
      <c r="B881" t="s">
        <v>1832</v>
      </c>
      <c r="C881" t="str">
        <f t="shared" si="52"/>
        <v>Mrs. Jessica Williams Dvm</v>
      </c>
      <c r="D881" t="s">
        <v>20</v>
      </c>
      <c r="E881" t="str">
        <f t="shared" si="53"/>
        <v>Female</v>
      </c>
      <c r="F881" s="12">
        <v>25</v>
      </c>
      <c r="G881" t="s">
        <v>109</v>
      </c>
      <c r="H881" s="12" t="s">
        <v>110</v>
      </c>
      <c r="I881" t="s">
        <v>43</v>
      </c>
      <c r="J881" s="12">
        <v>6</v>
      </c>
      <c r="K881" s="3">
        <v>20</v>
      </c>
      <c r="L881" s="14">
        <f t="shared" si="54"/>
        <v>20</v>
      </c>
      <c r="M881" s="12">
        <v>2.1</v>
      </c>
      <c r="N881">
        <v>1</v>
      </c>
      <c r="O881">
        <v>16</v>
      </c>
      <c r="P881" s="1">
        <f t="shared" si="55"/>
        <v>0.16</v>
      </c>
    </row>
    <row r="882" spans="1:16" x14ac:dyDescent="0.35">
      <c r="A882" t="s">
        <v>1833</v>
      </c>
      <c r="B882" t="s">
        <v>1834</v>
      </c>
      <c r="C882" t="str">
        <f t="shared" si="52"/>
        <v>Martin Moreno</v>
      </c>
      <c r="D882" t="s">
        <v>27</v>
      </c>
      <c r="E882" t="str">
        <f t="shared" si="53"/>
        <v>Male</v>
      </c>
      <c r="F882" s="12">
        <v>53</v>
      </c>
      <c r="G882" t="s">
        <v>41</v>
      </c>
      <c r="H882" s="12" t="s">
        <v>42</v>
      </c>
      <c r="I882" t="s">
        <v>35</v>
      </c>
      <c r="J882" s="12">
        <v>32</v>
      </c>
      <c r="K882" s="3">
        <v>50</v>
      </c>
      <c r="L882" s="14">
        <f t="shared" si="54"/>
        <v>50</v>
      </c>
      <c r="M882" s="12">
        <v>3</v>
      </c>
      <c r="N882">
        <v>1</v>
      </c>
      <c r="O882">
        <v>16</v>
      </c>
      <c r="P882" s="1">
        <f t="shared" si="55"/>
        <v>0.16</v>
      </c>
    </row>
    <row r="883" spans="1:16" x14ac:dyDescent="0.35">
      <c r="A883" t="s">
        <v>1835</v>
      </c>
      <c r="B883" t="s">
        <v>1836</v>
      </c>
      <c r="C883" t="str">
        <f t="shared" si="52"/>
        <v>Yolanda Proctor</v>
      </c>
      <c r="D883" t="s">
        <v>20</v>
      </c>
      <c r="E883" t="str">
        <f t="shared" si="53"/>
        <v>Female</v>
      </c>
      <c r="F883" s="12">
        <v>50</v>
      </c>
      <c r="G883" t="s">
        <v>135</v>
      </c>
      <c r="H883" s="12" t="s">
        <v>136</v>
      </c>
      <c r="I883" t="s">
        <v>23</v>
      </c>
      <c r="J883" s="12">
        <v>31</v>
      </c>
      <c r="K883" s="3" t="s">
        <v>24</v>
      </c>
      <c r="L883" s="14" t="str">
        <f t="shared" si="54"/>
        <v>$ 100</v>
      </c>
      <c r="M883" s="12">
        <v>2.9</v>
      </c>
      <c r="N883">
        <v>1</v>
      </c>
      <c r="O883" s="1">
        <v>0.89</v>
      </c>
      <c r="P883" s="1">
        <f t="shared" si="55"/>
        <v>0.89</v>
      </c>
    </row>
    <row r="884" spans="1:16" x14ac:dyDescent="0.35">
      <c r="A884" t="s">
        <v>1837</v>
      </c>
      <c r="B884" t="s">
        <v>1838</v>
      </c>
      <c r="C884" t="str">
        <f t="shared" si="52"/>
        <v>Allen Turner</v>
      </c>
      <c r="D884" t="s">
        <v>27</v>
      </c>
      <c r="E884" t="str">
        <f t="shared" si="53"/>
        <v>Male</v>
      </c>
      <c r="F884" s="12">
        <v>45</v>
      </c>
      <c r="G884" t="s">
        <v>109</v>
      </c>
      <c r="H884" s="12" t="s">
        <v>110</v>
      </c>
      <c r="I884" t="s">
        <v>43</v>
      </c>
      <c r="J884" s="12">
        <v>11</v>
      </c>
      <c r="K884" s="3" t="s">
        <v>308</v>
      </c>
      <c r="L884" s="14" t="str">
        <f t="shared" si="54"/>
        <v>$ 20</v>
      </c>
      <c r="M884" s="12">
        <v>3.3</v>
      </c>
      <c r="N884">
        <v>1</v>
      </c>
      <c r="O884" s="1">
        <v>0.93</v>
      </c>
      <c r="P884" s="1">
        <f t="shared" si="55"/>
        <v>0.93</v>
      </c>
    </row>
    <row r="885" spans="1:16" x14ac:dyDescent="0.35">
      <c r="A885" t="s">
        <v>1839</v>
      </c>
      <c r="B885" t="s">
        <v>1840</v>
      </c>
      <c r="C885" t="str">
        <f t="shared" si="52"/>
        <v>Beth Huff</v>
      </c>
      <c r="D885" t="s">
        <v>38</v>
      </c>
      <c r="E885" t="str">
        <f t="shared" si="53"/>
        <v>Female</v>
      </c>
      <c r="F885" s="12">
        <v>48</v>
      </c>
      <c r="G885" t="s">
        <v>124</v>
      </c>
      <c r="H885" s="12" t="s">
        <v>22</v>
      </c>
      <c r="I885" t="s">
        <v>75</v>
      </c>
      <c r="J885" s="12">
        <v>24</v>
      </c>
      <c r="K885" s="3">
        <v>100</v>
      </c>
      <c r="L885" s="14">
        <f t="shared" si="54"/>
        <v>100</v>
      </c>
      <c r="M885" s="12">
        <v>4.8</v>
      </c>
      <c r="N885">
        <v>1</v>
      </c>
      <c r="O885" s="1">
        <v>0.84</v>
      </c>
      <c r="P885" s="1">
        <f t="shared" si="55"/>
        <v>0.84</v>
      </c>
    </row>
    <row r="886" spans="1:16" x14ac:dyDescent="0.35">
      <c r="A886" t="s">
        <v>1841</v>
      </c>
      <c r="B886" t="s">
        <v>1842</v>
      </c>
      <c r="C886" t="str">
        <f t="shared" si="52"/>
        <v>John Mckinney</v>
      </c>
      <c r="D886" t="s">
        <v>59</v>
      </c>
      <c r="E886" t="str">
        <f t="shared" si="53"/>
        <v>Male</v>
      </c>
      <c r="F886" s="12">
        <v>30</v>
      </c>
      <c r="G886" t="s">
        <v>47</v>
      </c>
      <c r="H886" s="12" t="s">
        <v>48</v>
      </c>
      <c r="I886" t="s">
        <v>86</v>
      </c>
      <c r="J886" s="12">
        <v>11</v>
      </c>
      <c r="K886" s="3">
        <v>100</v>
      </c>
      <c r="L886" s="14">
        <f t="shared" si="54"/>
        <v>100</v>
      </c>
      <c r="M886" s="12">
        <v>4.5</v>
      </c>
      <c r="N886">
        <v>1</v>
      </c>
      <c r="O886" s="1">
        <v>0.78</v>
      </c>
      <c r="P886" s="1">
        <f t="shared" si="55"/>
        <v>0.78</v>
      </c>
    </row>
    <row r="887" spans="1:16" x14ac:dyDescent="0.35">
      <c r="A887" t="s">
        <v>1843</v>
      </c>
      <c r="B887" t="s">
        <v>561</v>
      </c>
      <c r="C887" t="str">
        <f t="shared" si="52"/>
        <v>Sarah Ho</v>
      </c>
      <c r="D887" t="s">
        <v>38</v>
      </c>
      <c r="E887" t="str">
        <f t="shared" si="53"/>
        <v>Female</v>
      </c>
      <c r="F887" s="12">
        <v>33</v>
      </c>
      <c r="G887" t="s">
        <v>41</v>
      </c>
      <c r="H887" s="12" t="s">
        <v>42</v>
      </c>
      <c r="I887" t="s">
        <v>70</v>
      </c>
      <c r="J887" s="12">
        <v>6</v>
      </c>
      <c r="K887" s="3">
        <v>50</v>
      </c>
      <c r="L887" s="14">
        <f t="shared" si="54"/>
        <v>50</v>
      </c>
      <c r="M887" s="12">
        <v>3.1</v>
      </c>
      <c r="N887">
        <v>1</v>
      </c>
      <c r="O887" s="1">
        <v>0.9</v>
      </c>
      <c r="P887" s="1">
        <f t="shared" si="55"/>
        <v>0.9</v>
      </c>
    </row>
    <row r="888" spans="1:16" x14ac:dyDescent="0.35">
      <c r="A888" t="s">
        <v>1844</v>
      </c>
      <c r="B888" t="s">
        <v>1845</v>
      </c>
      <c r="C888" t="str">
        <f t="shared" si="52"/>
        <v>Lindsey Wang</v>
      </c>
      <c r="D888" t="s">
        <v>38</v>
      </c>
      <c r="E888" t="str">
        <f t="shared" si="53"/>
        <v>Female</v>
      </c>
      <c r="F888" s="12">
        <v>50</v>
      </c>
      <c r="G888" t="s">
        <v>64</v>
      </c>
      <c r="H888" s="12" t="s">
        <v>22</v>
      </c>
      <c r="I888" t="s">
        <v>86</v>
      </c>
      <c r="J888" s="12">
        <v>11</v>
      </c>
      <c r="K888" s="3">
        <v>40</v>
      </c>
      <c r="L888" s="14">
        <f t="shared" si="54"/>
        <v>40</v>
      </c>
      <c r="M888" s="12">
        <v>4.9000000000000004</v>
      </c>
      <c r="N888">
        <v>1</v>
      </c>
      <c r="O888" s="1">
        <v>0.88</v>
      </c>
      <c r="P888" s="1">
        <f t="shared" si="55"/>
        <v>0.88</v>
      </c>
    </row>
    <row r="889" spans="1:16" x14ac:dyDescent="0.35">
      <c r="A889" t="s">
        <v>1846</v>
      </c>
      <c r="B889" t="s">
        <v>1847</v>
      </c>
      <c r="C889" t="str">
        <f t="shared" si="52"/>
        <v>Margaret Schwartz</v>
      </c>
      <c r="D889" t="s">
        <v>74</v>
      </c>
      <c r="E889" t="str">
        <f t="shared" si="53"/>
        <v>Female</v>
      </c>
      <c r="F889" s="12">
        <v>24</v>
      </c>
      <c r="G889" t="s">
        <v>47</v>
      </c>
      <c r="H889" s="12" t="s">
        <v>48</v>
      </c>
      <c r="I889" t="s">
        <v>49</v>
      </c>
      <c r="J889" s="12">
        <v>11</v>
      </c>
      <c r="K889" s="3">
        <v>20</v>
      </c>
      <c r="L889" s="14">
        <f t="shared" si="54"/>
        <v>20</v>
      </c>
      <c r="M889" s="12">
        <v>0</v>
      </c>
      <c r="N889">
        <v>0</v>
      </c>
      <c r="O889" s="1">
        <v>0.76</v>
      </c>
      <c r="P889" s="1">
        <f t="shared" si="55"/>
        <v>0.76</v>
      </c>
    </row>
    <row r="890" spans="1:16" x14ac:dyDescent="0.35">
      <c r="A890" t="s">
        <v>1848</v>
      </c>
      <c r="B890" t="s">
        <v>1849</v>
      </c>
      <c r="C890" t="str">
        <f t="shared" si="52"/>
        <v>Kyle Ray</v>
      </c>
      <c r="D890" t="s">
        <v>27</v>
      </c>
      <c r="E890" t="str">
        <f t="shared" si="53"/>
        <v>Male</v>
      </c>
      <c r="F890" s="12">
        <v>38</v>
      </c>
      <c r="G890" t="s">
        <v>15</v>
      </c>
      <c r="H890" s="12" t="s">
        <v>16</v>
      </c>
      <c r="I890" t="s">
        <v>35</v>
      </c>
      <c r="J890" s="12">
        <v>14</v>
      </c>
      <c r="K890" s="3">
        <v>75</v>
      </c>
      <c r="L890" s="14">
        <f t="shared" si="54"/>
        <v>75</v>
      </c>
      <c r="M890" s="12">
        <v>1.5</v>
      </c>
      <c r="N890">
        <v>0</v>
      </c>
      <c r="O890" s="1">
        <v>0.62</v>
      </c>
      <c r="P890" s="1">
        <f t="shared" si="55"/>
        <v>0.62</v>
      </c>
    </row>
    <row r="891" spans="1:16" x14ac:dyDescent="0.35">
      <c r="A891" t="s">
        <v>1850</v>
      </c>
      <c r="B891" t="s">
        <v>1851</v>
      </c>
      <c r="C891" t="str">
        <f t="shared" si="52"/>
        <v>Isaac Hebert</v>
      </c>
      <c r="D891" t="s">
        <v>59</v>
      </c>
      <c r="E891" t="str">
        <f t="shared" si="53"/>
        <v>Male</v>
      </c>
      <c r="F891" s="12">
        <v>56</v>
      </c>
      <c r="G891" t="s">
        <v>82</v>
      </c>
      <c r="H891" s="12" t="s">
        <v>83</v>
      </c>
      <c r="I891" t="s">
        <v>86</v>
      </c>
      <c r="J891" s="12">
        <v>2</v>
      </c>
      <c r="K891" s="3">
        <v>75</v>
      </c>
      <c r="L891" s="14">
        <f t="shared" si="54"/>
        <v>75</v>
      </c>
      <c r="M891" s="12">
        <v>2.4</v>
      </c>
      <c r="N891">
        <v>0</v>
      </c>
      <c r="O891">
        <v>16</v>
      </c>
      <c r="P891" s="1">
        <f t="shared" si="55"/>
        <v>0.16</v>
      </c>
    </row>
    <row r="892" spans="1:16" x14ac:dyDescent="0.35">
      <c r="A892" t="s">
        <v>1852</v>
      </c>
      <c r="B892" t="s">
        <v>1853</v>
      </c>
      <c r="C892" t="str">
        <f t="shared" si="52"/>
        <v>Michele Jones</v>
      </c>
      <c r="D892" t="s">
        <v>38</v>
      </c>
      <c r="E892" t="str">
        <f t="shared" si="53"/>
        <v>Female</v>
      </c>
      <c r="F892" s="12">
        <v>41</v>
      </c>
      <c r="G892" t="s">
        <v>120</v>
      </c>
      <c r="H892" s="12" t="s">
        <v>121</v>
      </c>
      <c r="I892" t="s">
        <v>86</v>
      </c>
      <c r="J892" s="12">
        <v>2</v>
      </c>
      <c r="K892" s="3" t="s">
        <v>24</v>
      </c>
      <c r="L892" s="14" t="str">
        <f t="shared" si="54"/>
        <v>$ 100</v>
      </c>
      <c r="M892" s="12">
        <v>4.5</v>
      </c>
      <c r="N892">
        <v>0</v>
      </c>
      <c r="O892">
        <v>75</v>
      </c>
      <c r="P892" s="1">
        <f t="shared" si="55"/>
        <v>0.75</v>
      </c>
    </row>
    <row r="893" spans="1:16" x14ac:dyDescent="0.35">
      <c r="A893" t="s">
        <v>1854</v>
      </c>
      <c r="B893" t="s">
        <v>1855</v>
      </c>
      <c r="C893" t="str">
        <f t="shared" si="52"/>
        <v>Austin Allen</v>
      </c>
      <c r="D893" t="s">
        <v>94</v>
      </c>
      <c r="E893" t="str">
        <f t="shared" si="53"/>
        <v>Male</v>
      </c>
      <c r="F893" s="12">
        <v>41</v>
      </c>
      <c r="G893" t="s">
        <v>15</v>
      </c>
      <c r="H893" s="12" t="s">
        <v>16</v>
      </c>
      <c r="I893" t="s">
        <v>70</v>
      </c>
      <c r="J893" s="12">
        <v>11</v>
      </c>
      <c r="K893" s="3" t="s">
        <v>24</v>
      </c>
      <c r="L893" s="14" t="str">
        <f t="shared" si="54"/>
        <v>$ 100</v>
      </c>
      <c r="M893" s="12">
        <v>2.5</v>
      </c>
      <c r="N893">
        <v>1</v>
      </c>
      <c r="O893">
        <v>80</v>
      </c>
      <c r="P893" s="1">
        <f t="shared" si="55"/>
        <v>0.8</v>
      </c>
    </row>
    <row r="894" spans="1:16" x14ac:dyDescent="0.35">
      <c r="A894" t="s">
        <v>1856</v>
      </c>
      <c r="B894" t="s">
        <v>1857</v>
      </c>
      <c r="C894" t="str">
        <f t="shared" si="52"/>
        <v>Haley Castro</v>
      </c>
      <c r="D894" t="s">
        <v>38</v>
      </c>
      <c r="E894" t="str">
        <f t="shared" si="53"/>
        <v>Female</v>
      </c>
      <c r="F894" s="12">
        <v>42</v>
      </c>
      <c r="G894" t="s">
        <v>28</v>
      </c>
      <c r="H894" s="12" t="s">
        <v>29</v>
      </c>
      <c r="I894" t="s">
        <v>30</v>
      </c>
      <c r="J894" s="12">
        <v>13</v>
      </c>
      <c r="K894" s="3">
        <v>30</v>
      </c>
      <c r="L894" s="14">
        <f t="shared" si="54"/>
        <v>30</v>
      </c>
      <c r="M894" s="12">
        <v>3.3</v>
      </c>
      <c r="N894">
        <v>1</v>
      </c>
      <c r="O894" s="1">
        <v>0.63</v>
      </c>
      <c r="P894" s="1">
        <f t="shared" si="55"/>
        <v>0.63</v>
      </c>
    </row>
    <row r="895" spans="1:16" x14ac:dyDescent="0.35">
      <c r="A895" t="s">
        <v>1858</v>
      </c>
      <c r="B895" t="s">
        <v>1859</v>
      </c>
      <c r="C895" t="str">
        <f t="shared" si="52"/>
        <v>David Armstrong</v>
      </c>
      <c r="D895" t="s">
        <v>94</v>
      </c>
      <c r="E895" t="str">
        <f t="shared" si="53"/>
        <v>Male</v>
      </c>
      <c r="F895" s="12">
        <v>26</v>
      </c>
      <c r="G895" t="s">
        <v>90</v>
      </c>
      <c r="H895" s="12" t="s">
        <v>91</v>
      </c>
      <c r="I895" t="s">
        <v>17</v>
      </c>
      <c r="J895" s="12">
        <v>7</v>
      </c>
      <c r="K895" s="3">
        <v>75</v>
      </c>
      <c r="L895" s="14">
        <f t="shared" si="54"/>
        <v>75</v>
      </c>
      <c r="M895" s="12">
        <v>3</v>
      </c>
      <c r="N895">
        <v>1</v>
      </c>
      <c r="O895" s="1">
        <v>0.84</v>
      </c>
      <c r="P895" s="1">
        <f t="shared" si="55"/>
        <v>0.84</v>
      </c>
    </row>
    <row r="896" spans="1:16" x14ac:dyDescent="0.35">
      <c r="A896" t="s">
        <v>1860</v>
      </c>
      <c r="B896" t="s">
        <v>1861</v>
      </c>
      <c r="C896" t="str">
        <f t="shared" si="52"/>
        <v>Wendy Mitchell</v>
      </c>
      <c r="D896" t="s">
        <v>38</v>
      </c>
      <c r="E896" t="str">
        <f t="shared" si="53"/>
        <v>Female</v>
      </c>
      <c r="F896" s="12">
        <v>44</v>
      </c>
      <c r="G896" t="s">
        <v>124</v>
      </c>
      <c r="H896" s="12" t="s">
        <v>22</v>
      </c>
      <c r="I896" t="s">
        <v>75</v>
      </c>
      <c r="J896" s="12">
        <v>25</v>
      </c>
      <c r="K896" s="3">
        <v>75</v>
      </c>
      <c r="L896" s="14">
        <f t="shared" si="54"/>
        <v>75</v>
      </c>
      <c r="M896" s="12">
        <v>2.7</v>
      </c>
      <c r="N896">
        <v>1</v>
      </c>
      <c r="O896">
        <v>78</v>
      </c>
      <c r="P896" s="1">
        <f t="shared" si="55"/>
        <v>0.78</v>
      </c>
    </row>
    <row r="897" spans="1:16" x14ac:dyDescent="0.35">
      <c r="A897" t="s">
        <v>1862</v>
      </c>
      <c r="B897" t="s">
        <v>1863</v>
      </c>
      <c r="C897" t="str">
        <f t="shared" si="52"/>
        <v>Anthony Hernandez</v>
      </c>
      <c r="D897" t="s">
        <v>59</v>
      </c>
      <c r="E897" t="str">
        <f t="shared" si="53"/>
        <v>Male</v>
      </c>
      <c r="F897" s="12">
        <v>46</v>
      </c>
      <c r="G897" t="s">
        <v>124</v>
      </c>
      <c r="H897" s="12" t="s">
        <v>22</v>
      </c>
      <c r="I897" t="s">
        <v>30</v>
      </c>
      <c r="J897" s="12">
        <v>20</v>
      </c>
      <c r="K897" s="3">
        <v>20</v>
      </c>
      <c r="L897" s="14">
        <f t="shared" si="54"/>
        <v>20</v>
      </c>
      <c r="M897" s="12">
        <v>1.2</v>
      </c>
      <c r="N897">
        <v>0</v>
      </c>
      <c r="O897" s="1">
        <v>0.74</v>
      </c>
      <c r="P897" s="1">
        <f t="shared" si="55"/>
        <v>0.74</v>
      </c>
    </row>
    <row r="898" spans="1:16" x14ac:dyDescent="0.35">
      <c r="A898" t="s">
        <v>1864</v>
      </c>
      <c r="B898" t="s">
        <v>1865</v>
      </c>
      <c r="C898" t="str">
        <f t="shared" si="52"/>
        <v>Erica Johnson</v>
      </c>
      <c r="D898" t="s">
        <v>38</v>
      </c>
      <c r="E898" t="str">
        <f t="shared" si="53"/>
        <v>Female</v>
      </c>
      <c r="F898" s="12">
        <v>36</v>
      </c>
      <c r="G898" t="s">
        <v>56</v>
      </c>
      <c r="H898" s="12" t="s">
        <v>22</v>
      </c>
      <c r="I898" t="s">
        <v>70</v>
      </c>
      <c r="J898" s="12">
        <v>8</v>
      </c>
      <c r="K898" s="3">
        <v>50</v>
      </c>
      <c r="L898" s="14">
        <f t="shared" si="54"/>
        <v>50</v>
      </c>
      <c r="M898" s="12">
        <v>4.3</v>
      </c>
      <c r="N898">
        <v>0</v>
      </c>
      <c r="O898" s="1">
        <v>0.9</v>
      </c>
      <c r="P898" s="1">
        <f t="shared" si="55"/>
        <v>0.9</v>
      </c>
    </row>
    <row r="899" spans="1:16" x14ac:dyDescent="0.35">
      <c r="A899" t="s">
        <v>1866</v>
      </c>
      <c r="B899" t="s">
        <v>1867</v>
      </c>
      <c r="C899" t="str">
        <f t="shared" ref="C899:C962" si="56">PROPER(B899)</f>
        <v>Randall Barrett</v>
      </c>
      <c r="D899" t="s">
        <v>94</v>
      </c>
      <c r="E899" t="str">
        <f t="shared" ref="E899:E962" si="57">PROPER(D899)</f>
        <v>Male</v>
      </c>
      <c r="F899" s="12">
        <v>26</v>
      </c>
      <c r="G899" t="s">
        <v>41</v>
      </c>
      <c r="H899" s="12" t="s">
        <v>42</v>
      </c>
      <c r="I899" t="s">
        <v>43</v>
      </c>
      <c r="J899" s="12">
        <v>6</v>
      </c>
      <c r="K899" s="3">
        <v>40</v>
      </c>
      <c r="L899" s="14">
        <f t="shared" ref="L899:L962" si="58">IF(K899="","",IF(LEFT(K899,3)="USD","$"&amp;MID(K899,4,LEN(K899)-3),K899))</f>
        <v>40</v>
      </c>
      <c r="M899" s="12">
        <v>1.3</v>
      </c>
      <c r="N899">
        <v>0</v>
      </c>
      <c r="O899">
        <v>16</v>
      </c>
      <c r="P899" s="1">
        <f t="shared" ref="P899:P962" si="59">IF(O899="","",IF(O899&lt;1,O899,O899/100))</f>
        <v>0.16</v>
      </c>
    </row>
    <row r="900" spans="1:16" x14ac:dyDescent="0.35">
      <c r="A900" t="s">
        <v>1868</v>
      </c>
      <c r="B900" t="s">
        <v>1869</v>
      </c>
      <c r="C900" t="str">
        <f t="shared" si="56"/>
        <v>Nathan Huff</v>
      </c>
      <c r="D900" t="s">
        <v>27</v>
      </c>
      <c r="E900" t="str">
        <f t="shared" si="57"/>
        <v>Male</v>
      </c>
      <c r="F900" s="12">
        <v>21</v>
      </c>
      <c r="G900" t="s">
        <v>28</v>
      </c>
      <c r="H900" s="12" t="s">
        <v>29</v>
      </c>
      <c r="I900" t="s">
        <v>70</v>
      </c>
      <c r="J900" s="12">
        <v>3</v>
      </c>
      <c r="K900" s="3">
        <v>50</v>
      </c>
      <c r="L900" s="14">
        <f t="shared" si="58"/>
        <v>50</v>
      </c>
      <c r="M900" s="12">
        <v>4.5999999999999996</v>
      </c>
      <c r="N900">
        <v>1</v>
      </c>
      <c r="O900">
        <v>16</v>
      </c>
      <c r="P900" s="1">
        <f t="shared" si="59"/>
        <v>0.16</v>
      </c>
    </row>
    <row r="901" spans="1:16" x14ac:dyDescent="0.35">
      <c r="A901" t="s">
        <v>1870</v>
      </c>
      <c r="B901" t="s">
        <v>1871</v>
      </c>
      <c r="C901" t="str">
        <f t="shared" si="56"/>
        <v>Robin Walsh</v>
      </c>
      <c r="D901" t="s">
        <v>38</v>
      </c>
      <c r="E901" t="str">
        <f t="shared" si="57"/>
        <v>Female</v>
      </c>
      <c r="F901" s="12">
        <v>39</v>
      </c>
      <c r="G901" t="s">
        <v>47</v>
      </c>
      <c r="H901" s="12" t="s">
        <v>48</v>
      </c>
      <c r="I901" t="s">
        <v>70</v>
      </c>
      <c r="J901" s="12">
        <v>18</v>
      </c>
      <c r="K901" s="3">
        <v>50</v>
      </c>
      <c r="L901" s="14">
        <f t="shared" si="58"/>
        <v>50</v>
      </c>
      <c r="M901" s="12">
        <v>2.1</v>
      </c>
      <c r="N901">
        <v>0</v>
      </c>
      <c r="O901">
        <v>75</v>
      </c>
      <c r="P901" s="1">
        <f t="shared" si="59"/>
        <v>0.75</v>
      </c>
    </row>
    <row r="902" spans="1:16" x14ac:dyDescent="0.35">
      <c r="A902" t="s">
        <v>1872</v>
      </c>
      <c r="B902" t="s">
        <v>1873</v>
      </c>
      <c r="C902" t="str">
        <f t="shared" si="56"/>
        <v>Yvonne Robinson</v>
      </c>
      <c r="D902" t="s">
        <v>74</v>
      </c>
      <c r="E902" t="str">
        <f t="shared" si="57"/>
        <v>Female</v>
      </c>
      <c r="F902" s="12">
        <v>37</v>
      </c>
      <c r="G902" t="s">
        <v>56</v>
      </c>
      <c r="H902" s="12" t="s">
        <v>22</v>
      </c>
      <c r="I902" t="s">
        <v>17</v>
      </c>
      <c r="J902" s="12">
        <v>18</v>
      </c>
      <c r="K902" s="3">
        <v>40</v>
      </c>
      <c r="L902" s="14">
        <f t="shared" si="58"/>
        <v>40</v>
      </c>
      <c r="M902" s="12">
        <v>4.5</v>
      </c>
      <c r="N902">
        <v>1</v>
      </c>
      <c r="O902" s="1">
        <v>0.72</v>
      </c>
      <c r="P902" s="1">
        <f t="shared" si="59"/>
        <v>0.72</v>
      </c>
    </row>
    <row r="903" spans="1:16" x14ac:dyDescent="0.35">
      <c r="A903" t="s">
        <v>1874</v>
      </c>
      <c r="B903" t="s">
        <v>1875</v>
      </c>
      <c r="C903" t="str">
        <f t="shared" si="56"/>
        <v>Kathleen Hendrix</v>
      </c>
      <c r="D903" t="s">
        <v>74</v>
      </c>
      <c r="E903" t="str">
        <f t="shared" si="57"/>
        <v>Female</v>
      </c>
      <c r="F903" s="12">
        <v>47</v>
      </c>
      <c r="G903" t="s">
        <v>120</v>
      </c>
      <c r="H903" s="12" t="s">
        <v>121</v>
      </c>
      <c r="I903" t="s">
        <v>70</v>
      </c>
      <c r="J903" s="12">
        <v>3</v>
      </c>
      <c r="K903" s="3">
        <v>40</v>
      </c>
      <c r="L903" s="14">
        <f t="shared" si="58"/>
        <v>40</v>
      </c>
      <c r="M903" s="12">
        <v>4.4000000000000004</v>
      </c>
      <c r="N903">
        <v>1</v>
      </c>
      <c r="O903" s="1">
        <v>0.92</v>
      </c>
      <c r="P903" s="1">
        <f t="shared" si="59"/>
        <v>0.92</v>
      </c>
    </row>
    <row r="904" spans="1:16" x14ac:dyDescent="0.35">
      <c r="A904" t="s">
        <v>1876</v>
      </c>
      <c r="B904" t="s">
        <v>1877</v>
      </c>
      <c r="C904" t="str">
        <f t="shared" si="56"/>
        <v>Jennifer Baker</v>
      </c>
      <c r="D904" t="s">
        <v>20</v>
      </c>
      <c r="E904" t="str">
        <f t="shared" si="57"/>
        <v>Female</v>
      </c>
      <c r="F904" s="12">
        <v>53</v>
      </c>
      <c r="G904" t="s">
        <v>120</v>
      </c>
      <c r="H904" s="12" t="s">
        <v>121</v>
      </c>
      <c r="I904" t="s">
        <v>30</v>
      </c>
      <c r="J904" s="12">
        <v>32</v>
      </c>
      <c r="K904" s="3" t="s">
        <v>308</v>
      </c>
      <c r="L904" s="14" t="str">
        <f t="shared" si="58"/>
        <v>$ 20</v>
      </c>
      <c r="M904" s="12">
        <v>0</v>
      </c>
      <c r="N904">
        <v>0</v>
      </c>
      <c r="O904">
        <v>16</v>
      </c>
      <c r="P904" s="1">
        <f t="shared" si="59"/>
        <v>0.16</v>
      </c>
    </row>
    <row r="905" spans="1:16" x14ac:dyDescent="0.35">
      <c r="A905" t="s">
        <v>1878</v>
      </c>
      <c r="B905" t="s">
        <v>1879</v>
      </c>
      <c r="C905" t="str">
        <f t="shared" si="56"/>
        <v>Kim Martinez</v>
      </c>
      <c r="D905" t="s">
        <v>38</v>
      </c>
      <c r="E905" t="str">
        <f t="shared" si="57"/>
        <v>Female</v>
      </c>
      <c r="F905" s="12">
        <v>53</v>
      </c>
      <c r="G905" t="s">
        <v>68</v>
      </c>
      <c r="H905" s="12" t="s">
        <v>69</v>
      </c>
      <c r="I905" t="s">
        <v>23</v>
      </c>
      <c r="J905" s="12">
        <v>19</v>
      </c>
      <c r="K905" s="3" t="s">
        <v>308</v>
      </c>
      <c r="L905" s="14" t="str">
        <f t="shared" si="58"/>
        <v>$ 20</v>
      </c>
      <c r="M905" s="12">
        <v>1.3</v>
      </c>
      <c r="N905">
        <v>0</v>
      </c>
      <c r="O905">
        <v>16</v>
      </c>
      <c r="P905" s="1">
        <f t="shared" si="59"/>
        <v>0.16</v>
      </c>
    </row>
    <row r="906" spans="1:16" x14ac:dyDescent="0.35">
      <c r="A906" t="s">
        <v>1880</v>
      </c>
      <c r="B906" t="s">
        <v>1881</v>
      </c>
      <c r="C906" t="str">
        <f t="shared" si="56"/>
        <v>Andrew Little</v>
      </c>
      <c r="D906" t="s">
        <v>27</v>
      </c>
      <c r="E906" t="str">
        <f t="shared" si="57"/>
        <v>Male</v>
      </c>
      <c r="F906" s="12">
        <v>21</v>
      </c>
      <c r="G906" t="s">
        <v>90</v>
      </c>
      <c r="H906" s="12" t="s">
        <v>91</v>
      </c>
      <c r="I906" t="s">
        <v>49</v>
      </c>
      <c r="J906" s="12">
        <v>2</v>
      </c>
      <c r="K906" s="3">
        <v>50</v>
      </c>
      <c r="L906" s="14">
        <f t="shared" si="58"/>
        <v>50</v>
      </c>
      <c r="M906" s="12">
        <v>2.6</v>
      </c>
      <c r="N906">
        <v>0</v>
      </c>
      <c r="O906" s="1">
        <v>0.86</v>
      </c>
      <c r="P906" s="1">
        <f t="shared" si="59"/>
        <v>0.86</v>
      </c>
    </row>
    <row r="907" spans="1:16" x14ac:dyDescent="0.35">
      <c r="A907" t="s">
        <v>1882</v>
      </c>
      <c r="B907" t="s">
        <v>1883</v>
      </c>
      <c r="C907" t="str">
        <f t="shared" si="56"/>
        <v>Kelly Shelton</v>
      </c>
      <c r="D907" t="s">
        <v>38</v>
      </c>
      <c r="E907" t="str">
        <f t="shared" si="57"/>
        <v>Female</v>
      </c>
      <c r="F907" s="12">
        <v>35</v>
      </c>
      <c r="G907" t="s">
        <v>64</v>
      </c>
      <c r="H907" s="12" t="s">
        <v>22</v>
      </c>
      <c r="I907" t="s">
        <v>17</v>
      </c>
      <c r="J907" s="12">
        <v>11</v>
      </c>
      <c r="K907" s="3">
        <v>40</v>
      </c>
      <c r="L907" s="14">
        <f t="shared" si="58"/>
        <v>40</v>
      </c>
      <c r="M907" s="12">
        <v>3</v>
      </c>
      <c r="N907">
        <v>1</v>
      </c>
      <c r="O907">
        <v>85</v>
      </c>
      <c r="P907" s="1">
        <f t="shared" si="59"/>
        <v>0.85</v>
      </c>
    </row>
    <row r="908" spans="1:16" x14ac:dyDescent="0.35">
      <c r="A908" t="s">
        <v>1884</v>
      </c>
      <c r="B908" t="s">
        <v>1885</v>
      </c>
      <c r="C908" t="str">
        <f t="shared" si="56"/>
        <v>Steven Duncan</v>
      </c>
      <c r="D908" t="s">
        <v>94</v>
      </c>
      <c r="E908" t="str">
        <f t="shared" si="57"/>
        <v>Male</v>
      </c>
      <c r="F908" s="12">
        <v>31</v>
      </c>
      <c r="G908" t="s">
        <v>68</v>
      </c>
      <c r="H908" s="12" t="s">
        <v>69</v>
      </c>
      <c r="I908" t="s">
        <v>111</v>
      </c>
      <c r="J908" s="12">
        <v>13</v>
      </c>
      <c r="K908" s="3">
        <v>40</v>
      </c>
      <c r="L908" s="14">
        <f t="shared" si="58"/>
        <v>40</v>
      </c>
      <c r="M908" s="12">
        <v>1.2</v>
      </c>
      <c r="N908">
        <v>0</v>
      </c>
      <c r="O908">
        <v>62</v>
      </c>
      <c r="P908" s="1">
        <f t="shared" si="59"/>
        <v>0.62</v>
      </c>
    </row>
    <row r="909" spans="1:16" x14ac:dyDescent="0.35">
      <c r="A909" t="s">
        <v>1886</v>
      </c>
      <c r="B909" t="s">
        <v>1887</v>
      </c>
      <c r="C909" t="str">
        <f t="shared" si="56"/>
        <v>Kristen Haney</v>
      </c>
      <c r="D909" t="s">
        <v>74</v>
      </c>
      <c r="E909" t="str">
        <f t="shared" si="57"/>
        <v>Female</v>
      </c>
      <c r="F909" s="12">
        <v>55</v>
      </c>
      <c r="G909" t="s">
        <v>109</v>
      </c>
      <c r="H909" s="12" t="s">
        <v>110</v>
      </c>
      <c r="I909" t="s">
        <v>43</v>
      </c>
      <c r="J909" s="12">
        <v>2</v>
      </c>
      <c r="K909" s="3" t="s">
        <v>106</v>
      </c>
      <c r="L909" s="14" t="str">
        <f t="shared" si="58"/>
        <v>$ 30</v>
      </c>
      <c r="M909" s="12">
        <v>3.1</v>
      </c>
      <c r="N909">
        <v>1</v>
      </c>
      <c r="O909" s="1">
        <v>0.91</v>
      </c>
      <c r="P909" s="1">
        <f t="shared" si="59"/>
        <v>0.91</v>
      </c>
    </row>
    <row r="910" spans="1:16" x14ac:dyDescent="0.35">
      <c r="A910" t="s">
        <v>1888</v>
      </c>
      <c r="B910" t="s">
        <v>1889</v>
      </c>
      <c r="C910" t="str">
        <f t="shared" si="56"/>
        <v>Kathy Reese</v>
      </c>
      <c r="D910" t="s">
        <v>38</v>
      </c>
      <c r="E910" t="str">
        <f t="shared" si="57"/>
        <v>Female</v>
      </c>
      <c r="F910" s="12">
        <v>59</v>
      </c>
      <c r="G910" t="s">
        <v>60</v>
      </c>
      <c r="H910" s="12" t="s">
        <v>61</v>
      </c>
      <c r="I910" t="s">
        <v>35</v>
      </c>
      <c r="J910" s="12">
        <v>11</v>
      </c>
      <c r="K910" s="3">
        <v>75</v>
      </c>
      <c r="L910" s="14">
        <f t="shared" si="58"/>
        <v>75</v>
      </c>
      <c r="M910" s="12">
        <v>2.2999999999999998</v>
      </c>
      <c r="N910">
        <v>1</v>
      </c>
      <c r="O910" s="1">
        <v>0.8</v>
      </c>
      <c r="P910" s="1">
        <f t="shared" si="59"/>
        <v>0.8</v>
      </c>
    </row>
    <row r="911" spans="1:16" x14ac:dyDescent="0.35">
      <c r="A911" t="s">
        <v>1890</v>
      </c>
      <c r="B911" t="s">
        <v>1891</v>
      </c>
      <c r="C911" t="str">
        <f t="shared" si="56"/>
        <v>Steven Murphy</v>
      </c>
      <c r="D911" t="s">
        <v>59</v>
      </c>
      <c r="E911" t="str">
        <f t="shared" si="57"/>
        <v>Male</v>
      </c>
      <c r="F911" s="12">
        <v>59</v>
      </c>
      <c r="G911" t="s">
        <v>131</v>
      </c>
      <c r="H911" s="12" t="s">
        <v>132</v>
      </c>
      <c r="I911" t="s">
        <v>75</v>
      </c>
      <c r="J911" s="12">
        <v>17</v>
      </c>
      <c r="K911" s="3">
        <v>100</v>
      </c>
      <c r="L911" s="14">
        <f t="shared" si="58"/>
        <v>100</v>
      </c>
      <c r="M911" s="12">
        <v>4</v>
      </c>
      <c r="N911">
        <v>1</v>
      </c>
      <c r="O911" s="1">
        <v>0.72</v>
      </c>
      <c r="P911" s="1">
        <f t="shared" si="59"/>
        <v>0.72</v>
      </c>
    </row>
    <row r="912" spans="1:16" x14ac:dyDescent="0.35">
      <c r="A912" t="s">
        <v>1892</v>
      </c>
      <c r="B912" t="s">
        <v>1893</v>
      </c>
      <c r="C912" t="str">
        <f t="shared" si="56"/>
        <v>William Hartman</v>
      </c>
      <c r="D912" t="s">
        <v>27</v>
      </c>
      <c r="E912" t="str">
        <f t="shared" si="57"/>
        <v>Male</v>
      </c>
      <c r="F912" s="12">
        <v>47</v>
      </c>
      <c r="G912" t="s">
        <v>90</v>
      </c>
      <c r="H912" s="12" t="s">
        <v>91</v>
      </c>
      <c r="I912" t="s">
        <v>17</v>
      </c>
      <c r="J912" s="12">
        <v>10</v>
      </c>
      <c r="K912" s="3">
        <v>75</v>
      </c>
      <c r="L912" s="14">
        <f t="shared" si="58"/>
        <v>75</v>
      </c>
      <c r="M912" s="12">
        <v>1.9</v>
      </c>
      <c r="N912">
        <v>1</v>
      </c>
      <c r="O912">
        <v>16</v>
      </c>
      <c r="P912" s="1">
        <f t="shared" si="59"/>
        <v>0.16</v>
      </c>
    </row>
    <row r="913" spans="1:16" x14ac:dyDescent="0.35">
      <c r="A913" t="s">
        <v>1894</v>
      </c>
      <c r="B913" t="s">
        <v>1895</v>
      </c>
      <c r="C913" t="str">
        <f t="shared" si="56"/>
        <v>Sonya Haley</v>
      </c>
      <c r="D913" t="s">
        <v>38</v>
      </c>
      <c r="E913" t="str">
        <f t="shared" si="57"/>
        <v>Female</v>
      </c>
      <c r="F913" s="12">
        <v>53</v>
      </c>
      <c r="G913" t="s">
        <v>149</v>
      </c>
      <c r="H913" s="12" t="s">
        <v>150</v>
      </c>
      <c r="I913" t="s">
        <v>111</v>
      </c>
      <c r="J913" s="12">
        <v>26</v>
      </c>
      <c r="K913" s="3">
        <v>75</v>
      </c>
      <c r="L913" s="14">
        <f t="shared" si="58"/>
        <v>75</v>
      </c>
      <c r="M913" s="12">
        <v>2.4</v>
      </c>
      <c r="N913">
        <v>1</v>
      </c>
      <c r="O913">
        <v>16</v>
      </c>
      <c r="P913" s="1">
        <f t="shared" si="59"/>
        <v>0.16</v>
      </c>
    </row>
    <row r="914" spans="1:16" x14ac:dyDescent="0.35">
      <c r="A914" t="s">
        <v>1896</v>
      </c>
      <c r="B914" t="s">
        <v>513</v>
      </c>
      <c r="C914" t="str">
        <f t="shared" si="56"/>
        <v>Robert Evans</v>
      </c>
      <c r="D914" t="s">
        <v>59</v>
      </c>
      <c r="E914" t="str">
        <f t="shared" si="57"/>
        <v>Male</v>
      </c>
      <c r="F914" s="12">
        <v>49</v>
      </c>
      <c r="G914" t="s">
        <v>149</v>
      </c>
      <c r="H914" s="12" t="s">
        <v>150</v>
      </c>
      <c r="I914" t="s">
        <v>49</v>
      </c>
      <c r="J914" s="12">
        <v>11</v>
      </c>
      <c r="K914" s="3">
        <v>30</v>
      </c>
      <c r="L914" s="14">
        <f t="shared" si="58"/>
        <v>30</v>
      </c>
      <c r="M914" s="12">
        <v>3</v>
      </c>
      <c r="N914">
        <v>1</v>
      </c>
      <c r="O914" s="1">
        <v>0.74</v>
      </c>
      <c r="P914" s="1">
        <f t="shared" si="59"/>
        <v>0.74</v>
      </c>
    </row>
    <row r="915" spans="1:16" x14ac:dyDescent="0.35">
      <c r="A915" t="s">
        <v>1897</v>
      </c>
      <c r="B915" t="s">
        <v>1898</v>
      </c>
      <c r="C915" t="str">
        <f t="shared" si="56"/>
        <v>Patricia Richardson</v>
      </c>
      <c r="D915" t="s">
        <v>38</v>
      </c>
      <c r="E915" t="str">
        <f t="shared" si="57"/>
        <v>Female</v>
      </c>
      <c r="F915" s="12">
        <v>50</v>
      </c>
      <c r="G915" t="s">
        <v>149</v>
      </c>
      <c r="H915" s="12" t="s">
        <v>150</v>
      </c>
      <c r="I915" t="s">
        <v>23</v>
      </c>
      <c r="J915" s="12">
        <v>8</v>
      </c>
      <c r="K915" s="3" t="s">
        <v>95</v>
      </c>
      <c r="L915" s="14" t="str">
        <f t="shared" si="58"/>
        <v>$ 50</v>
      </c>
      <c r="M915" s="12">
        <v>3.7</v>
      </c>
      <c r="N915">
        <v>1</v>
      </c>
      <c r="O915" s="1">
        <v>0.82</v>
      </c>
      <c r="P915" s="1">
        <f t="shared" si="59"/>
        <v>0.82</v>
      </c>
    </row>
    <row r="916" spans="1:16" x14ac:dyDescent="0.35">
      <c r="A916" t="s">
        <v>1899</v>
      </c>
      <c r="B916" t="s">
        <v>1900</v>
      </c>
      <c r="C916" t="str">
        <f t="shared" si="56"/>
        <v>Carolyn Lopez</v>
      </c>
      <c r="D916" t="s">
        <v>38</v>
      </c>
      <c r="E916" t="str">
        <f t="shared" si="57"/>
        <v>Female</v>
      </c>
      <c r="F916" s="12">
        <v>59</v>
      </c>
      <c r="G916" t="s">
        <v>109</v>
      </c>
      <c r="H916" s="12" t="s">
        <v>110</v>
      </c>
      <c r="I916" t="s">
        <v>111</v>
      </c>
      <c r="J916" s="12">
        <v>22</v>
      </c>
      <c r="K916" s="3" t="s">
        <v>24</v>
      </c>
      <c r="L916" s="14" t="str">
        <f t="shared" si="58"/>
        <v>$ 100</v>
      </c>
      <c r="M916" s="12">
        <v>1.1000000000000001</v>
      </c>
      <c r="N916">
        <v>1</v>
      </c>
      <c r="O916" s="1">
        <v>0.85</v>
      </c>
      <c r="P916" s="1">
        <f t="shared" si="59"/>
        <v>0.85</v>
      </c>
    </row>
    <row r="917" spans="1:16" x14ac:dyDescent="0.35">
      <c r="A917" t="s">
        <v>1901</v>
      </c>
      <c r="B917" t="s">
        <v>1902</v>
      </c>
      <c r="C917" t="str">
        <f t="shared" si="56"/>
        <v>Kyle Burns</v>
      </c>
      <c r="D917" t="s">
        <v>27</v>
      </c>
      <c r="E917" t="str">
        <f t="shared" si="57"/>
        <v>Male</v>
      </c>
      <c r="F917" s="12">
        <v>33</v>
      </c>
      <c r="G917" t="s">
        <v>60</v>
      </c>
      <c r="H917" s="12" t="s">
        <v>61</v>
      </c>
      <c r="I917" t="s">
        <v>49</v>
      </c>
      <c r="J917" s="12">
        <v>8</v>
      </c>
      <c r="K917" s="3" t="s">
        <v>50</v>
      </c>
      <c r="L917" s="14" t="str">
        <f t="shared" si="58"/>
        <v>$ 75</v>
      </c>
      <c r="M917" s="12">
        <v>2.2999999999999998</v>
      </c>
      <c r="N917">
        <v>1</v>
      </c>
      <c r="O917" s="1">
        <v>0.68</v>
      </c>
      <c r="P917" s="1">
        <f t="shared" si="59"/>
        <v>0.68</v>
      </c>
    </row>
    <row r="918" spans="1:16" x14ac:dyDescent="0.35">
      <c r="A918" t="s">
        <v>1903</v>
      </c>
      <c r="B918" t="s">
        <v>1904</v>
      </c>
      <c r="C918" t="str">
        <f t="shared" si="56"/>
        <v>Margaret Garcia</v>
      </c>
      <c r="D918" t="s">
        <v>38</v>
      </c>
      <c r="E918" t="str">
        <f t="shared" si="57"/>
        <v>Female</v>
      </c>
      <c r="F918" s="12">
        <v>45</v>
      </c>
      <c r="G918" t="s">
        <v>124</v>
      </c>
      <c r="H918" s="12" t="s">
        <v>22</v>
      </c>
      <c r="I918" t="s">
        <v>35</v>
      </c>
      <c r="J918" s="12">
        <v>22</v>
      </c>
      <c r="K918" s="3">
        <v>40</v>
      </c>
      <c r="L918" s="14">
        <f t="shared" si="58"/>
        <v>40</v>
      </c>
      <c r="M918" s="12">
        <v>3.7</v>
      </c>
      <c r="N918">
        <v>1</v>
      </c>
      <c r="O918" s="1">
        <v>0.99</v>
      </c>
      <c r="P918" s="1">
        <f t="shared" si="59"/>
        <v>0.99</v>
      </c>
    </row>
    <row r="919" spans="1:16" x14ac:dyDescent="0.35">
      <c r="A919" t="s">
        <v>1905</v>
      </c>
      <c r="B919" t="s">
        <v>1906</v>
      </c>
      <c r="C919" t="str">
        <f t="shared" si="56"/>
        <v>Brittany Barker</v>
      </c>
      <c r="D919" t="s">
        <v>38</v>
      </c>
      <c r="E919" t="str">
        <f t="shared" si="57"/>
        <v>Female</v>
      </c>
      <c r="F919" s="12">
        <v>36</v>
      </c>
      <c r="G919" t="s">
        <v>15</v>
      </c>
      <c r="H919" s="12" t="s">
        <v>16</v>
      </c>
      <c r="I919" t="s">
        <v>30</v>
      </c>
      <c r="J919" s="12">
        <v>14</v>
      </c>
      <c r="K919" s="3">
        <v>30</v>
      </c>
      <c r="L919" s="14">
        <f t="shared" si="58"/>
        <v>30</v>
      </c>
      <c r="M919" s="12">
        <v>1.9</v>
      </c>
      <c r="N919">
        <v>0</v>
      </c>
      <c r="O919" s="1">
        <v>0.62</v>
      </c>
      <c r="P919" s="1">
        <f t="shared" si="59"/>
        <v>0.62</v>
      </c>
    </row>
    <row r="920" spans="1:16" x14ac:dyDescent="0.35">
      <c r="A920" t="s">
        <v>1907</v>
      </c>
      <c r="B920" t="s">
        <v>1908</v>
      </c>
      <c r="C920" t="str">
        <f t="shared" si="56"/>
        <v>Paul Campbell</v>
      </c>
      <c r="D920" t="s">
        <v>27</v>
      </c>
      <c r="E920" t="str">
        <f t="shared" si="57"/>
        <v>Male</v>
      </c>
      <c r="F920" s="12">
        <v>46</v>
      </c>
      <c r="G920" t="s">
        <v>149</v>
      </c>
      <c r="H920" s="12" t="s">
        <v>150</v>
      </c>
      <c r="I920" t="s">
        <v>70</v>
      </c>
      <c r="J920" s="12">
        <v>6</v>
      </c>
      <c r="K920" s="3">
        <v>30</v>
      </c>
      <c r="L920" s="14">
        <f t="shared" si="58"/>
        <v>30</v>
      </c>
      <c r="M920" s="12">
        <v>1.5</v>
      </c>
      <c r="N920">
        <v>0</v>
      </c>
      <c r="O920">
        <v>16</v>
      </c>
      <c r="P920" s="1">
        <f t="shared" si="59"/>
        <v>0.16</v>
      </c>
    </row>
    <row r="921" spans="1:16" x14ac:dyDescent="0.35">
      <c r="A921" t="s">
        <v>1909</v>
      </c>
      <c r="B921" t="s">
        <v>1910</v>
      </c>
      <c r="C921" t="str">
        <f t="shared" si="56"/>
        <v>Amy Morrow</v>
      </c>
      <c r="D921" t="s">
        <v>38</v>
      </c>
      <c r="E921" t="str">
        <f t="shared" si="57"/>
        <v>Female</v>
      </c>
      <c r="F921" s="12">
        <v>53</v>
      </c>
      <c r="G921" t="s">
        <v>60</v>
      </c>
      <c r="H921" s="12" t="s">
        <v>61</v>
      </c>
      <c r="I921" t="s">
        <v>30</v>
      </c>
      <c r="J921" s="12">
        <v>14</v>
      </c>
      <c r="K921" s="3">
        <v>30</v>
      </c>
      <c r="L921" s="14">
        <f t="shared" si="58"/>
        <v>30</v>
      </c>
      <c r="M921" s="12">
        <v>0</v>
      </c>
      <c r="N921">
        <v>0</v>
      </c>
      <c r="O921" s="1">
        <v>0.83</v>
      </c>
      <c r="P921" s="1">
        <f t="shared" si="59"/>
        <v>0.83</v>
      </c>
    </row>
    <row r="922" spans="1:16" x14ac:dyDescent="0.35">
      <c r="A922" t="s">
        <v>1911</v>
      </c>
      <c r="B922" t="s">
        <v>1912</v>
      </c>
      <c r="C922" t="str">
        <f t="shared" si="56"/>
        <v>Amy Fitzgerald</v>
      </c>
      <c r="D922" t="s">
        <v>38</v>
      </c>
      <c r="E922" t="str">
        <f t="shared" si="57"/>
        <v>Female</v>
      </c>
      <c r="F922" s="12">
        <v>24</v>
      </c>
      <c r="G922" t="s">
        <v>56</v>
      </c>
      <c r="H922" s="12" t="s">
        <v>22</v>
      </c>
      <c r="I922" t="s">
        <v>35</v>
      </c>
      <c r="J922" s="12">
        <v>2</v>
      </c>
      <c r="K922" s="3">
        <v>30</v>
      </c>
      <c r="L922" s="14">
        <f t="shared" si="58"/>
        <v>30</v>
      </c>
      <c r="M922" s="12">
        <v>3.6</v>
      </c>
      <c r="N922">
        <v>1</v>
      </c>
      <c r="O922" s="1">
        <v>0.92</v>
      </c>
      <c r="P922" s="1">
        <f t="shared" si="59"/>
        <v>0.92</v>
      </c>
    </row>
    <row r="923" spans="1:16" x14ac:dyDescent="0.35">
      <c r="A923" t="s">
        <v>1913</v>
      </c>
      <c r="B923" t="s">
        <v>1914</v>
      </c>
      <c r="C923" t="str">
        <f t="shared" si="56"/>
        <v>Anita Becker</v>
      </c>
      <c r="D923" t="s">
        <v>38</v>
      </c>
      <c r="E923" t="str">
        <f t="shared" si="57"/>
        <v>Female</v>
      </c>
      <c r="F923" s="12">
        <v>49</v>
      </c>
      <c r="G923" t="s">
        <v>185</v>
      </c>
      <c r="H923" s="12" t="s">
        <v>69</v>
      </c>
      <c r="I923" t="s">
        <v>86</v>
      </c>
      <c r="J923" s="12">
        <v>4</v>
      </c>
      <c r="K923" s="3">
        <v>75</v>
      </c>
      <c r="L923" s="14">
        <f t="shared" si="58"/>
        <v>75</v>
      </c>
      <c r="M923" s="12">
        <v>2.1</v>
      </c>
      <c r="N923">
        <v>1</v>
      </c>
      <c r="O923" s="1">
        <v>0.85</v>
      </c>
      <c r="P923" s="1">
        <f t="shared" si="59"/>
        <v>0.85</v>
      </c>
    </row>
    <row r="924" spans="1:16" x14ac:dyDescent="0.35">
      <c r="A924" t="s">
        <v>1915</v>
      </c>
      <c r="B924" t="s">
        <v>1916</v>
      </c>
      <c r="C924" t="str">
        <f t="shared" si="56"/>
        <v>Mrs. Amy Brooks</v>
      </c>
      <c r="D924" t="s">
        <v>38</v>
      </c>
      <c r="E924" t="str">
        <f t="shared" si="57"/>
        <v>Female</v>
      </c>
      <c r="F924" s="12">
        <v>49</v>
      </c>
      <c r="G924" t="s">
        <v>109</v>
      </c>
      <c r="H924" s="12" t="s">
        <v>110</v>
      </c>
      <c r="I924" t="s">
        <v>43</v>
      </c>
      <c r="J924" s="12">
        <v>4</v>
      </c>
      <c r="K924" s="3">
        <v>75</v>
      </c>
      <c r="L924" s="14">
        <f t="shared" si="58"/>
        <v>75</v>
      </c>
      <c r="M924" s="12">
        <v>2.9</v>
      </c>
      <c r="N924">
        <v>0</v>
      </c>
      <c r="O924">
        <v>16</v>
      </c>
      <c r="P924" s="1">
        <f t="shared" si="59"/>
        <v>0.16</v>
      </c>
    </row>
    <row r="925" spans="1:16" x14ac:dyDescent="0.35">
      <c r="A925" t="s">
        <v>1917</v>
      </c>
      <c r="B925" t="s">
        <v>1918</v>
      </c>
      <c r="C925" t="str">
        <f t="shared" si="56"/>
        <v>Lori Marshall</v>
      </c>
      <c r="D925" t="s">
        <v>20</v>
      </c>
      <c r="E925" t="str">
        <f t="shared" si="57"/>
        <v>Female</v>
      </c>
      <c r="F925" s="12">
        <v>49</v>
      </c>
      <c r="G925" t="s">
        <v>109</v>
      </c>
      <c r="H925" s="12" t="s">
        <v>110</v>
      </c>
      <c r="I925" t="s">
        <v>23</v>
      </c>
      <c r="J925" s="12">
        <v>24</v>
      </c>
      <c r="K925" s="3">
        <v>100</v>
      </c>
      <c r="L925" s="14">
        <f t="shared" si="58"/>
        <v>100</v>
      </c>
      <c r="M925" s="12">
        <v>3.6</v>
      </c>
      <c r="N925">
        <v>1</v>
      </c>
      <c r="O925">
        <v>16</v>
      </c>
      <c r="P925" s="1">
        <f t="shared" si="59"/>
        <v>0.16</v>
      </c>
    </row>
    <row r="926" spans="1:16" x14ac:dyDescent="0.35">
      <c r="A926" t="s">
        <v>1919</v>
      </c>
      <c r="B926" t="s">
        <v>1920</v>
      </c>
      <c r="C926" t="str">
        <f t="shared" si="56"/>
        <v>Jennifer Miller</v>
      </c>
      <c r="D926" t="s">
        <v>74</v>
      </c>
      <c r="E926" t="str">
        <f t="shared" si="57"/>
        <v>Female</v>
      </c>
      <c r="F926" s="12">
        <v>58</v>
      </c>
      <c r="G926" t="s">
        <v>104</v>
      </c>
      <c r="H926" s="12" t="s">
        <v>105</v>
      </c>
      <c r="I926" t="s">
        <v>17</v>
      </c>
      <c r="J926" s="12">
        <v>29</v>
      </c>
      <c r="K926" s="3">
        <v>30</v>
      </c>
      <c r="L926" s="14">
        <f t="shared" si="58"/>
        <v>30</v>
      </c>
      <c r="M926" s="12">
        <v>3.3</v>
      </c>
      <c r="N926">
        <v>1</v>
      </c>
      <c r="O926" s="1">
        <v>0.89</v>
      </c>
      <c r="P926" s="1">
        <f t="shared" si="59"/>
        <v>0.89</v>
      </c>
    </row>
    <row r="927" spans="1:16" x14ac:dyDescent="0.35">
      <c r="A927" t="s">
        <v>1921</v>
      </c>
      <c r="B927" t="s">
        <v>1922</v>
      </c>
      <c r="C927" t="str">
        <f t="shared" si="56"/>
        <v>Thomas Young</v>
      </c>
      <c r="D927" t="s">
        <v>59</v>
      </c>
      <c r="E927" t="str">
        <f t="shared" si="57"/>
        <v>Male</v>
      </c>
      <c r="F927" s="12">
        <v>50</v>
      </c>
      <c r="G927" t="s">
        <v>149</v>
      </c>
      <c r="H927" s="12" t="s">
        <v>150</v>
      </c>
      <c r="I927" t="s">
        <v>70</v>
      </c>
      <c r="J927" s="12">
        <v>13</v>
      </c>
      <c r="K927" s="3">
        <v>40</v>
      </c>
      <c r="L927" s="14">
        <f t="shared" si="58"/>
        <v>40</v>
      </c>
      <c r="M927" s="12">
        <v>2.5</v>
      </c>
      <c r="N927">
        <v>1</v>
      </c>
      <c r="O927" s="1">
        <v>0.81</v>
      </c>
      <c r="P927" s="1">
        <f t="shared" si="59"/>
        <v>0.81</v>
      </c>
    </row>
    <row r="928" spans="1:16" x14ac:dyDescent="0.35">
      <c r="A928" t="s">
        <v>1923</v>
      </c>
      <c r="B928" t="s">
        <v>1924</v>
      </c>
      <c r="C928" t="str">
        <f t="shared" si="56"/>
        <v>Zachary Larsen</v>
      </c>
      <c r="D928" t="s">
        <v>27</v>
      </c>
      <c r="E928" t="str">
        <f t="shared" si="57"/>
        <v>Male</v>
      </c>
      <c r="F928" s="12">
        <v>27</v>
      </c>
      <c r="G928" t="s">
        <v>149</v>
      </c>
      <c r="H928" s="12" t="s">
        <v>150</v>
      </c>
      <c r="I928" t="s">
        <v>86</v>
      </c>
      <c r="J928" s="12">
        <v>1</v>
      </c>
      <c r="K928" s="3" t="s">
        <v>24</v>
      </c>
      <c r="L928" s="14" t="str">
        <f t="shared" si="58"/>
        <v>$ 100</v>
      </c>
      <c r="M928" s="12">
        <v>3.7</v>
      </c>
      <c r="N928">
        <v>1</v>
      </c>
      <c r="O928">
        <v>61</v>
      </c>
      <c r="P928" s="1">
        <f t="shared" si="59"/>
        <v>0.61</v>
      </c>
    </row>
    <row r="929" spans="1:16" x14ac:dyDescent="0.35">
      <c r="A929" t="s">
        <v>1925</v>
      </c>
      <c r="B929" t="s">
        <v>1926</v>
      </c>
      <c r="C929" t="str">
        <f t="shared" si="56"/>
        <v>Valerie Gutierrez</v>
      </c>
      <c r="D929" t="s">
        <v>38</v>
      </c>
      <c r="E929" t="str">
        <f t="shared" si="57"/>
        <v>Female</v>
      </c>
      <c r="F929" s="12">
        <v>20</v>
      </c>
      <c r="G929" t="s">
        <v>109</v>
      </c>
      <c r="H929" s="12" t="s">
        <v>110</v>
      </c>
      <c r="I929" t="s">
        <v>111</v>
      </c>
      <c r="J929" s="12">
        <v>11</v>
      </c>
      <c r="K929" s="3">
        <v>30</v>
      </c>
      <c r="L929" s="14">
        <f t="shared" si="58"/>
        <v>30</v>
      </c>
      <c r="M929" s="12">
        <v>4.5999999999999996</v>
      </c>
      <c r="N929">
        <v>1</v>
      </c>
      <c r="O929">
        <v>16</v>
      </c>
      <c r="P929" s="1">
        <f t="shared" si="59"/>
        <v>0.16</v>
      </c>
    </row>
    <row r="930" spans="1:16" x14ac:dyDescent="0.35">
      <c r="A930" t="s">
        <v>1927</v>
      </c>
      <c r="B930" t="s">
        <v>1928</v>
      </c>
      <c r="C930" t="str">
        <f t="shared" si="56"/>
        <v>Daniel Parker</v>
      </c>
      <c r="D930" t="s">
        <v>59</v>
      </c>
      <c r="E930" t="str">
        <f t="shared" si="57"/>
        <v>Male</v>
      </c>
      <c r="F930" s="12">
        <v>52</v>
      </c>
      <c r="G930" t="s">
        <v>120</v>
      </c>
      <c r="H930" s="12" t="s">
        <v>121</v>
      </c>
      <c r="I930" t="s">
        <v>17</v>
      </c>
      <c r="J930" s="12">
        <v>15</v>
      </c>
      <c r="K930" s="3">
        <v>40</v>
      </c>
      <c r="L930" s="14">
        <f t="shared" si="58"/>
        <v>40</v>
      </c>
      <c r="M930" s="12">
        <v>0</v>
      </c>
      <c r="N930">
        <v>1</v>
      </c>
      <c r="O930" s="1">
        <v>0.92</v>
      </c>
      <c r="P930" s="1">
        <f t="shared" si="59"/>
        <v>0.92</v>
      </c>
    </row>
    <row r="931" spans="1:16" x14ac:dyDescent="0.35">
      <c r="A931" t="s">
        <v>1929</v>
      </c>
      <c r="B931" t="s">
        <v>1930</v>
      </c>
      <c r="C931" t="str">
        <f t="shared" si="56"/>
        <v>Nicole Bennett</v>
      </c>
      <c r="D931" t="s">
        <v>74</v>
      </c>
      <c r="E931" t="str">
        <f t="shared" si="57"/>
        <v>Female</v>
      </c>
      <c r="F931" s="12">
        <v>22</v>
      </c>
      <c r="G931" t="s">
        <v>131</v>
      </c>
      <c r="H931" s="12" t="s">
        <v>132</v>
      </c>
      <c r="I931" t="s">
        <v>111</v>
      </c>
      <c r="J931" s="12">
        <v>2</v>
      </c>
      <c r="K931" s="3">
        <v>30</v>
      </c>
      <c r="L931" s="14">
        <f t="shared" si="58"/>
        <v>30</v>
      </c>
      <c r="M931" s="12">
        <v>2</v>
      </c>
      <c r="N931">
        <v>1</v>
      </c>
      <c r="O931" s="1">
        <v>0.96</v>
      </c>
      <c r="P931" s="1">
        <f t="shared" si="59"/>
        <v>0.96</v>
      </c>
    </row>
    <row r="932" spans="1:16" x14ac:dyDescent="0.35">
      <c r="A932" t="s">
        <v>1931</v>
      </c>
      <c r="B932" t="s">
        <v>1932</v>
      </c>
      <c r="C932" t="str">
        <f t="shared" si="56"/>
        <v>Lauren Lowery</v>
      </c>
      <c r="D932" t="s">
        <v>74</v>
      </c>
      <c r="E932" t="str">
        <f t="shared" si="57"/>
        <v>Female</v>
      </c>
      <c r="F932" s="12">
        <v>38</v>
      </c>
      <c r="G932" t="s">
        <v>60</v>
      </c>
      <c r="H932" s="12" t="s">
        <v>61</v>
      </c>
      <c r="I932" t="s">
        <v>35</v>
      </c>
      <c r="J932" s="12">
        <v>14</v>
      </c>
      <c r="K932" s="3">
        <v>100</v>
      </c>
      <c r="L932" s="14">
        <f t="shared" si="58"/>
        <v>100</v>
      </c>
      <c r="M932" s="12">
        <v>1.7</v>
      </c>
      <c r="N932">
        <v>0</v>
      </c>
      <c r="O932" s="1">
        <v>0.66</v>
      </c>
      <c r="P932" s="1">
        <f t="shared" si="59"/>
        <v>0.66</v>
      </c>
    </row>
    <row r="933" spans="1:16" x14ac:dyDescent="0.35">
      <c r="A933" t="s">
        <v>1933</v>
      </c>
      <c r="B933" t="s">
        <v>1934</v>
      </c>
      <c r="C933" t="str">
        <f t="shared" si="56"/>
        <v>Alexander Woodward</v>
      </c>
      <c r="D933" t="s">
        <v>27</v>
      </c>
      <c r="E933" t="str">
        <f t="shared" si="57"/>
        <v>Male</v>
      </c>
      <c r="F933" s="12">
        <v>21</v>
      </c>
      <c r="G933" t="s">
        <v>124</v>
      </c>
      <c r="H933" s="12" t="s">
        <v>22</v>
      </c>
      <c r="I933" t="s">
        <v>30</v>
      </c>
      <c r="J933" s="12">
        <v>11</v>
      </c>
      <c r="K933" s="3" t="s">
        <v>24</v>
      </c>
      <c r="L933" s="14" t="str">
        <f t="shared" si="58"/>
        <v>$ 100</v>
      </c>
      <c r="M933" s="12">
        <v>3</v>
      </c>
      <c r="N933">
        <v>0</v>
      </c>
      <c r="O933" s="1">
        <v>0.64</v>
      </c>
      <c r="P933" s="1">
        <f t="shared" si="59"/>
        <v>0.64</v>
      </c>
    </row>
    <row r="934" spans="1:16" x14ac:dyDescent="0.35">
      <c r="A934" t="s">
        <v>1935</v>
      </c>
      <c r="B934" t="s">
        <v>1936</v>
      </c>
      <c r="C934" t="str">
        <f t="shared" si="56"/>
        <v>Anthony Walter</v>
      </c>
      <c r="D934" t="s">
        <v>59</v>
      </c>
      <c r="E934" t="str">
        <f t="shared" si="57"/>
        <v>Male</v>
      </c>
      <c r="F934" s="12">
        <v>41</v>
      </c>
      <c r="G934" t="s">
        <v>21</v>
      </c>
      <c r="H934" s="12" t="s">
        <v>22</v>
      </c>
      <c r="I934" t="s">
        <v>43</v>
      </c>
      <c r="J934" s="12">
        <v>15</v>
      </c>
      <c r="K934" s="3">
        <v>40</v>
      </c>
      <c r="L934" s="14">
        <f t="shared" si="58"/>
        <v>40</v>
      </c>
      <c r="M934" s="12">
        <v>3.4</v>
      </c>
      <c r="N934">
        <v>0</v>
      </c>
      <c r="O934" s="1">
        <v>1</v>
      </c>
      <c r="P934" s="1">
        <f t="shared" si="59"/>
        <v>0.01</v>
      </c>
    </row>
    <row r="935" spans="1:16" x14ac:dyDescent="0.35">
      <c r="A935" t="s">
        <v>1937</v>
      </c>
      <c r="B935" t="s">
        <v>1938</v>
      </c>
      <c r="C935" t="str">
        <f t="shared" si="56"/>
        <v>Valerie Finley</v>
      </c>
      <c r="D935" t="s">
        <v>38</v>
      </c>
      <c r="E935" t="str">
        <f t="shared" si="57"/>
        <v>Female</v>
      </c>
      <c r="F935" s="12">
        <v>33</v>
      </c>
      <c r="G935" t="s">
        <v>47</v>
      </c>
      <c r="H935" s="12" t="s">
        <v>48</v>
      </c>
      <c r="I935" t="s">
        <v>17</v>
      </c>
      <c r="J935" s="12">
        <v>6</v>
      </c>
      <c r="K935" s="3">
        <v>40</v>
      </c>
      <c r="L935" s="14">
        <f t="shared" si="58"/>
        <v>40</v>
      </c>
      <c r="M935" s="12">
        <v>3.2</v>
      </c>
      <c r="N935">
        <v>1</v>
      </c>
      <c r="O935" s="1">
        <v>0.95</v>
      </c>
      <c r="P935" s="1">
        <f t="shared" si="59"/>
        <v>0.95</v>
      </c>
    </row>
    <row r="936" spans="1:16" x14ac:dyDescent="0.35">
      <c r="A936" t="s">
        <v>1939</v>
      </c>
      <c r="B936" t="s">
        <v>1940</v>
      </c>
      <c r="C936" t="str">
        <f t="shared" si="56"/>
        <v>Deborah Kelley</v>
      </c>
      <c r="D936" t="s">
        <v>38</v>
      </c>
      <c r="E936" t="str">
        <f t="shared" si="57"/>
        <v>Female</v>
      </c>
      <c r="F936" s="12">
        <v>38</v>
      </c>
      <c r="G936" t="s">
        <v>174</v>
      </c>
      <c r="H936" s="12" t="s">
        <v>69</v>
      </c>
      <c r="I936" t="s">
        <v>23</v>
      </c>
      <c r="J936" s="12">
        <v>11</v>
      </c>
      <c r="K936" s="3">
        <v>40</v>
      </c>
      <c r="L936" s="14">
        <f t="shared" si="58"/>
        <v>40</v>
      </c>
      <c r="M936" s="12">
        <v>2.8</v>
      </c>
      <c r="N936">
        <v>1</v>
      </c>
      <c r="O936">
        <v>91</v>
      </c>
      <c r="P936" s="1">
        <f t="shared" si="59"/>
        <v>0.91</v>
      </c>
    </row>
    <row r="937" spans="1:16" x14ac:dyDescent="0.35">
      <c r="A937" t="s">
        <v>1941</v>
      </c>
      <c r="B937" t="s">
        <v>1942</v>
      </c>
      <c r="C937" t="str">
        <f t="shared" si="56"/>
        <v>Kristina Miller</v>
      </c>
      <c r="D937" t="s">
        <v>38</v>
      </c>
      <c r="E937" t="str">
        <f t="shared" si="57"/>
        <v>Female</v>
      </c>
      <c r="F937" s="12">
        <v>26</v>
      </c>
      <c r="G937" t="s">
        <v>120</v>
      </c>
      <c r="H937" s="12" t="s">
        <v>121</v>
      </c>
      <c r="I937" t="s">
        <v>86</v>
      </c>
      <c r="J937" s="12">
        <v>8</v>
      </c>
      <c r="K937" s="3" t="s">
        <v>308</v>
      </c>
      <c r="L937" s="14" t="str">
        <f t="shared" si="58"/>
        <v>$ 20</v>
      </c>
      <c r="M937" s="12">
        <v>4.0999999999999996</v>
      </c>
      <c r="N937">
        <v>1</v>
      </c>
      <c r="O937" s="1">
        <v>0.82</v>
      </c>
      <c r="P937" s="1">
        <f t="shared" si="59"/>
        <v>0.82</v>
      </c>
    </row>
    <row r="938" spans="1:16" x14ac:dyDescent="0.35">
      <c r="A938" t="s">
        <v>1943</v>
      </c>
      <c r="B938" t="s">
        <v>1944</v>
      </c>
      <c r="C938" t="str">
        <f t="shared" si="56"/>
        <v>Anne Hampton</v>
      </c>
      <c r="D938" t="s">
        <v>38</v>
      </c>
      <c r="E938" t="str">
        <f t="shared" si="57"/>
        <v>Female</v>
      </c>
      <c r="F938" s="12">
        <v>43</v>
      </c>
      <c r="G938" t="s">
        <v>41</v>
      </c>
      <c r="H938" s="12" t="s">
        <v>42</v>
      </c>
      <c r="I938" t="s">
        <v>43</v>
      </c>
      <c r="J938" s="12">
        <v>3</v>
      </c>
      <c r="K938" s="3">
        <v>20</v>
      </c>
      <c r="L938" s="14">
        <f t="shared" si="58"/>
        <v>20</v>
      </c>
      <c r="M938" s="12">
        <v>0</v>
      </c>
      <c r="N938">
        <v>1</v>
      </c>
      <c r="O938" s="1">
        <v>0.95</v>
      </c>
      <c r="P938" s="1">
        <f t="shared" si="59"/>
        <v>0.95</v>
      </c>
    </row>
    <row r="939" spans="1:16" x14ac:dyDescent="0.35">
      <c r="A939" t="s">
        <v>1945</v>
      </c>
      <c r="B939" t="s">
        <v>1946</v>
      </c>
      <c r="C939" t="str">
        <f t="shared" si="56"/>
        <v>Sandra Henry</v>
      </c>
      <c r="D939" t="s">
        <v>74</v>
      </c>
      <c r="E939" t="str">
        <f t="shared" si="57"/>
        <v>Female</v>
      </c>
      <c r="F939" s="12">
        <v>21</v>
      </c>
      <c r="G939" t="s">
        <v>15</v>
      </c>
      <c r="H939" s="12" t="s">
        <v>16</v>
      </c>
      <c r="I939" t="s">
        <v>75</v>
      </c>
      <c r="J939" s="12">
        <v>11</v>
      </c>
      <c r="K939" s="3">
        <v>40</v>
      </c>
      <c r="L939" s="14">
        <f t="shared" si="58"/>
        <v>40</v>
      </c>
      <c r="M939" s="12">
        <v>0</v>
      </c>
      <c r="N939">
        <v>1</v>
      </c>
      <c r="O939" s="1">
        <v>0.95</v>
      </c>
      <c r="P939" s="1">
        <f t="shared" si="59"/>
        <v>0.95</v>
      </c>
    </row>
    <row r="940" spans="1:16" x14ac:dyDescent="0.35">
      <c r="A940" t="s">
        <v>1947</v>
      </c>
      <c r="B940" t="s">
        <v>1948</v>
      </c>
      <c r="C940" t="str">
        <f t="shared" si="56"/>
        <v>Tony Hester</v>
      </c>
      <c r="D940" t="s">
        <v>59</v>
      </c>
      <c r="E940" t="str">
        <f t="shared" si="57"/>
        <v>Male</v>
      </c>
      <c r="F940" s="12">
        <v>47</v>
      </c>
      <c r="G940" t="s">
        <v>109</v>
      </c>
      <c r="H940" s="12" t="s">
        <v>110</v>
      </c>
      <c r="I940" t="s">
        <v>23</v>
      </c>
      <c r="J940" s="12">
        <v>7</v>
      </c>
      <c r="K940" s="3" t="s">
        <v>106</v>
      </c>
      <c r="L940" s="14" t="str">
        <f t="shared" si="58"/>
        <v>$ 30</v>
      </c>
      <c r="M940" s="12">
        <v>3</v>
      </c>
      <c r="N940">
        <v>1</v>
      </c>
      <c r="O940">
        <v>69</v>
      </c>
      <c r="P940" s="1">
        <f t="shared" si="59"/>
        <v>0.69</v>
      </c>
    </row>
    <row r="941" spans="1:16" x14ac:dyDescent="0.35">
      <c r="A941" t="s">
        <v>1949</v>
      </c>
      <c r="B941" t="s">
        <v>1950</v>
      </c>
      <c r="C941" t="str">
        <f t="shared" si="56"/>
        <v>Nathan Davis</v>
      </c>
      <c r="D941" t="s">
        <v>59</v>
      </c>
      <c r="E941" t="str">
        <f t="shared" si="57"/>
        <v>Male</v>
      </c>
      <c r="F941" s="12">
        <v>35</v>
      </c>
      <c r="G941" t="s">
        <v>185</v>
      </c>
      <c r="H941" s="12" t="s">
        <v>69</v>
      </c>
      <c r="I941" t="s">
        <v>30</v>
      </c>
      <c r="J941" s="12">
        <v>6</v>
      </c>
      <c r="K941" s="3">
        <v>40</v>
      </c>
      <c r="L941" s="14">
        <f t="shared" si="58"/>
        <v>40</v>
      </c>
      <c r="M941" s="12">
        <v>3</v>
      </c>
      <c r="N941">
        <v>1</v>
      </c>
      <c r="O941" s="1">
        <v>0.91</v>
      </c>
      <c r="P941" s="1">
        <f t="shared" si="59"/>
        <v>0.91</v>
      </c>
    </row>
    <row r="942" spans="1:16" x14ac:dyDescent="0.35">
      <c r="A942" t="s">
        <v>1951</v>
      </c>
      <c r="B942" t="s">
        <v>1952</v>
      </c>
      <c r="C942" t="str">
        <f t="shared" si="56"/>
        <v>Erica Jackson</v>
      </c>
      <c r="D942" t="s">
        <v>74</v>
      </c>
      <c r="E942" t="str">
        <f t="shared" si="57"/>
        <v>Female</v>
      </c>
      <c r="F942" s="12">
        <v>37</v>
      </c>
      <c r="G942" t="s">
        <v>47</v>
      </c>
      <c r="H942" s="12" t="s">
        <v>48</v>
      </c>
      <c r="I942" t="s">
        <v>23</v>
      </c>
      <c r="J942" s="12">
        <v>9</v>
      </c>
      <c r="K942" s="3">
        <v>30</v>
      </c>
      <c r="L942" s="14">
        <f t="shared" si="58"/>
        <v>30</v>
      </c>
      <c r="M942" s="12">
        <v>2.7</v>
      </c>
      <c r="N942">
        <v>1</v>
      </c>
      <c r="O942">
        <v>16</v>
      </c>
      <c r="P942" s="1">
        <f t="shared" si="59"/>
        <v>0.16</v>
      </c>
    </row>
    <row r="943" spans="1:16" x14ac:dyDescent="0.35">
      <c r="A943" t="s">
        <v>1953</v>
      </c>
      <c r="B943" t="s">
        <v>1954</v>
      </c>
      <c r="C943" t="str">
        <f t="shared" si="56"/>
        <v>Nancy Glover</v>
      </c>
      <c r="D943" t="s">
        <v>20</v>
      </c>
      <c r="E943" t="str">
        <f t="shared" si="57"/>
        <v>Female</v>
      </c>
      <c r="F943" s="12">
        <v>38</v>
      </c>
      <c r="G943" t="s">
        <v>104</v>
      </c>
      <c r="H943" s="12" t="s">
        <v>105</v>
      </c>
      <c r="I943" t="s">
        <v>43</v>
      </c>
      <c r="J943" s="12">
        <v>15</v>
      </c>
      <c r="K943" s="3">
        <v>40</v>
      </c>
      <c r="L943" s="14">
        <f t="shared" si="58"/>
        <v>40</v>
      </c>
      <c r="M943" s="12">
        <v>4</v>
      </c>
      <c r="N943">
        <v>1</v>
      </c>
      <c r="O943" s="1">
        <v>0.62</v>
      </c>
      <c r="P943" s="1">
        <f t="shared" si="59"/>
        <v>0.62</v>
      </c>
    </row>
    <row r="944" spans="1:16" x14ac:dyDescent="0.35">
      <c r="A944" t="s">
        <v>1955</v>
      </c>
      <c r="B944" t="s">
        <v>1956</v>
      </c>
      <c r="C944" t="str">
        <f t="shared" si="56"/>
        <v>Richard Sanchez</v>
      </c>
      <c r="D944" t="s">
        <v>59</v>
      </c>
      <c r="E944" t="str">
        <f t="shared" si="57"/>
        <v>Male</v>
      </c>
      <c r="F944" s="12">
        <v>40</v>
      </c>
      <c r="G944" t="s">
        <v>124</v>
      </c>
      <c r="H944" s="12" t="s">
        <v>22</v>
      </c>
      <c r="I944" t="s">
        <v>49</v>
      </c>
      <c r="J944" s="12">
        <v>20</v>
      </c>
      <c r="K944" s="3">
        <v>20</v>
      </c>
      <c r="L944" s="14">
        <f t="shared" si="58"/>
        <v>20</v>
      </c>
      <c r="M944" s="12">
        <v>2.5</v>
      </c>
      <c r="N944">
        <v>0</v>
      </c>
      <c r="O944" s="1">
        <v>0.81</v>
      </c>
      <c r="P944" s="1">
        <f t="shared" si="59"/>
        <v>0.81</v>
      </c>
    </row>
    <row r="945" spans="1:16" x14ac:dyDescent="0.35">
      <c r="A945" t="s">
        <v>1957</v>
      </c>
      <c r="B945" t="s">
        <v>1958</v>
      </c>
      <c r="C945" t="str">
        <f t="shared" si="56"/>
        <v>Savannah Reid</v>
      </c>
      <c r="D945" t="s">
        <v>38</v>
      </c>
      <c r="E945" t="str">
        <f t="shared" si="57"/>
        <v>Female</v>
      </c>
      <c r="F945" s="12">
        <v>46</v>
      </c>
      <c r="G945" t="s">
        <v>104</v>
      </c>
      <c r="H945" s="12" t="s">
        <v>105</v>
      </c>
      <c r="I945" t="s">
        <v>49</v>
      </c>
      <c r="J945" s="12">
        <v>16</v>
      </c>
      <c r="K945" s="3">
        <v>75</v>
      </c>
      <c r="L945" s="14">
        <f t="shared" si="58"/>
        <v>75</v>
      </c>
      <c r="M945" s="12">
        <v>0</v>
      </c>
      <c r="N945">
        <v>1</v>
      </c>
      <c r="O945" s="1">
        <v>0.94</v>
      </c>
      <c r="P945" s="1">
        <f t="shared" si="59"/>
        <v>0.94</v>
      </c>
    </row>
    <row r="946" spans="1:16" x14ac:dyDescent="0.35">
      <c r="A946" t="s">
        <v>1959</v>
      </c>
      <c r="B946" t="s">
        <v>1960</v>
      </c>
      <c r="C946" t="str">
        <f t="shared" si="56"/>
        <v>Robert Salazar</v>
      </c>
      <c r="D946" t="s">
        <v>27</v>
      </c>
      <c r="E946" t="str">
        <f t="shared" si="57"/>
        <v>Male</v>
      </c>
      <c r="F946" s="12">
        <v>56</v>
      </c>
      <c r="G946" t="s">
        <v>135</v>
      </c>
      <c r="H946" s="12" t="s">
        <v>136</v>
      </c>
      <c r="I946" t="s">
        <v>86</v>
      </c>
      <c r="J946" s="12">
        <v>22</v>
      </c>
      <c r="K946" s="3" t="s">
        <v>106</v>
      </c>
      <c r="L946" s="14" t="str">
        <f t="shared" si="58"/>
        <v>$ 30</v>
      </c>
      <c r="M946" s="12">
        <v>3</v>
      </c>
      <c r="N946">
        <v>1</v>
      </c>
      <c r="O946" s="1">
        <v>0.95</v>
      </c>
      <c r="P946" s="1">
        <f t="shared" si="59"/>
        <v>0.95</v>
      </c>
    </row>
    <row r="947" spans="1:16" x14ac:dyDescent="0.35">
      <c r="A947" t="s">
        <v>1961</v>
      </c>
      <c r="B947" t="s">
        <v>1962</v>
      </c>
      <c r="C947" t="str">
        <f t="shared" si="56"/>
        <v>Hector Greer</v>
      </c>
      <c r="D947" t="s">
        <v>27</v>
      </c>
      <c r="E947" t="str">
        <f t="shared" si="57"/>
        <v>Male</v>
      </c>
      <c r="F947" s="12">
        <v>24</v>
      </c>
      <c r="G947" t="s">
        <v>60</v>
      </c>
      <c r="H947" s="12" t="s">
        <v>61</v>
      </c>
      <c r="I947" t="s">
        <v>30</v>
      </c>
      <c r="J947" s="12">
        <v>2</v>
      </c>
      <c r="K947" s="3">
        <v>40</v>
      </c>
      <c r="L947" s="14">
        <f t="shared" si="58"/>
        <v>40</v>
      </c>
      <c r="M947" s="12">
        <v>1.6</v>
      </c>
      <c r="N947">
        <v>1</v>
      </c>
      <c r="O947" s="1">
        <v>1</v>
      </c>
      <c r="P947" s="1">
        <f t="shared" si="59"/>
        <v>0.01</v>
      </c>
    </row>
    <row r="948" spans="1:16" x14ac:dyDescent="0.35">
      <c r="A948" t="s">
        <v>1963</v>
      </c>
      <c r="B948" t="s">
        <v>1964</v>
      </c>
      <c r="C948" t="str">
        <f t="shared" si="56"/>
        <v>Thomas Jackson</v>
      </c>
      <c r="D948" t="s">
        <v>27</v>
      </c>
      <c r="E948" t="str">
        <f t="shared" si="57"/>
        <v>Male</v>
      </c>
      <c r="F948" s="12">
        <v>41</v>
      </c>
      <c r="G948" t="s">
        <v>174</v>
      </c>
      <c r="H948" s="12" t="s">
        <v>69</v>
      </c>
      <c r="I948" t="s">
        <v>43</v>
      </c>
      <c r="J948" s="12">
        <v>1</v>
      </c>
      <c r="K948" s="3">
        <v>75</v>
      </c>
      <c r="L948" s="14">
        <f t="shared" si="58"/>
        <v>75</v>
      </c>
      <c r="M948" s="12">
        <v>0</v>
      </c>
      <c r="N948">
        <v>1</v>
      </c>
      <c r="O948" s="1">
        <v>0.94</v>
      </c>
      <c r="P948" s="1">
        <f t="shared" si="59"/>
        <v>0.94</v>
      </c>
    </row>
    <row r="949" spans="1:16" x14ac:dyDescent="0.35">
      <c r="A949" t="s">
        <v>1965</v>
      </c>
      <c r="B949" t="s">
        <v>1966</v>
      </c>
      <c r="C949" t="str">
        <f t="shared" si="56"/>
        <v>Tina Clark</v>
      </c>
      <c r="D949" t="s">
        <v>38</v>
      </c>
      <c r="E949" t="str">
        <f t="shared" si="57"/>
        <v>Female</v>
      </c>
      <c r="F949" s="12">
        <v>38</v>
      </c>
      <c r="G949" t="s">
        <v>60</v>
      </c>
      <c r="H949" s="12" t="s">
        <v>61</v>
      </c>
      <c r="I949" t="s">
        <v>23</v>
      </c>
      <c r="J949" s="12">
        <v>8</v>
      </c>
      <c r="K949" s="3">
        <v>30</v>
      </c>
      <c r="L949" s="14">
        <f t="shared" si="58"/>
        <v>30</v>
      </c>
      <c r="M949" s="12">
        <v>4</v>
      </c>
      <c r="N949">
        <v>1</v>
      </c>
      <c r="O949" s="1">
        <v>0.92</v>
      </c>
      <c r="P949" s="1">
        <f t="shared" si="59"/>
        <v>0.92</v>
      </c>
    </row>
    <row r="950" spans="1:16" x14ac:dyDescent="0.35">
      <c r="A950" t="s">
        <v>1967</v>
      </c>
      <c r="B950" t="s">
        <v>1968</v>
      </c>
      <c r="C950" t="str">
        <f t="shared" si="56"/>
        <v>Heather Brown</v>
      </c>
      <c r="D950" t="s">
        <v>74</v>
      </c>
      <c r="E950" t="str">
        <f t="shared" si="57"/>
        <v>Female</v>
      </c>
      <c r="F950" s="12">
        <v>28</v>
      </c>
      <c r="G950" t="s">
        <v>131</v>
      </c>
      <c r="H950" s="12" t="s">
        <v>132</v>
      </c>
      <c r="I950" t="s">
        <v>86</v>
      </c>
      <c r="J950" s="12">
        <v>8</v>
      </c>
      <c r="K950" s="3" t="s">
        <v>95</v>
      </c>
      <c r="L950" s="14" t="str">
        <f t="shared" si="58"/>
        <v>$ 50</v>
      </c>
      <c r="M950" s="12">
        <v>2.5</v>
      </c>
      <c r="N950">
        <v>1</v>
      </c>
      <c r="O950" s="1">
        <v>0.95</v>
      </c>
      <c r="P950" s="1">
        <f t="shared" si="59"/>
        <v>0.95</v>
      </c>
    </row>
    <row r="951" spans="1:16" x14ac:dyDescent="0.35">
      <c r="A951" t="s">
        <v>1969</v>
      </c>
      <c r="B951" t="s">
        <v>1970</v>
      </c>
      <c r="C951" t="str">
        <f t="shared" si="56"/>
        <v>John Weaver</v>
      </c>
      <c r="D951" t="s">
        <v>27</v>
      </c>
      <c r="E951" t="str">
        <f t="shared" si="57"/>
        <v>Male</v>
      </c>
      <c r="F951" s="12">
        <v>25</v>
      </c>
      <c r="G951" t="s">
        <v>104</v>
      </c>
      <c r="H951" s="12" t="s">
        <v>105</v>
      </c>
      <c r="I951" t="s">
        <v>86</v>
      </c>
      <c r="J951" s="12">
        <v>7</v>
      </c>
      <c r="K951" s="3">
        <v>20</v>
      </c>
      <c r="L951" s="14">
        <f t="shared" si="58"/>
        <v>20</v>
      </c>
      <c r="M951" s="12">
        <v>3.8</v>
      </c>
      <c r="N951">
        <v>1</v>
      </c>
      <c r="O951" s="1">
        <v>0.97</v>
      </c>
      <c r="P951" s="1">
        <f t="shared" si="59"/>
        <v>0.97</v>
      </c>
    </row>
    <row r="952" spans="1:16" x14ac:dyDescent="0.35">
      <c r="A952" t="s">
        <v>1971</v>
      </c>
      <c r="B952" t="s">
        <v>1972</v>
      </c>
      <c r="C952" t="str">
        <f t="shared" si="56"/>
        <v>Bradley Harris</v>
      </c>
      <c r="D952" t="s">
        <v>94</v>
      </c>
      <c r="E952" t="str">
        <f t="shared" si="57"/>
        <v>Male</v>
      </c>
      <c r="F952" s="12">
        <v>41</v>
      </c>
      <c r="G952" t="s">
        <v>64</v>
      </c>
      <c r="H952" s="12" t="s">
        <v>22</v>
      </c>
      <c r="I952" t="s">
        <v>86</v>
      </c>
      <c r="J952" s="12">
        <v>8</v>
      </c>
      <c r="K952" s="3">
        <v>50</v>
      </c>
      <c r="L952" s="14">
        <f t="shared" si="58"/>
        <v>50</v>
      </c>
      <c r="M952" s="12">
        <v>4.8</v>
      </c>
      <c r="N952">
        <v>0</v>
      </c>
      <c r="O952" s="1">
        <v>0.75</v>
      </c>
      <c r="P952" s="1">
        <f t="shared" si="59"/>
        <v>0.75</v>
      </c>
    </row>
    <row r="953" spans="1:16" x14ac:dyDescent="0.35">
      <c r="A953" t="s">
        <v>1973</v>
      </c>
      <c r="B953" t="s">
        <v>1974</v>
      </c>
      <c r="C953" t="str">
        <f t="shared" si="56"/>
        <v>Cassandra Macdonald</v>
      </c>
      <c r="D953" t="s">
        <v>38</v>
      </c>
      <c r="E953" t="str">
        <f t="shared" si="57"/>
        <v>Female</v>
      </c>
      <c r="F953" s="12">
        <v>45</v>
      </c>
      <c r="G953" t="s">
        <v>174</v>
      </c>
      <c r="H953" s="12" t="s">
        <v>69</v>
      </c>
      <c r="I953" t="s">
        <v>49</v>
      </c>
      <c r="J953" s="12">
        <v>6</v>
      </c>
      <c r="K953" s="3">
        <v>40</v>
      </c>
      <c r="L953" s="14">
        <f t="shared" si="58"/>
        <v>40</v>
      </c>
      <c r="M953" s="12">
        <v>2</v>
      </c>
      <c r="N953">
        <v>1</v>
      </c>
      <c r="O953" s="1">
        <v>0.78</v>
      </c>
      <c r="P953" s="1">
        <f t="shared" si="59"/>
        <v>0.78</v>
      </c>
    </row>
    <row r="954" spans="1:16" x14ac:dyDescent="0.35">
      <c r="A954" t="s">
        <v>1975</v>
      </c>
      <c r="B954" t="s">
        <v>1976</v>
      </c>
      <c r="C954" t="str">
        <f t="shared" si="56"/>
        <v>Matthew White</v>
      </c>
      <c r="D954" t="s">
        <v>27</v>
      </c>
      <c r="E954" t="str">
        <f t="shared" si="57"/>
        <v>Male</v>
      </c>
      <c r="F954" s="12">
        <v>47</v>
      </c>
      <c r="G954" t="s">
        <v>60</v>
      </c>
      <c r="H954" s="12" t="s">
        <v>61</v>
      </c>
      <c r="I954" t="s">
        <v>86</v>
      </c>
      <c r="J954" s="12">
        <v>16</v>
      </c>
      <c r="K954" s="3">
        <v>100</v>
      </c>
      <c r="L954" s="14">
        <f t="shared" si="58"/>
        <v>100</v>
      </c>
      <c r="M954" s="12">
        <v>3.3</v>
      </c>
      <c r="N954">
        <v>0</v>
      </c>
      <c r="O954" s="1">
        <v>0.65</v>
      </c>
      <c r="P954" s="1">
        <f t="shared" si="59"/>
        <v>0.65</v>
      </c>
    </row>
    <row r="955" spans="1:16" x14ac:dyDescent="0.35">
      <c r="A955" t="s">
        <v>1977</v>
      </c>
      <c r="B955" t="s">
        <v>1978</v>
      </c>
      <c r="C955" t="str">
        <f t="shared" si="56"/>
        <v>Miss Kimberly Marshall</v>
      </c>
      <c r="D955" t="s">
        <v>38</v>
      </c>
      <c r="E955" t="str">
        <f t="shared" si="57"/>
        <v>Female</v>
      </c>
      <c r="F955" s="12">
        <v>59</v>
      </c>
      <c r="G955" t="s">
        <v>64</v>
      </c>
      <c r="H955" s="12" t="s">
        <v>22</v>
      </c>
      <c r="I955" t="s">
        <v>49</v>
      </c>
      <c r="J955" s="12">
        <v>40</v>
      </c>
      <c r="K955" s="3">
        <v>40</v>
      </c>
      <c r="L955" s="14">
        <f t="shared" si="58"/>
        <v>40</v>
      </c>
      <c r="M955" s="12">
        <v>2.5</v>
      </c>
      <c r="N955">
        <v>1</v>
      </c>
      <c r="O955">
        <v>70</v>
      </c>
      <c r="P955" s="1">
        <f t="shared" si="59"/>
        <v>0.7</v>
      </c>
    </row>
    <row r="956" spans="1:16" x14ac:dyDescent="0.35">
      <c r="A956" t="s">
        <v>1979</v>
      </c>
      <c r="B956" t="s">
        <v>1980</v>
      </c>
      <c r="C956" t="str">
        <f t="shared" si="56"/>
        <v>Laura Thompson</v>
      </c>
      <c r="D956" t="s">
        <v>74</v>
      </c>
      <c r="E956" t="str">
        <f t="shared" si="57"/>
        <v>Female</v>
      </c>
      <c r="F956" s="12">
        <v>25</v>
      </c>
      <c r="G956" t="s">
        <v>124</v>
      </c>
      <c r="H956" s="12" t="s">
        <v>22</v>
      </c>
      <c r="I956" t="s">
        <v>17</v>
      </c>
      <c r="J956" s="12">
        <v>6</v>
      </c>
      <c r="K956" s="3">
        <v>100</v>
      </c>
      <c r="L956" s="14">
        <f t="shared" si="58"/>
        <v>100</v>
      </c>
      <c r="M956" s="12">
        <v>3</v>
      </c>
      <c r="N956">
        <v>1</v>
      </c>
      <c r="O956">
        <v>78</v>
      </c>
      <c r="P956" s="1">
        <f t="shared" si="59"/>
        <v>0.78</v>
      </c>
    </row>
    <row r="957" spans="1:16" x14ac:dyDescent="0.35">
      <c r="A957" t="s">
        <v>1981</v>
      </c>
      <c r="B957" t="s">
        <v>1982</v>
      </c>
      <c r="C957" t="str">
        <f t="shared" si="56"/>
        <v>Nathan Soto</v>
      </c>
      <c r="D957" t="s">
        <v>94</v>
      </c>
      <c r="E957" t="str">
        <f t="shared" si="57"/>
        <v>Male</v>
      </c>
      <c r="F957" s="12">
        <v>27</v>
      </c>
      <c r="G957" t="s">
        <v>21</v>
      </c>
      <c r="H957" s="12" t="s">
        <v>22</v>
      </c>
      <c r="I957" t="s">
        <v>35</v>
      </c>
      <c r="J957" s="12">
        <v>3</v>
      </c>
      <c r="K957" s="3" t="s">
        <v>95</v>
      </c>
      <c r="L957" s="14" t="str">
        <f t="shared" si="58"/>
        <v>$ 50</v>
      </c>
      <c r="M957" s="12">
        <v>3</v>
      </c>
      <c r="N957">
        <v>1</v>
      </c>
      <c r="O957" s="1">
        <v>0.96</v>
      </c>
      <c r="P957" s="1">
        <f t="shared" si="59"/>
        <v>0.96</v>
      </c>
    </row>
    <row r="958" spans="1:16" x14ac:dyDescent="0.35">
      <c r="A958" t="s">
        <v>1983</v>
      </c>
      <c r="B958" t="s">
        <v>1984</v>
      </c>
      <c r="C958" t="str">
        <f t="shared" si="56"/>
        <v>Rhonda Hines</v>
      </c>
      <c r="D958" t="s">
        <v>38</v>
      </c>
      <c r="E958" t="str">
        <f t="shared" si="57"/>
        <v>Female</v>
      </c>
      <c r="F958" s="12">
        <v>57</v>
      </c>
      <c r="G958" t="s">
        <v>21</v>
      </c>
      <c r="H958" s="12" t="s">
        <v>22</v>
      </c>
      <c r="I958" t="s">
        <v>43</v>
      </c>
      <c r="J958" s="12">
        <v>5</v>
      </c>
      <c r="K958" s="3" t="s">
        <v>24</v>
      </c>
      <c r="L958" s="14" t="str">
        <f t="shared" si="58"/>
        <v>$ 100</v>
      </c>
      <c r="M958" s="12">
        <v>0</v>
      </c>
      <c r="N958">
        <v>1</v>
      </c>
      <c r="O958" s="1">
        <v>0.8</v>
      </c>
      <c r="P958" s="1">
        <f t="shared" si="59"/>
        <v>0.8</v>
      </c>
    </row>
    <row r="959" spans="1:16" x14ac:dyDescent="0.35">
      <c r="A959" t="s">
        <v>1985</v>
      </c>
      <c r="B959" t="s">
        <v>1986</v>
      </c>
      <c r="C959" t="str">
        <f t="shared" si="56"/>
        <v>Gabrielle Bowman</v>
      </c>
      <c r="D959" t="s">
        <v>38</v>
      </c>
      <c r="E959" t="str">
        <f t="shared" si="57"/>
        <v>Female</v>
      </c>
      <c r="F959" s="12">
        <v>34</v>
      </c>
      <c r="G959" t="s">
        <v>60</v>
      </c>
      <c r="H959" s="12" t="s">
        <v>61</v>
      </c>
      <c r="I959" t="s">
        <v>70</v>
      </c>
      <c r="J959" s="12">
        <v>12</v>
      </c>
      <c r="K959" s="3">
        <v>20</v>
      </c>
      <c r="L959" s="14">
        <f t="shared" si="58"/>
        <v>20</v>
      </c>
      <c r="M959" s="12">
        <v>1.6</v>
      </c>
      <c r="N959">
        <v>1</v>
      </c>
      <c r="O959" s="1">
        <v>0.64</v>
      </c>
      <c r="P959" s="1">
        <f t="shared" si="59"/>
        <v>0.64</v>
      </c>
    </row>
    <row r="960" spans="1:16" x14ac:dyDescent="0.35">
      <c r="A960" t="s">
        <v>1987</v>
      </c>
      <c r="B960" t="s">
        <v>1988</v>
      </c>
      <c r="C960" t="str">
        <f t="shared" si="56"/>
        <v>Julian Edwards</v>
      </c>
      <c r="D960" t="s">
        <v>27</v>
      </c>
      <c r="E960" t="str">
        <f t="shared" si="57"/>
        <v>Male</v>
      </c>
      <c r="F960" s="12">
        <v>55</v>
      </c>
      <c r="G960" t="s">
        <v>131</v>
      </c>
      <c r="H960" s="12" t="s">
        <v>132</v>
      </c>
      <c r="I960" t="s">
        <v>70</v>
      </c>
      <c r="J960" s="12">
        <v>33</v>
      </c>
      <c r="K960" s="3">
        <v>50</v>
      </c>
      <c r="L960" s="14">
        <f t="shared" si="58"/>
        <v>50</v>
      </c>
      <c r="M960" s="12">
        <v>0</v>
      </c>
      <c r="N960">
        <v>0</v>
      </c>
      <c r="O960" s="1">
        <v>0.92</v>
      </c>
      <c r="P960" s="1">
        <f t="shared" si="59"/>
        <v>0.92</v>
      </c>
    </row>
    <row r="961" spans="1:16" x14ac:dyDescent="0.35">
      <c r="A961" t="s">
        <v>1989</v>
      </c>
      <c r="B961" t="s">
        <v>1990</v>
      </c>
      <c r="C961" t="str">
        <f t="shared" si="56"/>
        <v>Nicholas Scott</v>
      </c>
      <c r="D961" t="s">
        <v>27</v>
      </c>
      <c r="E961" t="str">
        <f t="shared" si="57"/>
        <v>Male</v>
      </c>
      <c r="F961" s="12">
        <v>21</v>
      </c>
      <c r="G961" t="s">
        <v>135</v>
      </c>
      <c r="H961" s="12" t="s">
        <v>136</v>
      </c>
      <c r="I961" t="s">
        <v>17</v>
      </c>
      <c r="J961" s="12">
        <v>1</v>
      </c>
      <c r="K961" s="3">
        <v>100</v>
      </c>
      <c r="L961" s="14">
        <f t="shared" si="58"/>
        <v>100</v>
      </c>
      <c r="M961" s="12">
        <v>0</v>
      </c>
      <c r="N961">
        <v>1</v>
      </c>
      <c r="O961">
        <v>16</v>
      </c>
      <c r="P961" s="1">
        <f t="shared" si="59"/>
        <v>0.16</v>
      </c>
    </row>
    <row r="962" spans="1:16" x14ac:dyDescent="0.35">
      <c r="A962" t="s">
        <v>1991</v>
      </c>
      <c r="B962" t="s">
        <v>1992</v>
      </c>
      <c r="C962" t="str">
        <f t="shared" si="56"/>
        <v>Daniel Green</v>
      </c>
      <c r="D962" t="s">
        <v>59</v>
      </c>
      <c r="E962" t="str">
        <f t="shared" si="57"/>
        <v>Male</v>
      </c>
      <c r="F962" s="12">
        <v>53</v>
      </c>
      <c r="G962" t="s">
        <v>41</v>
      </c>
      <c r="H962" s="12" t="s">
        <v>42</v>
      </c>
      <c r="I962" t="s">
        <v>86</v>
      </c>
      <c r="J962" s="12">
        <v>27</v>
      </c>
      <c r="K962" s="3" t="s">
        <v>308</v>
      </c>
      <c r="L962" s="14" t="str">
        <f t="shared" si="58"/>
        <v>$ 20</v>
      </c>
      <c r="M962" s="12">
        <v>4.7</v>
      </c>
      <c r="N962">
        <v>1</v>
      </c>
      <c r="O962">
        <v>71</v>
      </c>
      <c r="P962" s="1">
        <f t="shared" si="59"/>
        <v>0.71</v>
      </c>
    </row>
    <row r="963" spans="1:16" x14ac:dyDescent="0.35">
      <c r="A963" t="s">
        <v>1993</v>
      </c>
      <c r="B963" t="s">
        <v>1994</v>
      </c>
      <c r="C963" t="str">
        <f t="shared" ref="C963:C1001" si="60">PROPER(B963)</f>
        <v>Catherine Johnston</v>
      </c>
      <c r="D963" t="s">
        <v>38</v>
      </c>
      <c r="E963" t="str">
        <f t="shared" ref="E963:E1001" si="61">PROPER(D963)</f>
        <v>Female</v>
      </c>
      <c r="F963" s="12">
        <v>21</v>
      </c>
      <c r="G963" t="s">
        <v>28</v>
      </c>
      <c r="H963" s="12" t="s">
        <v>29</v>
      </c>
      <c r="I963" t="s">
        <v>70</v>
      </c>
      <c r="J963" s="12">
        <v>1</v>
      </c>
      <c r="K963" s="3">
        <v>100</v>
      </c>
      <c r="L963" s="14">
        <f t="shared" ref="L963:L1001" si="62">IF(K963="","",IF(LEFT(K963,3)="USD","$"&amp;MID(K963,4,LEN(K963)-3),K963))</f>
        <v>100</v>
      </c>
      <c r="M963" s="12">
        <v>0</v>
      </c>
      <c r="N963">
        <v>1</v>
      </c>
      <c r="O963" s="1">
        <v>0.95</v>
      </c>
      <c r="P963" s="1">
        <f t="shared" ref="P963:P1000" si="63">IF(O963="","",IF(O963&lt;1,O963,O963/100))</f>
        <v>0.95</v>
      </c>
    </row>
    <row r="964" spans="1:16" x14ac:dyDescent="0.35">
      <c r="A964" t="s">
        <v>1995</v>
      </c>
      <c r="B964" t="s">
        <v>1996</v>
      </c>
      <c r="C964" t="str">
        <f t="shared" si="60"/>
        <v>Brenda Koch</v>
      </c>
      <c r="D964" t="s">
        <v>20</v>
      </c>
      <c r="E964" t="str">
        <f t="shared" si="61"/>
        <v>Female</v>
      </c>
      <c r="F964" s="12">
        <v>36</v>
      </c>
      <c r="G964" t="s">
        <v>104</v>
      </c>
      <c r="H964" s="12" t="s">
        <v>105</v>
      </c>
      <c r="I964" t="s">
        <v>35</v>
      </c>
      <c r="J964" s="12">
        <v>11</v>
      </c>
      <c r="K964" s="3">
        <v>20</v>
      </c>
      <c r="L964" s="14">
        <f t="shared" si="62"/>
        <v>20</v>
      </c>
      <c r="M964" s="12">
        <v>4.0999999999999996</v>
      </c>
      <c r="N964">
        <v>0</v>
      </c>
      <c r="O964" s="1">
        <v>0.86</v>
      </c>
      <c r="P964" s="1">
        <f t="shared" si="63"/>
        <v>0.86</v>
      </c>
    </row>
    <row r="965" spans="1:16" x14ac:dyDescent="0.35">
      <c r="A965" t="s">
        <v>1997</v>
      </c>
      <c r="B965" t="s">
        <v>1998</v>
      </c>
      <c r="C965" t="str">
        <f t="shared" si="60"/>
        <v>Mr. Robert Meza</v>
      </c>
      <c r="D965" t="s">
        <v>27</v>
      </c>
      <c r="E965" t="str">
        <f t="shared" si="61"/>
        <v>Male</v>
      </c>
      <c r="F965" s="12">
        <v>40</v>
      </c>
      <c r="G965" t="s">
        <v>28</v>
      </c>
      <c r="H965" s="12" t="s">
        <v>29</v>
      </c>
      <c r="I965" t="s">
        <v>43</v>
      </c>
      <c r="J965" s="12">
        <v>2</v>
      </c>
      <c r="K965" s="3">
        <v>30</v>
      </c>
      <c r="L965" s="14">
        <f t="shared" si="62"/>
        <v>30</v>
      </c>
      <c r="M965" s="12">
        <v>1.3</v>
      </c>
      <c r="N965">
        <v>1</v>
      </c>
      <c r="O965" s="1">
        <v>0.77</v>
      </c>
      <c r="P965" s="1">
        <f t="shared" si="63"/>
        <v>0.77</v>
      </c>
    </row>
    <row r="966" spans="1:16" x14ac:dyDescent="0.35">
      <c r="A966" t="s">
        <v>1999</v>
      </c>
      <c r="B966" t="s">
        <v>2000</v>
      </c>
      <c r="C966" t="str">
        <f t="shared" si="60"/>
        <v>Latoya Brown</v>
      </c>
      <c r="D966" t="s">
        <v>74</v>
      </c>
      <c r="E966" t="str">
        <f t="shared" si="61"/>
        <v>Female</v>
      </c>
      <c r="F966" s="12">
        <v>59</v>
      </c>
      <c r="G966" t="s">
        <v>64</v>
      </c>
      <c r="H966" s="12" t="s">
        <v>22</v>
      </c>
      <c r="I966" t="s">
        <v>70</v>
      </c>
      <c r="J966" s="12">
        <v>40</v>
      </c>
      <c r="K966" s="3">
        <v>100</v>
      </c>
      <c r="L966" s="14">
        <f t="shared" si="62"/>
        <v>100</v>
      </c>
      <c r="M966" s="12">
        <v>2.6</v>
      </c>
      <c r="N966">
        <v>1</v>
      </c>
      <c r="O966">
        <v>16</v>
      </c>
      <c r="P966" s="1">
        <f t="shared" si="63"/>
        <v>0.16</v>
      </c>
    </row>
    <row r="967" spans="1:16" x14ac:dyDescent="0.35">
      <c r="A967" t="s">
        <v>2001</v>
      </c>
      <c r="B967" t="s">
        <v>2002</v>
      </c>
      <c r="C967" t="str">
        <f t="shared" si="60"/>
        <v>David Osborne Iii</v>
      </c>
      <c r="D967" t="s">
        <v>27</v>
      </c>
      <c r="E967" t="str">
        <f t="shared" si="61"/>
        <v>Male</v>
      </c>
      <c r="F967" s="12">
        <v>45</v>
      </c>
      <c r="G967" t="s">
        <v>41</v>
      </c>
      <c r="H967" s="12" t="s">
        <v>42</v>
      </c>
      <c r="I967" t="s">
        <v>75</v>
      </c>
      <c r="J967" s="12">
        <v>4</v>
      </c>
      <c r="K967" s="3">
        <v>20</v>
      </c>
      <c r="L967" s="14">
        <f t="shared" si="62"/>
        <v>20</v>
      </c>
      <c r="M967" s="12">
        <v>2.7</v>
      </c>
      <c r="N967">
        <v>1</v>
      </c>
      <c r="O967" s="1">
        <v>0.72</v>
      </c>
      <c r="P967" s="1">
        <f t="shared" si="63"/>
        <v>0.72</v>
      </c>
    </row>
    <row r="968" spans="1:16" x14ac:dyDescent="0.35">
      <c r="A968" t="s">
        <v>2003</v>
      </c>
      <c r="B968" t="s">
        <v>2004</v>
      </c>
      <c r="C968" t="str">
        <f t="shared" si="60"/>
        <v>David Hooper</v>
      </c>
      <c r="D968" t="s">
        <v>59</v>
      </c>
      <c r="E968" t="str">
        <f t="shared" si="61"/>
        <v>Male</v>
      </c>
      <c r="F968" s="12">
        <v>44</v>
      </c>
      <c r="G968" t="s">
        <v>109</v>
      </c>
      <c r="H968" s="12" t="s">
        <v>110</v>
      </c>
      <c r="I968" t="s">
        <v>111</v>
      </c>
      <c r="J968" s="12">
        <v>9</v>
      </c>
      <c r="K968" s="3">
        <v>40</v>
      </c>
      <c r="L968" s="14">
        <f t="shared" si="62"/>
        <v>40</v>
      </c>
      <c r="M968" s="12">
        <v>3</v>
      </c>
      <c r="N968">
        <v>0</v>
      </c>
      <c r="O968" s="1">
        <v>0.7</v>
      </c>
      <c r="P968" s="1">
        <f t="shared" si="63"/>
        <v>0.7</v>
      </c>
    </row>
    <row r="969" spans="1:16" x14ac:dyDescent="0.35">
      <c r="A969" t="s">
        <v>2005</v>
      </c>
      <c r="B969" t="s">
        <v>2006</v>
      </c>
      <c r="C969" t="str">
        <f t="shared" si="60"/>
        <v>Sarah Miller</v>
      </c>
      <c r="D969" t="s">
        <v>20</v>
      </c>
      <c r="E969" t="str">
        <f t="shared" si="61"/>
        <v>Female</v>
      </c>
      <c r="F969" s="12">
        <v>36</v>
      </c>
      <c r="G969" t="s">
        <v>64</v>
      </c>
      <c r="H969" s="12" t="s">
        <v>22</v>
      </c>
      <c r="I969" t="s">
        <v>75</v>
      </c>
      <c r="J969" s="12">
        <v>13</v>
      </c>
      <c r="K969" s="3">
        <v>30</v>
      </c>
      <c r="L969" s="14">
        <f t="shared" si="62"/>
        <v>30</v>
      </c>
      <c r="M969" s="12">
        <v>3.6</v>
      </c>
      <c r="N969">
        <v>0</v>
      </c>
      <c r="O969" s="1">
        <v>0.86</v>
      </c>
      <c r="P969" s="1">
        <f t="shared" si="63"/>
        <v>0.86</v>
      </c>
    </row>
    <row r="970" spans="1:16" x14ac:dyDescent="0.35">
      <c r="A970" t="s">
        <v>2007</v>
      </c>
      <c r="B970" t="s">
        <v>2008</v>
      </c>
      <c r="C970" t="str">
        <f t="shared" si="60"/>
        <v>Lisa Werner Md</v>
      </c>
      <c r="D970" t="s">
        <v>74</v>
      </c>
      <c r="E970" t="str">
        <f t="shared" si="61"/>
        <v>Female</v>
      </c>
      <c r="F970" s="12">
        <v>26</v>
      </c>
      <c r="G970" t="s">
        <v>90</v>
      </c>
      <c r="H970" s="12" t="s">
        <v>91</v>
      </c>
      <c r="I970" t="s">
        <v>30</v>
      </c>
      <c r="J970" s="12">
        <v>1</v>
      </c>
      <c r="K970" s="3">
        <v>75</v>
      </c>
      <c r="L970" s="14">
        <f t="shared" si="62"/>
        <v>75</v>
      </c>
      <c r="M970" s="12">
        <v>3</v>
      </c>
      <c r="N970">
        <v>1</v>
      </c>
      <c r="O970">
        <v>16</v>
      </c>
      <c r="P970" s="1">
        <f t="shared" si="63"/>
        <v>0.16</v>
      </c>
    </row>
    <row r="971" spans="1:16" x14ac:dyDescent="0.35">
      <c r="A971" t="s">
        <v>2009</v>
      </c>
      <c r="B971" t="s">
        <v>2010</v>
      </c>
      <c r="C971" t="str">
        <f t="shared" si="60"/>
        <v>Eric Jimenez</v>
      </c>
      <c r="D971" t="s">
        <v>27</v>
      </c>
      <c r="E971" t="str">
        <f t="shared" si="61"/>
        <v>Male</v>
      </c>
      <c r="F971" s="12">
        <v>49</v>
      </c>
      <c r="G971" t="s">
        <v>90</v>
      </c>
      <c r="H971" s="12" t="s">
        <v>91</v>
      </c>
      <c r="I971" t="s">
        <v>35</v>
      </c>
      <c r="J971" s="12">
        <v>1</v>
      </c>
      <c r="K971" s="3">
        <v>40</v>
      </c>
      <c r="L971" s="14">
        <f t="shared" si="62"/>
        <v>40</v>
      </c>
      <c r="M971" s="12">
        <v>0</v>
      </c>
      <c r="N971">
        <v>0</v>
      </c>
      <c r="O971" s="1">
        <v>0.82</v>
      </c>
      <c r="P971" s="1">
        <f t="shared" si="63"/>
        <v>0.82</v>
      </c>
    </row>
    <row r="972" spans="1:16" x14ac:dyDescent="0.35">
      <c r="A972" t="s">
        <v>2011</v>
      </c>
      <c r="B972" t="s">
        <v>2012</v>
      </c>
      <c r="C972" t="str">
        <f t="shared" si="60"/>
        <v>Jay Bush</v>
      </c>
      <c r="D972" t="s">
        <v>27</v>
      </c>
      <c r="E972" t="str">
        <f t="shared" si="61"/>
        <v>Male</v>
      </c>
      <c r="F972" s="12">
        <v>29</v>
      </c>
      <c r="G972" t="s">
        <v>131</v>
      </c>
      <c r="H972" s="12" t="s">
        <v>132</v>
      </c>
      <c r="I972" t="s">
        <v>23</v>
      </c>
      <c r="J972" s="12">
        <v>3</v>
      </c>
      <c r="K972" s="3" t="s">
        <v>53</v>
      </c>
      <c r="L972" s="14" t="str">
        <f t="shared" si="62"/>
        <v>$ 40</v>
      </c>
      <c r="M972" s="12">
        <v>0</v>
      </c>
      <c r="N972">
        <v>1</v>
      </c>
      <c r="O972" s="1">
        <v>0.81</v>
      </c>
      <c r="P972" s="1">
        <f t="shared" si="63"/>
        <v>0.81</v>
      </c>
    </row>
    <row r="973" spans="1:16" x14ac:dyDescent="0.35">
      <c r="A973" t="s">
        <v>2013</v>
      </c>
      <c r="B973" t="s">
        <v>2014</v>
      </c>
      <c r="C973" t="str">
        <f t="shared" si="60"/>
        <v>Johnny Rice</v>
      </c>
      <c r="D973" t="s">
        <v>27</v>
      </c>
      <c r="E973" t="str">
        <f t="shared" si="61"/>
        <v>Male</v>
      </c>
      <c r="F973" s="12">
        <v>32</v>
      </c>
      <c r="G973" t="s">
        <v>131</v>
      </c>
      <c r="H973" s="12" t="s">
        <v>132</v>
      </c>
      <c r="I973" t="s">
        <v>30</v>
      </c>
      <c r="J973" s="12">
        <v>1</v>
      </c>
      <c r="K973" s="3">
        <v>40</v>
      </c>
      <c r="L973" s="14">
        <f t="shared" si="62"/>
        <v>40</v>
      </c>
      <c r="M973" s="12">
        <v>3.1</v>
      </c>
      <c r="N973">
        <v>1</v>
      </c>
      <c r="O973" s="1">
        <v>0.76</v>
      </c>
      <c r="P973" s="1">
        <f t="shared" si="63"/>
        <v>0.76</v>
      </c>
    </row>
    <row r="974" spans="1:16" x14ac:dyDescent="0.35">
      <c r="A974" t="s">
        <v>2015</v>
      </c>
      <c r="B974" t="s">
        <v>2016</v>
      </c>
      <c r="C974" t="str">
        <f t="shared" si="60"/>
        <v>Matthew Strong</v>
      </c>
      <c r="D974" t="s">
        <v>59</v>
      </c>
      <c r="E974" t="str">
        <f t="shared" si="61"/>
        <v>Male</v>
      </c>
      <c r="F974" s="12">
        <v>24</v>
      </c>
      <c r="G974" t="s">
        <v>47</v>
      </c>
      <c r="H974" s="12" t="s">
        <v>48</v>
      </c>
      <c r="I974" t="s">
        <v>17</v>
      </c>
      <c r="J974" s="12">
        <v>3</v>
      </c>
      <c r="K974" s="3" t="s">
        <v>106</v>
      </c>
      <c r="L974" s="14" t="str">
        <f t="shared" si="62"/>
        <v>$ 30</v>
      </c>
      <c r="M974" s="12">
        <v>3.9</v>
      </c>
      <c r="N974">
        <v>0</v>
      </c>
      <c r="O974" s="1">
        <v>0.9</v>
      </c>
      <c r="P974" s="1">
        <f t="shared" si="63"/>
        <v>0.9</v>
      </c>
    </row>
    <row r="975" spans="1:16" x14ac:dyDescent="0.35">
      <c r="A975" t="s">
        <v>2017</v>
      </c>
      <c r="B975" t="s">
        <v>2018</v>
      </c>
      <c r="C975" t="str">
        <f t="shared" si="60"/>
        <v>Mark Chandler</v>
      </c>
      <c r="D975" t="s">
        <v>59</v>
      </c>
      <c r="E975" t="str">
        <f t="shared" si="61"/>
        <v>Male</v>
      </c>
      <c r="F975" s="12">
        <v>35</v>
      </c>
      <c r="G975" t="s">
        <v>109</v>
      </c>
      <c r="H975" s="12" t="s">
        <v>110</v>
      </c>
      <c r="I975" t="s">
        <v>86</v>
      </c>
      <c r="J975" s="12">
        <v>14</v>
      </c>
      <c r="K975" s="3">
        <v>30</v>
      </c>
      <c r="L975" s="14">
        <f t="shared" si="62"/>
        <v>30</v>
      </c>
      <c r="M975" s="12">
        <v>1.6</v>
      </c>
      <c r="N975">
        <v>1</v>
      </c>
      <c r="O975" s="1">
        <v>0.67</v>
      </c>
      <c r="P975" s="1">
        <f t="shared" si="63"/>
        <v>0.67</v>
      </c>
    </row>
    <row r="976" spans="1:16" x14ac:dyDescent="0.35">
      <c r="A976" t="s">
        <v>2019</v>
      </c>
      <c r="B976" t="s">
        <v>2020</v>
      </c>
      <c r="C976" t="str">
        <f t="shared" si="60"/>
        <v>Crystal Brown</v>
      </c>
      <c r="D976" t="s">
        <v>38</v>
      </c>
      <c r="E976" t="str">
        <f t="shared" si="61"/>
        <v>Female</v>
      </c>
      <c r="F976" s="12">
        <v>43</v>
      </c>
      <c r="G976" t="s">
        <v>185</v>
      </c>
      <c r="H976" s="12" t="s">
        <v>69</v>
      </c>
      <c r="I976" t="s">
        <v>17</v>
      </c>
      <c r="J976" s="12">
        <v>2</v>
      </c>
      <c r="K976" s="3">
        <v>40</v>
      </c>
      <c r="L976" s="14">
        <f t="shared" si="62"/>
        <v>40</v>
      </c>
      <c r="M976" s="12">
        <v>1.8</v>
      </c>
      <c r="N976">
        <v>1</v>
      </c>
      <c r="O976" s="1">
        <v>0.61</v>
      </c>
      <c r="P976" s="1">
        <f t="shared" si="63"/>
        <v>0.61</v>
      </c>
    </row>
    <row r="977" spans="1:16" x14ac:dyDescent="0.35">
      <c r="A977" t="s">
        <v>2021</v>
      </c>
      <c r="B977" t="s">
        <v>2022</v>
      </c>
      <c r="C977" t="str">
        <f t="shared" si="60"/>
        <v>Timothy Barton</v>
      </c>
      <c r="D977" t="s">
        <v>27</v>
      </c>
      <c r="E977" t="str">
        <f t="shared" si="61"/>
        <v>Male</v>
      </c>
      <c r="F977" s="12">
        <v>53</v>
      </c>
      <c r="G977" t="s">
        <v>109</v>
      </c>
      <c r="H977" s="12" t="s">
        <v>110</v>
      </c>
      <c r="I977" t="s">
        <v>111</v>
      </c>
      <c r="J977" s="12">
        <v>27</v>
      </c>
      <c r="K977" s="3">
        <v>100</v>
      </c>
      <c r="L977" s="14">
        <f t="shared" si="62"/>
        <v>100</v>
      </c>
      <c r="M977" s="12">
        <v>3.7</v>
      </c>
      <c r="N977">
        <v>1</v>
      </c>
      <c r="O977" s="1">
        <v>0.73</v>
      </c>
      <c r="P977" s="1">
        <f t="shared" si="63"/>
        <v>0.73</v>
      </c>
    </row>
    <row r="978" spans="1:16" x14ac:dyDescent="0.35">
      <c r="A978" t="s">
        <v>2023</v>
      </c>
      <c r="B978" t="s">
        <v>2024</v>
      </c>
      <c r="C978" t="str">
        <f t="shared" si="60"/>
        <v>Lisa Hickman</v>
      </c>
      <c r="D978" t="s">
        <v>38</v>
      </c>
      <c r="E978" t="str">
        <f t="shared" si="61"/>
        <v>Female</v>
      </c>
      <c r="F978" s="12">
        <v>38</v>
      </c>
      <c r="G978" t="s">
        <v>120</v>
      </c>
      <c r="H978" s="12" t="s">
        <v>121</v>
      </c>
      <c r="I978" t="s">
        <v>86</v>
      </c>
      <c r="J978" s="12">
        <v>7</v>
      </c>
      <c r="K978" s="3">
        <v>75</v>
      </c>
      <c r="L978" s="14">
        <f t="shared" si="62"/>
        <v>75</v>
      </c>
      <c r="M978" s="12">
        <v>3</v>
      </c>
      <c r="N978">
        <v>0</v>
      </c>
      <c r="O978">
        <v>16</v>
      </c>
      <c r="P978" s="1">
        <f t="shared" si="63"/>
        <v>0.16</v>
      </c>
    </row>
    <row r="979" spans="1:16" x14ac:dyDescent="0.35">
      <c r="A979" t="s">
        <v>2025</v>
      </c>
      <c r="B979" t="s">
        <v>2026</v>
      </c>
      <c r="C979" t="str">
        <f t="shared" si="60"/>
        <v>Alan Mendoza</v>
      </c>
      <c r="D979" t="s">
        <v>94</v>
      </c>
      <c r="E979" t="str">
        <f t="shared" si="61"/>
        <v>Male</v>
      </c>
      <c r="F979" s="12">
        <v>57</v>
      </c>
      <c r="G979" t="s">
        <v>64</v>
      </c>
      <c r="H979" s="12" t="s">
        <v>22</v>
      </c>
      <c r="I979" t="s">
        <v>75</v>
      </c>
      <c r="J979" s="12">
        <v>29</v>
      </c>
      <c r="K979" s="3">
        <v>75</v>
      </c>
      <c r="L979" s="14">
        <f t="shared" si="62"/>
        <v>75</v>
      </c>
      <c r="M979" s="12">
        <v>4.0999999999999996</v>
      </c>
      <c r="N979">
        <v>0</v>
      </c>
      <c r="O979" s="1">
        <v>0.9</v>
      </c>
      <c r="P979" s="1">
        <f t="shared" si="63"/>
        <v>0.9</v>
      </c>
    </row>
    <row r="980" spans="1:16" x14ac:dyDescent="0.35">
      <c r="A980" t="s">
        <v>2027</v>
      </c>
      <c r="B980" t="s">
        <v>2028</v>
      </c>
      <c r="C980" t="str">
        <f t="shared" si="60"/>
        <v>Jason Sanders</v>
      </c>
      <c r="D980" t="s">
        <v>59</v>
      </c>
      <c r="E980" t="str">
        <f t="shared" si="61"/>
        <v>Male</v>
      </c>
      <c r="F980" s="12">
        <v>27</v>
      </c>
      <c r="G980" t="s">
        <v>170</v>
      </c>
      <c r="H980" s="12" t="s">
        <v>171</v>
      </c>
      <c r="I980" t="s">
        <v>17</v>
      </c>
      <c r="J980" s="12">
        <v>5</v>
      </c>
      <c r="K980" s="3">
        <v>75</v>
      </c>
      <c r="L980" s="14">
        <f t="shared" si="62"/>
        <v>75</v>
      </c>
      <c r="M980" s="12">
        <v>1.4</v>
      </c>
      <c r="N980">
        <v>1</v>
      </c>
      <c r="O980" s="1">
        <v>0.64</v>
      </c>
      <c r="P980" s="1">
        <f t="shared" si="63"/>
        <v>0.64</v>
      </c>
    </row>
    <row r="981" spans="1:16" x14ac:dyDescent="0.35">
      <c r="A981" t="s">
        <v>2029</v>
      </c>
      <c r="B981" t="s">
        <v>2030</v>
      </c>
      <c r="C981" t="str">
        <f t="shared" si="60"/>
        <v>Charles Dean</v>
      </c>
      <c r="D981" t="s">
        <v>27</v>
      </c>
      <c r="E981" t="str">
        <f t="shared" si="61"/>
        <v>Male</v>
      </c>
      <c r="F981" s="12">
        <v>43</v>
      </c>
      <c r="G981" t="s">
        <v>68</v>
      </c>
      <c r="H981" s="12" t="s">
        <v>69</v>
      </c>
      <c r="I981" t="s">
        <v>35</v>
      </c>
      <c r="J981" s="12">
        <v>2</v>
      </c>
      <c r="K981" s="3">
        <v>100</v>
      </c>
      <c r="L981" s="14">
        <f t="shared" si="62"/>
        <v>100</v>
      </c>
      <c r="M981" s="12">
        <v>1.1000000000000001</v>
      </c>
      <c r="N981">
        <v>1</v>
      </c>
      <c r="O981" s="1">
        <v>0.63</v>
      </c>
      <c r="P981" s="1">
        <f t="shared" si="63"/>
        <v>0.63</v>
      </c>
    </row>
    <row r="982" spans="1:16" x14ac:dyDescent="0.35">
      <c r="A982" t="s">
        <v>2031</v>
      </c>
      <c r="B982" t="s">
        <v>2032</v>
      </c>
      <c r="C982" t="str">
        <f t="shared" si="60"/>
        <v>Blake Newton</v>
      </c>
      <c r="D982" t="s">
        <v>27</v>
      </c>
      <c r="E982" t="str">
        <f t="shared" si="61"/>
        <v>Male</v>
      </c>
      <c r="F982" s="12">
        <v>48</v>
      </c>
      <c r="G982" t="s">
        <v>124</v>
      </c>
      <c r="H982" s="12" t="s">
        <v>22</v>
      </c>
      <c r="I982" t="s">
        <v>49</v>
      </c>
      <c r="J982" s="12">
        <v>18</v>
      </c>
      <c r="K982" s="3">
        <v>40</v>
      </c>
      <c r="L982" s="14">
        <f t="shared" si="62"/>
        <v>40</v>
      </c>
      <c r="M982" s="12">
        <v>3.9</v>
      </c>
      <c r="N982">
        <v>1</v>
      </c>
      <c r="O982">
        <v>16</v>
      </c>
      <c r="P982" s="1">
        <f t="shared" si="63"/>
        <v>0.16</v>
      </c>
    </row>
    <row r="983" spans="1:16" x14ac:dyDescent="0.35">
      <c r="A983" t="s">
        <v>2033</v>
      </c>
      <c r="B983" t="s">
        <v>2034</v>
      </c>
      <c r="C983" t="str">
        <f t="shared" si="60"/>
        <v>David Gonzalez</v>
      </c>
      <c r="D983" t="s">
        <v>27</v>
      </c>
      <c r="E983" t="str">
        <f t="shared" si="61"/>
        <v>Male</v>
      </c>
      <c r="F983" s="12">
        <v>26</v>
      </c>
      <c r="G983" t="s">
        <v>104</v>
      </c>
      <c r="H983" s="12" t="s">
        <v>105</v>
      </c>
      <c r="I983" t="s">
        <v>75</v>
      </c>
      <c r="J983" s="12">
        <v>8</v>
      </c>
      <c r="K983" s="3">
        <v>20</v>
      </c>
      <c r="L983" s="14">
        <f t="shared" si="62"/>
        <v>20</v>
      </c>
      <c r="M983" s="12">
        <v>3.6</v>
      </c>
      <c r="N983">
        <v>0</v>
      </c>
      <c r="O983" s="1">
        <v>0.67</v>
      </c>
      <c r="P983" s="1">
        <f t="shared" si="63"/>
        <v>0.67</v>
      </c>
    </row>
    <row r="984" spans="1:16" x14ac:dyDescent="0.35">
      <c r="A984" t="s">
        <v>2035</v>
      </c>
      <c r="B984" t="s">
        <v>2036</v>
      </c>
      <c r="C984" t="str">
        <f t="shared" si="60"/>
        <v>Cindy Williams</v>
      </c>
      <c r="D984" t="s">
        <v>74</v>
      </c>
      <c r="E984" t="str">
        <f t="shared" si="61"/>
        <v>Female</v>
      </c>
      <c r="F984" s="12">
        <v>41</v>
      </c>
      <c r="G984" t="s">
        <v>149</v>
      </c>
      <c r="H984" s="12" t="s">
        <v>150</v>
      </c>
      <c r="I984" t="s">
        <v>30</v>
      </c>
      <c r="J984" s="12">
        <v>11</v>
      </c>
      <c r="K984" s="3">
        <v>40</v>
      </c>
      <c r="L984" s="14">
        <f t="shared" si="62"/>
        <v>40</v>
      </c>
      <c r="M984" s="12">
        <v>0</v>
      </c>
      <c r="N984">
        <v>1</v>
      </c>
      <c r="O984" s="1">
        <v>0.97</v>
      </c>
      <c r="P984" s="1">
        <f t="shared" si="63"/>
        <v>0.97</v>
      </c>
    </row>
    <row r="985" spans="1:16" x14ac:dyDescent="0.35">
      <c r="A985" t="s">
        <v>2037</v>
      </c>
      <c r="B985" t="s">
        <v>2038</v>
      </c>
      <c r="C985" t="str">
        <f t="shared" si="60"/>
        <v>Laura Wong Dds</v>
      </c>
      <c r="D985" t="s">
        <v>38</v>
      </c>
      <c r="E985" t="str">
        <f t="shared" si="61"/>
        <v>Female</v>
      </c>
      <c r="F985" s="12">
        <v>50</v>
      </c>
      <c r="G985" t="s">
        <v>15</v>
      </c>
      <c r="H985" s="12" t="s">
        <v>16</v>
      </c>
      <c r="I985" t="s">
        <v>49</v>
      </c>
      <c r="J985" s="12">
        <v>16</v>
      </c>
      <c r="K985" s="3">
        <v>75</v>
      </c>
      <c r="L985" s="14">
        <f t="shared" si="62"/>
        <v>75</v>
      </c>
      <c r="M985" s="12">
        <v>4.5</v>
      </c>
      <c r="N985">
        <v>0</v>
      </c>
      <c r="O985">
        <v>69</v>
      </c>
      <c r="P985" s="1">
        <f t="shared" si="63"/>
        <v>0.69</v>
      </c>
    </row>
    <row r="986" spans="1:16" x14ac:dyDescent="0.35">
      <c r="A986" t="s">
        <v>2039</v>
      </c>
      <c r="B986" t="s">
        <v>2040</v>
      </c>
      <c r="C986" t="str">
        <f t="shared" si="60"/>
        <v>Robert Moran</v>
      </c>
      <c r="D986" t="s">
        <v>27</v>
      </c>
      <c r="E986" t="str">
        <f t="shared" si="61"/>
        <v>Male</v>
      </c>
      <c r="F986" s="12">
        <v>48</v>
      </c>
      <c r="G986" t="s">
        <v>149</v>
      </c>
      <c r="H986" s="12" t="s">
        <v>150</v>
      </c>
      <c r="I986" t="s">
        <v>35</v>
      </c>
      <c r="J986" s="12">
        <v>8</v>
      </c>
      <c r="K986" s="3">
        <v>50</v>
      </c>
      <c r="L986" s="14">
        <f t="shared" si="62"/>
        <v>50</v>
      </c>
      <c r="M986" s="12">
        <v>3</v>
      </c>
      <c r="N986">
        <v>1</v>
      </c>
      <c r="O986" s="1">
        <v>0.73</v>
      </c>
      <c r="P986" s="1">
        <f t="shared" si="63"/>
        <v>0.73</v>
      </c>
    </row>
    <row r="987" spans="1:16" x14ac:dyDescent="0.35">
      <c r="A987" t="s">
        <v>2041</v>
      </c>
      <c r="B987" t="s">
        <v>2042</v>
      </c>
      <c r="C987" t="str">
        <f t="shared" si="60"/>
        <v>Bradley Wu</v>
      </c>
      <c r="D987" t="s">
        <v>27</v>
      </c>
      <c r="E987" t="str">
        <f t="shared" si="61"/>
        <v>Male</v>
      </c>
      <c r="F987" s="12">
        <v>60</v>
      </c>
      <c r="G987" t="s">
        <v>185</v>
      </c>
      <c r="H987" s="12" t="s">
        <v>69</v>
      </c>
      <c r="I987" t="s">
        <v>17</v>
      </c>
      <c r="J987" s="12">
        <v>39</v>
      </c>
      <c r="K987" s="3">
        <v>20</v>
      </c>
      <c r="L987" s="14">
        <f t="shared" si="62"/>
        <v>20</v>
      </c>
      <c r="M987" s="12">
        <v>1.4</v>
      </c>
      <c r="N987">
        <v>1</v>
      </c>
      <c r="O987" s="1">
        <v>0.86</v>
      </c>
      <c r="P987" s="1">
        <f t="shared" si="63"/>
        <v>0.86</v>
      </c>
    </row>
    <row r="988" spans="1:16" x14ac:dyDescent="0.35">
      <c r="A988" t="s">
        <v>2043</v>
      </c>
      <c r="B988" t="s">
        <v>2044</v>
      </c>
      <c r="C988" t="str">
        <f t="shared" si="60"/>
        <v>Daniel Thomas</v>
      </c>
      <c r="D988" t="s">
        <v>94</v>
      </c>
      <c r="E988" t="str">
        <f t="shared" si="61"/>
        <v>Male</v>
      </c>
      <c r="F988" s="12">
        <v>26</v>
      </c>
      <c r="G988" t="s">
        <v>135</v>
      </c>
      <c r="H988" s="12" t="s">
        <v>136</v>
      </c>
      <c r="I988" t="s">
        <v>111</v>
      </c>
      <c r="J988" s="12">
        <v>11</v>
      </c>
      <c r="K988" s="3">
        <v>50</v>
      </c>
      <c r="L988" s="14">
        <f t="shared" si="62"/>
        <v>50</v>
      </c>
      <c r="M988" s="12">
        <v>0</v>
      </c>
      <c r="N988">
        <v>1</v>
      </c>
      <c r="O988">
        <v>81</v>
      </c>
      <c r="P988" s="1">
        <f t="shared" si="63"/>
        <v>0.81</v>
      </c>
    </row>
    <row r="989" spans="1:16" x14ac:dyDescent="0.35">
      <c r="A989" t="s">
        <v>2045</v>
      </c>
      <c r="B989" t="s">
        <v>2046</v>
      </c>
      <c r="C989" t="str">
        <f t="shared" si="60"/>
        <v>Michelle Peterson</v>
      </c>
      <c r="D989" t="s">
        <v>20</v>
      </c>
      <c r="E989" t="str">
        <f t="shared" si="61"/>
        <v>Female</v>
      </c>
      <c r="F989" s="12">
        <v>35</v>
      </c>
      <c r="G989" t="s">
        <v>109</v>
      </c>
      <c r="H989" s="12" t="s">
        <v>110</v>
      </c>
      <c r="I989" t="s">
        <v>30</v>
      </c>
      <c r="J989" s="12">
        <v>16</v>
      </c>
      <c r="K989" s="3" t="s">
        <v>24</v>
      </c>
      <c r="L989" s="14" t="str">
        <f t="shared" si="62"/>
        <v>$ 100</v>
      </c>
      <c r="M989" s="12">
        <v>4.3</v>
      </c>
      <c r="N989">
        <v>1</v>
      </c>
      <c r="O989" s="1">
        <v>0.74</v>
      </c>
      <c r="P989" s="1">
        <f t="shared" si="63"/>
        <v>0.74</v>
      </c>
    </row>
    <row r="990" spans="1:16" x14ac:dyDescent="0.35">
      <c r="A990" t="s">
        <v>2047</v>
      </c>
      <c r="B990" t="s">
        <v>2048</v>
      </c>
      <c r="C990" t="str">
        <f t="shared" si="60"/>
        <v>Seth Thomas</v>
      </c>
      <c r="D990" t="s">
        <v>94</v>
      </c>
      <c r="E990" t="str">
        <f t="shared" si="61"/>
        <v>Male</v>
      </c>
      <c r="F990" s="12">
        <v>23</v>
      </c>
      <c r="G990" t="s">
        <v>56</v>
      </c>
      <c r="H990" s="12" t="s">
        <v>22</v>
      </c>
      <c r="I990" t="s">
        <v>17</v>
      </c>
      <c r="J990" s="12">
        <v>4</v>
      </c>
      <c r="K990" s="3">
        <v>100</v>
      </c>
      <c r="L990" s="14">
        <f t="shared" si="62"/>
        <v>100</v>
      </c>
      <c r="M990" s="12">
        <v>2.2000000000000002</v>
      </c>
      <c r="N990">
        <v>1</v>
      </c>
      <c r="O990">
        <v>64</v>
      </c>
      <c r="P990" s="1">
        <f>IF(O990="","",IF(O990&lt;1,O990,O990/100))</f>
        <v>0.64</v>
      </c>
    </row>
    <row r="991" spans="1:16" x14ac:dyDescent="0.35">
      <c r="A991" t="s">
        <v>2049</v>
      </c>
      <c r="B991" t="s">
        <v>2050</v>
      </c>
      <c r="C991" t="str">
        <f t="shared" si="60"/>
        <v>Evan Ramos</v>
      </c>
      <c r="D991" t="s">
        <v>94</v>
      </c>
      <c r="E991" t="str">
        <f t="shared" si="61"/>
        <v>Male</v>
      </c>
      <c r="F991" s="12">
        <v>37</v>
      </c>
      <c r="G991" t="s">
        <v>21</v>
      </c>
      <c r="H991" s="12" t="s">
        <v>22</v>
      </c>
      <c r="I991" t="s">
        <v>30</v>
      </c>
      <c r="J991" s="12">
        <v>4</v>
      </c>
      <c r="K991" s="3">
        <v>75</v>
      </c>
      <c r="L991" s="14">
        <f t="shared" si="62"/>
        <v>75</v>
      </c>
      <c r="M991" s="12">
        <v>3.2</v>
      </c>
      <c r="N991">
        <v>0</v>
      </c>
      <c r="O991" s="1">
        <v>0.76</v>
      </c>
      <c r="P991" s="1">
        <f t="shared" si="63"/>
        <v>0.76</v>
      </c>
    </row>
    <row r="992" spans="1:16" x14ac:dyDescent="0.35">
      <c r="A992" t="s">
        <v>2051</v>
      </c>
      <c r="B992" t="s">
        <v>2052</v>
      </c>
      <c r="C992" t="str">
        <f t="shared" si="60"/>
        <v>Michelle Solis</v>
      </c>
      <c r="D992" t="s">
        <v>20</v>
      </c>
      <c r="E992" t="str">
        <f t="shared" si="61"/>
        <v>Female</v>
      </c>
      <c r="F992" s="12">
        <v>21</v>
      </c>
      <c r="G992" t="s">
        <v>68</v>
      </c>
      <c r="H992" s="12" t="s">
        <v>69</v>
      </c>
      <c r="I992" t="s">
        <v>43</v>
      </c>
      <c r="J992" s="12">
        <v>2</v>
      </c>
      <c r="K992" s="3">
        <v>100</v>
      </c>
      <c r="L992" s="14">
        <f>IF(K992="","",IF(LEFT(K992,3)="USD","$"&amp;MID(K992,4,LEN(K992)-3),K992))</f>
        <v>100</v>
      </c>
      <c r="M992" s="12">
        <v>3.7</v>
      </c>
      <c r="N992">
        <v>1</v>
      </c>
      <c r="O992">
        <v>73</v>
      </c>
      <c r="P992" s="1">
        <f t="shared" si="63"/>
        <v>0.73</v>
      </c>
    </row>
    <row r="993" spans="1:16" x14ac:dyDescent="0.35">
      <c r="A993" t="s">
        <v>2053</v>
      </c>
      <c r="B993" t="s">
        <v>2054</v>
      </c>
      <c r="C993" t="str">
        <f t="shared" si="60"/>
        <v>Charlotte Taylor</v>
      </c>
      <c r="D993" t="s">
        <v>20</v>
      </c>
      <c r="E993" t="str">
        <f t="shared" si="61"/>
        <v>Female</v>
      </c>
      <c r="F993" s="12">
        <v>58</v>
      </c>
      <c r="G993" t="s">
        <v>28</v>
      </c>
      <c r="H993" s="12" t="s">
        <v>29</v>
      </c>
      <c r="I993" t="s">
        <v>70</v>
      </c>
      <c r="J993" s="12">
        <v>37</v>
      </c>
      <c r="K993" s="3" t="s">
        <v>95</v>
      </c>
      <c r="L993" s="14" t="str">
        <f t="shared" si="62"/>
        <v>$ 50</v>
      </c>
      <c r="M993" s="12">
        <v>4.9000000000000004</v>
      </c>
      <c r="N993">
        <v>0</v>
      </c>
      <c r="O993" s="1">
        <v>0.69</v>
      </c>
      <c r="P993" s="1">
        <f t="shared" si="63"/>
        <v>0.69</v>
      </c>
    </row>
    <row r="994" spans="1:16" x14ac:dyDescent="0.35">
      <c r="A994" t="s">
        <v>2055</v>
      </c>
      <c r="B994" t="s">
        <v>2056</v>
      </c>
      <c r="C994" t="str">
        <f t="shared" si="60"/>
        <v>Sandra Preston</v>
      </c>
      <c r="D994" t="s">
        <v>74</v>
      </c>
      <c r="E994" t="str">
        <f t="shared" si="61"/>
        <v>Female</v>
      </c>
      <c r="F994" s="12">
        <v>52</v>
      </c>
      <c r="G994" t="s">
        <v>47</v>
      </c>
      <c r="H994" s="12" t="s">
        <v>48</v>
      </c>
      <c r="I994" t="s">
        <v>23</v>
      </c>
      <c r="J994" s="12">
        <v>32</v>
      </c>
      <c r="K994" s="3">
        <v>75</v>
      </c>
      <c r="L994" s="14">
        <f t="shared" si="62"/>
        <v>75</v>
      </c>
      <c r="M994" s="12">
        <v>3.2</v>
      </c>
      <c r="N994">
        <v>0</v>
      </c>
      <c r="O994" s="1">
        <v>0.79</v>
      </c>
      <c r="P994" s="1">
        <f t="shared" si="63"/>
        <v>0.79</v>
      </c>
    </row>
    <row r="995" spans="1:16" x14ac:dyDescent="0.35">
      <c r="A995" t="s">
        <v>2057</v>
      </c>
      <c r="B995" t="s">
        <v>2058</v>
      </c>
      <c r="C995" t="str">
        <f t="shared" si="60"/>
        <v>Jim Weiss</v>
      </c>
      <c r="D995" t="s">
        <v>27</v>
      </c>
      <c r="E995" t="str">
        <f t="shared" si="61"/>
        <v>Male</v>
      </c>
      <c r="F995" s="12">
        <v>46</v>
      </c>
      <c r="G995" t="s">
        <v>120</v>
      </c>
      <c r="H995" s="12" t="s">
        <v>121</v>
      </c>
      <c r="I995" t="s">
        <v>23</v>
      </c>
      <c r="J995" s="12">
        <v>8</v>
      </c>
      <c r="K995" s="3">
        <v>20</v>
      </c>
      <c r="L995" s="14">
        <f t="shared" si="62"/>
        <v>20</v>
      </c>
      <c r="M995" s="12">
        <v>2.2000000000000002</v>
      </c>
      <c r="N995">
        <v>1</v>
      </c>
      <c r="O995">
        <v>89</v>
      </c>
      <c r="P995" s="1">
        <f t="shared" si="63"/>
        <v>0.89</v>
      </c>
    </row>
    <row r="996" spans="1:16" x14ac:dyDescent="0.35">
      <c r="A996" t="s">
        <v>2059</v>
      </c>
      <c r="B996" t="s">
        <v>2060</v>
      </c>
      <c r="C996" t="str">
        <f t="shared" si="60"/>
        <v>Jennifer Hinton</v>
      </c>
      <c r="D996" t="s">
        <v>74</v>
      </c>
      <c r="E996" t="str">
        <f t="shared" si="61"/>
        <v>Female</v>
      </c>
      <c r="F996" s="12">
        <v>34</v>
      </c>
      <c r="G996" t="s">
        <v>149</v>
      </c>
      <c r="H996" s="12" t="s">
        <v>150</v>
      </c>
      <c r="I996" t="s">
        <v>86</v>
      </c>
      <c r="J996" s="12">
        <v>8</v>
      </c>
      <c r="K996" s="3">
        <v>30</v>
      </c>
      <c r="L996" s="14">
        <f t="shared" si="62"/>
        <v>30</v>
      </c>
      <c r="M996" s="12">
        <v>3.9</v>
      </c>
      <c r="N996">
        <v>1</v>
      </c>
      <c r="O996" s="1">
        <v>0.95</v>
      </c>
      <c r="P996" s="1">
        <f t="shared" si="63"/>
        <v>0.95</v>
      </c>
    </row>
    <row r="997" spans="1:16" x14ac:dyDescent="0.35">
      <c r="A997" t="s">
        <v>2061</v>
      </c>
      <c r="B997" t="s">
        <v>2062</v>
      </c>
      <c r="C997" t="str">
        <f t="shared" si="60"/>
        <v>Albert Wilcox</v>
      </c>
      <c r="D997" t="s">
        <v>94</v>
      </c>
      <c r="E997" t="str">
        <f t="shared" si="61"/>
        <v>Male</v>
      </c>
      <c r="F997" s="12">
        <v>56</v>
      </c>
      <c r="G997" t="s">
        <v>60</v>
      </c>
      <c r="H997" s="12" t="s">
        <v>61</v>
      </c>
      <c r="I997" t="s">
        <v>86</v>
      </c>
      <c r="J997" s="12">
        <v>13</v>
      </c>
      <c r="K997" s="3">
        <v>100</v>
      </c>
      <c r="L997" s="14">
        <f t="shared" si="62"/>
        <v>100</v>
      </c>
      <c r="M997" s="12">
        <v>0</v>
      </c>
      <c r="N997">
        <v>1</v>
      </c>
      <c r="O997" s="1">
        <v>0.68</v>
      </c>
      <c r="P997" s="1">
        <f t="shared" si="63"/>
        <v>0.68</v>
      </c>
    </row>
    <row r="998" spans="1:16" x14ac:dyDescent="0.35">
      <c r="A998" t="s">
        <v>2063</v>
      </c>
      <c r="B998" t="s">
        <v>2064</v>
      </c>
      <c r="C998" t="str">
        <f t="shared" si="60"/>
        <v>Cheryl Norris</v>
      </c>
      <c r="D998" t="s">
        <v>38</v>
      </c>
      <c r="E998" t="str">
        <f t="shared" si="61"/>
        <v>Female</v>
      </c>
      <c r="F998" s="12">
        <v>26</v>
      </c>
      <c r="G998" t="s">
        <v>28</v>
      </c>
      <c r="H998" s="12" t="s">
        <v>29</v>
      </c>
      <c r="I998" t="s">
        <v>17</v>
      </c>
      <c r="J998" s="12">
        <v>6</v>
      </c>
      <c r="K998" s="3" t="s">
        <v>53</v>
      </c>
      <c r="L998" s="14" t="str">
        <f t="shared" si="62"/>
        <v>$ 40</v>
      </c>
      <c r="M998" s="12">
        <v>2.8</v>
      </c>
      <c r="N998">
        <v>0</v>
      </c>
      <c r="O998">
        <v>82</v>
      </c>
      <c r="P998" s="1">
        <f t="shared" si="63"/>
        <v>0.82</v>
      </c>
    </row>
    <row r="999" spans="1:16" x14ac:dyDescent="0.35">
      <c r="A999" t="s">
        <v>2065</v>
      </c>
      <c r="B999" t="s">
        <v>2066</v>
      </c>
      <c r="C999" t="str">
        <f t="shared" si="60"/>
        <v>Kathy Watkins</v>
      </c>
      <c r="D999" t="s">
        <v>38</v>
      </c>
      <c r="E999" t="str">
        <f t="shared" si="61"/>
        <v>Female</v>
      </c>
      <c r="F999" s="12">
        <v>37</v>
      </c>
      <c r="G999" t="s">
        <v>82</v>
      </c>
      <c r="H999" s="12" t="s">
        <v>83</v>
      </c>
      <c r="I999" t="s">
        <v>49</v>
      </c>
      <c r="J999" s="12">
        <v>15</v>
      </c>
      <c r="K999" s="3">
        <v>75</v>
      </c>
      <c r="L999" s="14">
        <f t="shared" si="62"/>
        <v>75</v>
      </c>
      <c r="M999" s="12">
        <v>3</v>
      </c>
      <c r="N999">
        <v>0</v>
      </c>
      <c r="O999" s="1">
        <v>0.94</v>
      </c>
      <c r="P999" s="1">
        <f t="shared" si="63"/>
        <v>0.94</v>
      </c>
    </row>
    <row r="1000" spans="1:16" x14ac:dyDescent="0.35">
      <c r="A1000" t="s">
        <v>2067</v>
      </c>
      <c r="B1000" t="s">
        <v>2068</v>
      </c>
      <c r="C1000" t="str">
        <f t="shared" si="60"/>
        <v>John Obrien</v>
      </c>
      <c r="D1000" t="s">
        <v>27</v>
      </c>
      <c r="E1000" t="str">
        <f t="shared" si="61"/>
        <v>Male</v>
      </c>
      <c r="F1000" s="12">
        <v>46</v>
      </c>
      <c r="G1000" t="s">
        <v>120</v>
      </c>
      <c r="H1000" s="12" t="s">
        <v>121</v>
      </c>
      <c r="I1000" t="s">
        <v>111</v>
      </c>
      <c r="J1000" s="12">
        <v>22</v>
      </c>
      <c r="K1000" s="3">
        <v>100</v>
      </c>
      <c r="L1000" s="14">
        <f>IF(K1000="","",IF(LEFT(K1000,3)="USD","$"&amp;MID(K1000,4,LEN(K1000)-3),K1000))</f>
        <v>100</v>
      </c>
      <c r="M1000" s="12">
        <v>2.8</v>
      </c>
      <c r="N1000">
        <v>1</v>
      </c>
      <c r="O1000">
        <v>97</v>
      </c>
      <c r="P1000" s="1">
        <f t="shared" si="63"/>
        <v>0.97</v>
      </c>
    </row>
    <row r="1001" spans="1:16" x14ac:dyDescent="0.35">
      <c r="A1001" t="s">
        <v>2069</v>
      </c>
      <c r="B1001" t="s">
        <v>2070</v>
      </c>
      <c r="C1001" t="str">
        <f t="shared" si="60"/>
        <v>Dawn Green</v>
      </c>
      <c r="D1001" t="s">
        <v>74</v>
      </c>
      <c r="E1001" t="str">
        <f t="shared" si="61"/>
        <v>Female</v>
      </c>
      <c r="F1001" s="12">
        <v>36</v>
      </c>
      <c r="G1001" t="s">
        <v>174</v>
      </c>
      <c r="H1001" s="12" t="s">
        <v>69</v>
      </c>
      <c r="I1001" t="s">
        <v>70</v>
      </c>
      <c r="J1001" s="12">
        <v>18</v>
      </c>
      <c r="K1001" s="3">
        <v>20</v>
      </c>
      <c r="L1001" s="14">
        <f t="shared" si="62"/>
        <v>20</v>
      </c>
      <c r="M1001" s="12">
        <v>1.7</v>
      </c>
      <c r="N1001">
        <v>1</v>
      </c>
      <c r="O1001">
        <v>72</v>
      </c>
      <c r="P1001" s="1">
        <f>IF(O1001="","",IF(O1001&lt;1,O1001,O1001/100))</f>
        <v>0.72</v>
      </c>
    </row>
    <row r="1002" spans="1:16" x14ac:dyDescent="0.35">
      <c r="F1002" s="12">
        <f>ROUND(AVERAGE(F2:F1001),0)</f>
        <v>41</v>
      </c>
      <c r="J1002" s="12">
        <f>ROUND(AVERAGE(J2:J1001),0)</f>
        <v>12</v>
      </c>
      <c r="K1002" s="3">
        <v>40</v>
      </c>
      <c r="L1002" s="14">
        <f>MEDIAN(L2:L1001)</f>
        <v>40</v>
      </c>
      <c r="M1002" s="12">
        <f>ROUND(AVERAGE(M2:M1001),0)</f>
        <v>3</v>
      </c>
      <c r="N1002">
        <f>ROUND(AVERAGE(N2:N1001),0)</f>
        <v>1</v>
      </c>
      <c r="O1002">
        <v>16</v>
      </c>
      <c r="P1002" s="1">
        <f>ROUND(AVERAGE(2:1001),0)</f>
        <v>20</v>
      </c>
    </row>
  </sheetData>
  <conditionalFormatting sqref="O2:O1048576">
    <cfRule type="cellIs" dxfId="2" priority="3" operator="greaterThan">
      <formula>100</formula>
    </cfRule>
  </conditionalFormatting>
  <conditionalFormatting sqref="Q2:Q1048576">
    <cfRule type="cellIs" dxfId="1" priority="1" operator="greaterThan">
      <formula>100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BBE479-C826-44EE-89A1-9CE86EAA141C}">
  <dimension ref="A1:L1001"/>
  <sheetViews>
    <sheetView workbookViewId="0">
      <selection activeCell="F11" sqref="F11"/>
    </sheetView>
  </sheetViews>
  <sheetFormatPr defaultRowHeight="15" x14ac:dyDescent="0.35"/>
  <cols>
    <col min="1" max="1" width="18" style="5" customWidth="1"/>
    <col min="2" max="2" width="15.54296875" style="5" customWidth="1"/>
    <col min="3" max="5" width="8.7265625" style="5"/>
    <col min="6" max="6" width="15" style="5" customWidth="1"/>
    <col min="7" max="7" width="21.26953125" style="5" customWidth="1"/>
    <col min="8" max="8" width="19.81640625" style="5" customWidth="1"/>
    <col min="9" max="9" width="21.54296875" style="6" customWidth="1"/>
    <col min="10" max="11" width="8.7265625" style="5"/>
    <col min="12" max="12" width="17.26953125" style="7" customWidth="1"/>
    <col min="13" max="16384" width="8.7265625" style="5"/>
  </cols>
  <sheetData>
    <row r="1" spans="1:12" x14ac:dyDescent="0.35">
      <c r="A1" s="5" t="s">
        <v>2071</v>
      </c>
      <c r="B1" s="8" t="s">
        <v>2072</v>
      </c>
      <c r="C1" s="8" t="s">
        <v>2073</v>
      </c>
      <c r="D1" s="8" t="s">
        <v>2074</v>
      </c>
      <c r="E1" s="8" t="s">
        <v>2075</v>
      </c>
      <c r="F1" s="8" t="s">
        <v>2076</v>
      </c>
      <c r="G1" s="8" t="s">
        <v>2077</v>
      </c>
      <c r="H1" s="8" t="s">
        <v>2078</v>
      </c>
      <c r="I1" s="9" t="s">
        <v>2079</v>
      </c>
      <c r="J1" s="8" t="s">
        <v>2080</v>
      </c>
      <c r="K1" s="8" t="s">
        <v>2082</v>
      </c>
      <c r="L1" s="10" t="s">
        <v>2081</v>
      </c>
    </row>
    <row r="2" spans="1:12" x14ac:dyDescent="0.35">
      <c r="A2" s="5" t="s">
        <v>12</v>
      </c>
      <c r="B2" s="5" t="str">
        <f>VLOOKUP(globalfreelancepreprocesseddata!A2,worksheet!A:P,3,FALSE)</f>
        <v>Ms. Nicole Kidd</v>
      </c>
      <c r="C2" s="5" t="str">
        <f>VLOOKUP(globalfreelancepreprocesseddata!A2,worksheet!A:P,5,FALSE)</f>
        <v>Female</v>
      </c>
      <c r="D2" s="5">
        <f>VLOOKUP(globalfreelancepreprocesseddata!A2,worksheet!A:P,6,FALSE)</f>
        <v>52</v>
      </c>
      <c r="E2" s="5" t="str">
        <f>VLOOKUP(globalfreelancepreprocesseddata!A2,worksheet!A:P,7,FALSE)</f>
        <v>Italy</v>
      </c>
      <c r="F2" s="5" t="str">
        <f>VLOOKUP(globalfreelancepreprocesseddata!A2,worksheet!A:P,8,FALSE)</f>
        <v>Italian</v>
      </c>
      <c r="G2" s="5" t="str">
        <f>VLOOKUP(globalfreelancepreprocesseddata!A2,worksheet!A:P,9,FALSE)</f>
        <v>Blockchain Development</v>
      </c>
      <c r="H2" s="5">
        <f>VLOOKUP(globalfreelancepreprocesseddata!A2,worksheet!A:P,10,FALSE)</f>
        <v>11</v>
      </c>
      <c r="I2" s="6">
        <f>VLOOKUP(globalfreelancepreprocesseddata!A2,worksheet!A:P,12,FALSE)</f>
        <v>100</v>
      </c>
      <c r="J2" s="5">
        <f>VLOOKUP(globalfreelancepreprocesseddata!A2,worksheet!A:P,13,FALSE)</f>
        <v>3</v>
      </c>
      <c r="K2" s="5">
        <f>VLOOKUP(globalfreelancepreprocesseddata!A2,worksheet!A:P,14,FALSE)</f>
        <v>0</v>
      </c>
      <c r="L2" s="7">
        <f>VLOOKUP(globalfreelancepreprocesseddata!A2,worksheet!A:P,16,FALSE)</f>
        <v>0.16</v>
      </c>
    </row>
    <row r="3" spans="1:12" x14ac:dyDescent="0.35">
      <c r="A3" s="5" t="s">
        <v>18</v>
      </c>
      <c r="B3" s="5" t="str">
        <f>VLOOKUP(globalfreelancepreprocesseddata!A3,worksheet!A:P,3,FALSE)</f>
        <v>Vanessa Garcia</v>
      </c>
      <c r="C3" s="5" t="str">
        <f>VLOOKUP(globalfreelancepreprocesseddata!A3,worksheet!A:P,5,FALSE)</f>
        <v>Female</v>
      </c>
      <c r="D3" s="5">
        <f>VLOOKUP(globalfreelancepreprocesseddata!A3,worksheet!A:P,6,FALSE)</f>
        <v>52</v>
      </c>
      <c r="E3" s="5" t="str">
        <f>VLOOKUP(globalfreelancepreprocesseddata!A3,worksheet!A:P,7,FALSE)</f>
        <v>Australia</v>
      </c>
      <c r="F3" s="5" t="str">
        <f>VLOOKUP(globalfreelancepreprocesseddata!A3,worksheet!A:P,8,FALSE)</f>
        <v>English</v>
      </c>
      <c r="G3" s="5" t="str">
        <f>VLOOKUP(globalfreelancepreprocesseddata!A3,worksheet!A:P,9,FALSE)</f>
        <v>Mobile Apps</v>
      </c>
      <c r="H3" s="5">
        <f>VLOOKUP(globalfreelancepreprocesseddata!A3,worksheet!A:P,10,FALSE)</f>
        <v>34</v>
      </c>
      <c r="I3" s="6" t="str">
        <f>VLOOKUP(globalfreelancepreprocesseddata!A3,worksheet!A:P,12,FALSE)</f>
        <v>$ 100</v>
      </c>
      <c r="J3" s="5">
        <f>VLOOKUP(globalfreelancepreprocesseddata!A3,worksheet!A:P,13,FALSE)</f>
        <v>3.3</v>
      </c>
      <c r="K3" s="5">
        <f>VLOOKUP(globalfreelancepreprocesseddata!A3,worksheet!A:P,14,FALSE)</f>
        <v>1</v>
      </c>
      <c r="L3" s="7">
        <f>VLOOKUP(globalfreelancepreprocesseddata!A3,worksheet!A:P,16,FALSE)</f>
        <v>0.84</v>
      </c>
    </row>
    <row r="4" spans="1:12" x14ac:dyDescent="0.35">
      <c r="A4" s="5" t="s">
        <v>25</v>
      </c>
      <c r="B4" s="5" t="str">
        <f>VLOOKUP(globalfreelancepreprocesseddata!A4,worksheet!A:P,3,FALSE)</f>
        <v>Juan Nelson</v>
      </c>
      <c r="C4" s="5" t="str">
        <f>VLOOKUP(globalfreelancepreprocesseddata!A4,worksheet!A:P,5,FALSE)</f>
        <v>Male</v>
      </c>
      <c r="D4" s="5">
        <f>VLOOKUP(globalfreelancepreprocesseddata!A4,worksheet!A:P,6,FALSE)</f>
        <v>53</v>
      </c>
      <c r="E4" s="5" t="str">
        <f>VLOOKUP(globalfreelancepreprocesseddata!A4,worksheet!A:P,7,FALSE)</f>
        <v>Germany</v>
      </c>
      <c r="F4" s="5" t="str">
        <f>VLOOKUP(globalfreelancepreprocesseddata!A4,worksheet!A:P,8,FALSE)</f>
        <v>German</v>
      </c>
      <c r="G4" s="5" t="str">
        <f>VLOOKUP(globalfreelancepreprocesseddata!A4,worksheet!A:P,9,FALSE)</f>
        <v>Graphic Design</v>
      </c>
      <c r="H4" s="5">
        <f>VLOOKUP(globalfreelancepreprocesseddata!A4,worksheet!A:P,10,FALSE)</f>
        <v>31</v>
      </c>
      <c r="I4" s="6">
        <f>VLOOKUP(globalfreelancepreprocesseddata!A4,worksheet!A:P,12,FALSE)</f>
        <v>50</v>
      </c>
      <c r="J4" s="5">
        <f>VLOOKUP(globalfreelancepreprocesseddata!A4,worksheet!A:P,13,FALSE)</f>
        <v>0</v>
      </c>
      <c r="K4" s="5">
        <f>VLOOKUP(globalfreelancepreprocesseddata!A4,worksheet!A:P,14,FALSE)</f>
        <v>0</v>
      </c>
      <c r="L4" s="7">
        <f>VLOOKUP(globalfreelancepreprocesseddata!A4,worksheet!A:P,16,FALSE)</f>
        <v>0.71</v>
      </c>
    </row>
    <row r="5" spans="1:12" x14ac:dyDescent="0.35">
      <c r="A5" s="5" t="s">
        <v>32</v>
      </c>
      <c r="B5" s="5" t="str">
        <f>VLOOKUP(globalfreelancepreprocesseddata!A5,worksheet!A:P,3,FALSE)</f>
        <v>Amanda Spencer</v>
      </c>
      <c r="C5" s="5" t="str">
        <f>VLOOKUP(globalfreelancepreprocesseddata!A5,worksheet!A:P,5,FALSE)</f>
        <v>Female</v>
      </c>
      <c r="D5" s="5">
        <f>VLOOKUP(globalfreelancepreprocesseddata!A5,worksheet!A:P,6,FALSE)</f>
        <v>38</v>
      </c>
      <c r="E5" s="5" t="str">
        <f>VLOOKUP(globalfreelancepreprocesseddata!A5,worksheet!A:P,7,FALSE)</f>
        <v>Australia</v>
      </c>
      <c r="F5" s="5" t="str">
        <f>VLOOKUP(globalfreelancepreprocesseddata!A5,worksheet!A:P,8,FALSE)</f>
        <v>English</v>
      </c>
      <c r="G5" s="5" t="str">
        <f>VLOOKUP(globalfreelancepreprocesseddata!A5,worksheet!A:P,9,FALSE)</f>
        <v>Web Development</v>
      </c>
      <c r="H5" s="5">
        <f>VLOOKUP(globalfreelancepreprocesseddata!A5,worksheet!A:P,10,FALSE)</f>
        <v>4</v>
      </c>
      <c r="I5" s="6">
        <f>VLOOKUP(globalfreelancepreprocesseddata!A5,worksheet!A:P,12,FALSE)</f>
        <v>40</v>
      </c>
      <c r="J5" s="5">
        <f>VLOOKUP(globalfreelancepreprocesseddata!A5,worksheet!A:P,13,FALSE)</f>
        <v>1.5</v>
      </c>
      <c r="K5" s="5">
        <f>VLOOKUP(globalfreelancepreprocesseddata!A5,worksheet!A:P,14,FALSE)</f>
        <v>0</v>
      </c>
      <c r="L5" s="7">
        <f>VLOOKUP(globalfreelancepreprocesseddata!A5,worksheet!A:P,16,FALSE)</f>
        <v>0.9</v>
      </c>
    </row>
    <row r="6" spans="1:12" x14ac:dyDescent="0.35">
      <c r="A6" s="5" t="s">
        <v>36</v>
      </c>
      <c r="B6" s="5" t="str">
        <f>VLOOKUP(globalfreelancepreprocesseddata!A6,worksheet!A:P,3,FALSE)</f>
        <v>Lynn Curtis Dds</v>
      </c>
      <c r="C6" s="5" t="str">
        <f>VLOOKUP(globalfreelancepreprocesseddata!A6,worksheet!A:P,5,FALSE)</f>
        <v>Female</v>
      </c>
      <c r="D6" s="5">
        <f>VLOOKUP(globalfreelancepreprocesseddata!A6,worksheet!A:P,6,FALSE)</f>
        <v>53</v>
      </c>
      <c r="E6" s="5" t="str">
        <f>VLOOKUP(globalfreelancepreprocesseddata!A6,worksheet!A:P,7,FALSE)</f>
        <v>Germany</v>
      </c>
      <c r="F6" s="5" t="str">
        <f>VLOOKUP(globalfreelancepreprocesseddata!A6,worksheet!A:P,8,FALSE)</f>
        <v>German</v>
      </c>
      <c r="G6" s="5" t="str">
        <f>VLOOKUP(globalfreelancepreprocesseddata!A6,worksheet!A:P,9,FALSE)</f>
        <v>Web Development</v>
      </c>
      <c r="H6" s="5">
        <f>VLOOKUP(globalfreelancepreprocesseddata!A6,worksheet!A:P,10,FALSE)</f>
        <v>27</v>
      </c>
      <c r="I6" s="6">
        <f>VLOOKUP(globalfreelancepreprocesseddata!A6,worksheet!A:P,12,FALSE)</f>
        <v>30</v>
      </c>
      <c r="J6" s="5">
        <f>VLOOKUP(globalfreelancepreprocesseddata!A6,worksheet!A:P,13,FALSE)</f>
        <v>4.8</v>
      </c>
      <c r="K6" s="5">
        <f>VLOOKUP(globalfreelancepreprocesseddata!A6,worksheet!A:P,14,FALSE)</f>
        <v>0</v>
      </c>
      <c r="L6" s="7">
        <f>VLOOKUP(globalfreelancepreprocesseddata!A6,worksheet!A:P,16,FALSE)</f>
        <v>0.83</v>
      </c>
    </row>
    <row r="7" spans="1:12" x14ac:dyDescent="0.35">
      <c r="A7" s="5" t="s">
        <v>39</v>
      </c>
      <c r="B7" s="5" t="str">
        <f>VLOOKUP(globalfreelancepreprocesseddata!A7,worksheet!A:P,3,FALSE)</f>
        <v>Lisa Johnson</v>
      </c>
      <c r="C7" s="5" t="str">
        <f>VLOOKUP(globalfreelancepreprocesseddata!A7,worksheet!A:P,5,FALSE)</f>
        <v>Female</v>
      </c>
      <c r="D7" s="5">
        <f>VLOOKUP(globalfreelancepreprocesseddata!A7,worksheet!A:P,6,FALSE)</f>
        <v>59</v>
      </c>
      <c r="E7" s="5" t="str">
        <f>VLOOKUP(globalfreelancepreprocesseddata!A7,worksheet!A:P,7,FALSE)</f>
        <v>Netherlands</v>
      </c>
      <c r="F7" s="5" t="str">
        <f>VLOOKUP(globalfreelancepreprocesseddata!A7,worksheet!A:P,8,FALSE)</f>
        <v>Dutch</v>
      </c>
      <c r="G7" s="5" t="str">
        <f>VLOOKUP(globalfreelancepreprocesseddata!A7,worksheet!A:P,9,FALSE)</f>
        <v>AI</v>
      </c>
      <c r="H7" s="5">
        <f>VLOOKUP(globalfreelancepreprocesseddata!A7,worksheet!A:P,10,FALSE)</f>
        <v>14</v>
      </c>
      <c r="I7" s="6">
        <f>VLOOKUP(globalfreelancepreprocesseddata!A7,worksheet!A:P,12,FALSE)</f>
        <v>30</v>
      </c>
      <c r="J7" s="5">
        <f>VLOOKUP(globalfreelancepreprocesseddata!A7,worksheet!A:P,13,FALSE)</f>
        <v>2.4</v>
      </c>
      <c r="K7" s="5">
        <f>VLOOKUP(globalfreelancepreprocesseddata!A7,worksheet!A:P,14,FALSE)</f>
        <v>0</v>
      </c>
      <c r="L7" s="7">
        <f>VLOOKUP(globalfreelancepreprocesseddata!A7,worksheet!A:P,16,FALSE)</f>
        <v>0.16</v>
      </c>
    </row>
    <row r="8" spans="1:12" x14ac:dyDescent="0.35">
      <c r="A8" s="5" t="s">
        <v>44</v>
      </c>
      <c r="B8" s="5" t="str">
        <f>VLOOKUP(globalfreelancepreprocesseddata!A8,worksheet!A:P,3,FALSE)</f>
        <v>Eric Myers</v>
      </c>
      <c r="C8" s="5" t="str">
        <f>VLOOKUP(globalfreelancepreprocesseddata!A8,worksheet!A:P,5,FALSE)</f>
        <v>Male</v>
      </c>
      <c r="D8" s="5">
        <f>VLOOKUP(globalfreelancepreprocesseddata!A8,worksheet!A:P,6,FALSE)</f>
        <v>52</v>
      </c>
      <c r="E8" s="5" t="str">
        <f>VLOOKUP(globalfreelancepreprocesseddata!A8,worksheet!A:P,7,FALSE)</f>
        <v>Indonesia</v>
      </c>
      <c r="F8" s="5" t="str">
        <f>VLOOKUP(globalfreelancepreprocesseddata!A8,worksheet!A:P,8,FALSE)</f>
        <v>Indonesian</v>
      </c>
      <c r="G8" s="5" t="str">
        <f>VLOOKUP(globalfreelancepreprocesseddata!A8,worksheet!A:P,9,FALSE)</f>
        <v>Data Analysis</v>
      </c>
      <c r="H8" s="5">
        <f>VLOOKUP(globalfreelancepreprocesseddata!A8,worksheet!A:P,10,FALSE)</f>
        <v>10</v>
      </c>
      <c r="I8" s="6" t="str">
        <f>VLOOKUP(globalfreelancepreprocesseddata!A8,worksheet!A:P,12,FALSE)</f>
        <v>$ 75</v>
      </c>
      <c r="J8" s="5">
        <f>VLOOKUP(globalfreelancepreprocesseddata!A8,worksheet!A:P,13,FALSE)</f>
        <v>3.1</v>
      </c>
      <c r="K8" s="5">
        <f>VLOOKUP(globalfreelancepreprocesseddata!A8,worksheet!A:P,14,FALSE)</f>
        <v>0</v>
      </c>
      <c r="L8" s="7">
        <f>VLOOKUP(globalfreelancepreprocesseddata!A8,worksheet!A:P,16,FALSE)</f>
        <v>0.94</v>
      </c>
    </row>
    <row r="9" spans="1:12" x14ac:dyDescent="0.35">
      <c r="A9" s="5" t="s">
        <v>51</v>
      </c>
      <c r="B9" s="5" t="str">
        <f>VLOOKUP(globalfreelancepreprocesseddata!A9,worksheet!A:P,3,FALSE)</f>
        <v>Ricky Graham</v>
      </c>
      <c r="C9" s="5" t="str">
        <f>VLOOKUP(globalfreelancepreprocesseddata!A9,worksheet!A:P,5,FALSE)</f>
        <v>Male</v>
      </c>
      <c r="D9" s="5">
        <f>VLOOKUP(globalfreelancepreprocesseddata!A9,worksheet!A:P,6,FALSE)</f>
        <v>43</v>
      </c>
      <c r="E9" s="5" t="str">
        <f>VLOOKUP(globalfreelancepreprocesseddata!A9,worksheet!A:P,7,FALSE)</f>
        <v>Italy</v>
      </c>
      <c r="F9" s="5" t="str">
        <f>VLOOKUP(globalfreelancepreprocesseddata!A9,worksheet!A:P,8,FALSE)</f>
        <v>Italian</v>
      </c>
      <c r="G9" s="5" t="str">
        <f>VLOOKUP(globalfreelancepreprocesseddata!A9,worksheet!A:P,9,FALSE)</f>
        <v>Blockchain Development</v>
      </c>
      <c r="H9" s="5">
        <f>VLOOKUP(globalfreelancepreprocesseddata!A9,worksheet!A:P,10,FALSE)</f>
        <v>14</v>
      </c>
      <c r="I9" s="6" t="str">
        <f>VLOOKUP(globalfreelancepreprocesseddata!A9,worksheet!A:P,12,FALSE)</f>
        <v>$ 40</v>
      </c>
      <c r="J9" s="5">
        <f>VLOOKUP(globalfreelancepreprocesseddata!A9,worksheet!A:P,13,FALSE)</f>
        <v>4.5999999999999996</v>
      </c>
      <c r="K9" s="5">
        <f>VLOOKUP(globalfreelancepreprocesseddata!A9,worksheet!A:P,14,FALSE)</f>
        <v>0</v>
      </c>
      <c r="L9" s="7">
        <f>VLOOKUP(globalfreelancepreprocesseddata!A9,worksheet!A:P,16,FALSE)</f>
        <v>0.94</v>
      </c>
    </row>
    <row r="10" spans="1:12" x14ac:dyDescent="0.35">
      <c r="A10" s="5" t="s">
        <v>54</v>
      </c>
      <c r="B10" s="5" t="str">
        <f>VLOOKUP(globalfreelancepreprocesseddata!A10,worksheet!A:P,3,FALSE)</f>
        <v>Sean Martin</v>
      </c>
      <c r="C10" s="5" t="str">
        <f>VLOOKUP(globalfreelancepreprocesseddata!A10,worksheet!A:P,5,FALSE)</f>
        <v>Male</v>
      </c>
      <c r="D10" s="5">
        <f>VLOOKUP(globalfreelancepreprocesseddata!A10,worksheet!A:P,6,FALSE)</f>
        <v>26</v>
      </c>
      <c r="E10" s="5" t="str">
        <f>VLOOKUP(globalfreelancepreprocesseddata!A10,worksheet!A:P,7,FALSE)</f>
        <v>United States</v>
      </c>
      <c r="F10" s="5" t="str">
        <f>VLOOKUP(globalfreelancepreprocesseddata!A10,worksheet!A:P,8,FALSE)</f>
        <v>English</v>
      </c>
      <c r="G10" s="5" t="str">
        <f>VLOOKUP(globalfreelancepreprocesseddata!A10,worksheet!A:P,9,FALSE)</f>
        <v>Blockchain Development</v>
      </c>
      <c r="H10" s="5">
        <f>VLOOKUP(globalfreelancepreprocesseddata!A10,worksheet!A:P,10,FALSE)</f>
        <v>4</v>
      </c>
      <c r="I10" s="6">
        <f>VLOOKUP(globalfreelancepreprocesseddata!A10,worksheet!A:P,12,FALSE)</f>
        <v>40</v>
      </c>
      <c r="J10" s="5">
        <f>VLOOKUP(globalfreelancepreprocesseddata!A10,worksheet!A:P,13,FALSE)</f>
        <v>4</v>
      </c>
      <c r="K10" s="5">
        <f>VLOOKUP(globalfreelancepreprocesseddata!A10,worksheet!A:P,14,FALSE)</f>
        <v>1</v>
      </c>
      <c r="L10" s="7">
        <f>VLOOKUP(globalfreelancepreprocesseddata!A10,worksheet!A:P,16,FALSE)</f>
        <v>0.76</v>
      </c>
    </row>
    <row r="11" spans="1:12" x14ac:dyDescent="0.35">
      <c r="A11" s="5" t="s">
        <v>57</v>
      </c>
      <c r="B11" s="5" t="str">
        <f>VLOOKUP(globalfreelancepreprocesseddata!A11,worksheet!A:P,3,FALSE)</f>
        <v>Matthew Lloyd</v>
      </c>
      <c r="C11" s="5" t="str">
        <f>VLOOKUP(globalfreelancepreprocesseddata!A11,worksheet!A:P,5,FALSE)</f>
        <v>Male</v>
      </c>
      <c r="D11" s="5">
        <f>VLOOKUP(globalfreelancepreprocesseddata!A11,worksheet!A:P,6,FALSE)</f>
        <v>52</v>
      </c>
      <c r="E11" s="5" t="str">
        <f>VLOOKUP(globalfreelancepreprocesseddata!A11,worksheet!A:P,7,FALSE)</f>
        <v>Turkey</v>
      </c>
      <c r="F11" s="5" t="str">
        <f>VLOOKUP(globalfreelancepreprocesseddata!A11,worksheet!A:P,8,FALSE)</f>
        <v>Turkish</v>
      </c>
      <c r="G11" s="5" t="str">
        <f>VLOOKUP(globalfreelancepreprocesseddata!A11,worksheet!A:P,9,FALSE)</f>
        <v>AI</v>
      </c>
      <c r="H11" s="5">
        <f>VLOOKUP(globalfreelancepreprocesseddata!A11,worksheet!A:P,10,FALSE)</f>
        <v>22</v>
      </c>
      <c r="I11" s="6">
        <f>VLOOKUP(globalfreelancepreprocesseddata!A11,worksheet!A:P,12,FALSE)</f>
        <v>50</v>
      </c>
      <c r="J11" s="5">
        <f>VLOOKUP(globalfreelancepreprocesseddata!A11,worksheet!A:P,13,FALSE)</f>
        <v>3</v>
      </c>
      <c r="K11" s="5">
        <f>VLOOKUP(globalfreelancepreprocesseddata!A11,worksheet!A:P,14,FALSE)</f>
        <v>1</v>
      </c>
      <c r="L11" s="7">
        <f>VLOOKUP(globalfreelancepreprocesseddata!A11,worksheet!A:P,16,FALSE)</f>
        <v>0.16</v>
      </c>
    </row>
    <row r="12" spans="1:12" x14ac:dyDescent="0.35">
      <c r="A12" s="5" t="s">
        <v>62</v>
      </c>
      <c r="B12" s="5" t="str">
        <f>VLOOKUP(globalfreelancepreprocesseddata!A12,worksheet!A:P,3,FALSE)</f>
        <v>Gavin Randall</v>
      </c>
      <c r="C12" s="5" t="str">
        <f>VLOOKUP(globalfreelancepreprocesseddata!A12,worksheet!A:P,5,FALSE)</f>
        <v>Male</v>
      </c>
      <c r="D12" s="5">
        <f>VLOOKUP(globalfreelancepreprocesseddata!A12,worksheet!A:P,6,FALSE)</f>
        <v>40</v>
      </c>
      <c r="E12" s="5" t="str">
        <f>VLOOKUP(globalfreelancepreprocesseddata!A12,worksheet!A:P,7,FALSE)</f>
        <v>United Kingdom</v>
      </c>
      <c r="F12" s="5" t="str">
        <f>VLOOKUP(globalfreelancepreprocesseddata!A12,worksheet!A:P,8,FALSE)</f>
        <v>English</v>
      </c>
      <c r="G12" s="5" t="str">
        <f>VLOOKUP(globalfreelancepreprocesseddata!A12,worksheet!A:P,9,FALSE)</f>
        <v>Data Analysis</v>
      </c>
      <c r="H12" s="5">
        <f>VLOOKUP(globalfreelancepreprocesseddata!A12,worksheet!A:P,10,FALSE)</f>
        <v>17</v>
      </c>
      <c r="I12" s="6">
        <f>VLOOKUP(globalfreelancepreprocesseddata!A12,worksheet!A:P,12,FALSE)</f>
        <v>40</v>
      </c>
      <c r="J12" s="5">
        <f>VLOOKUP(globalfreelancepreprocesseddata!A12,worksheet!A:P,13,FALSE)</f>
        <v>3.6</v>
      </c>
      <c r="K12" s="5">
        <f>VLOOKUP(globalfreelancepreprocesseddata!A12,worksheet!A:P,14,FALSE)</f>
        <v>1</v>
      </c>
      <c r="L12" s="7">
        <f>VLOOKUP(globalfreelancepreprocesseddata!A12,worksheet!A:P,16,FALSE)</f>
        <v>0.77</v>
      </c>
    </row>
    <row r="13" spans="1:12" x14ac:dyDescent="0.35">
      <c r="A13" s="5" t="s">
        <v>66</v>
      </c>
      <c r="B13" s="5" t="str">
        <f>VLOOKUP(globalfreelancepreprocesseddata!A13,worksheet!A:P,3,FALSE)</f>
        <v>Michelle Curtis</v>
      </c>
      <c r="C13" s="5" t="str">
        <f>VLOOKUP(globalfreelancepreprocesseddata!A13,worksheet!A:P,5,FALSE)</f>
        <v>Female</v>
      </c>
      <c r="D13" s="5">
        <f>VLOOKUP(globalfreelancepreprocesseddata!A13,worksheet!A:P,6,FALSE)</f>
        <v>55</v>
      </c>
      <c r="E13" s="5" t="str">
        <f>VLOOKUP(globalfreelancepreprocesseddata!A13,worksheet!A:P,7,FALSE)</f>
        <v>Argentina</v>
      </c>
      <c r="F13" s="5" t="str">
        <f>VLOOKUP(globalfreelancepreprocesseddata!A13,worksheet!A:P,8,FALSE)</f>
        <v>Spanish</v>
      </c>
      <c r="G13" s="5" t="str">
        <f>VLOOKUP(globalfreelancepreprocesseddata!A13,worksheet!A:P,9,FALSE)</f>
        <v>UI/UX Design</v>
      </c>
      <c r="H13" s="5">
        <f>VLOOKUP(globalfreelancepreprocesseddata!A13,worksheet!A:P,10,FALSE)</f>
        <v>15</v>
      </c>
      <c r="I13" s="6">
        <f>VLOOKUP(globalfreelancepreprocesseddata!A13,worksheet!A:P,12,FALSE)</f>
        <v>40</v>
      </c>
      <c r="J13" s="5">
        <f>VLOOKUP(globalfreelancepreprocesseddata!A13,worksheet!A:P,13,FALSE)</f>
        <v>3</v>
      </c>
      <c r="K13" s="5">
        <f>VLOOKUP(globalfreelancepreprocesseddata!A13,worksheet!A:P,14,FALSE)</f>
        <v>1</v>
      </c>
      <c r="L13" s="7">
        <f>VLOOKUP(globalfreelancepreprocesseddata!A13,worksheet!A:P,16,FALSE)</f>
        <v>0.86</v>
      </c>
    </row>
    <row r="14" spans="1:12" x14ac:dyDescent="0.35">
      <c r="A14" s="5" t="s">
        <v>72</v>
      </c>
      <c r="B14" s="5" t="str">
        <f>VLOOKUP(globalfreelancepreprocesseddata!A14,worksheet!A:P,3,FALSE)</f>
        <v>Alice Schneider</v>
      </c>
      <c r="C14" s="5" t="str">
        <f>VLOOKUP(globalfreelancepreprocesseddata!A14,worksheet!A:P,5,FALSE)</f>
        <v>Female</v>
      </c>
      <c r="D14" s="5">
        <f>VLOOKUP(globalfreelancepreprocesseddata!A14,worksheet!A:P,6,FALSE)</f>
        <v>57</v>
      </c>
      <c r="E14" s="5" t="str">
        <f>VLOOKUP(globalfreelancepreprocesseddata!A14,worksheet!A:P,7,FALSE)</f>
        <v>United Kingdom</v>
      </c>
      <c r="F14" s="5" t="str">
        <f>VLOOKUP(globalfreelancepreprocesseddata!A14,worksheet!A:P,8,FALSE)</f>
        <v>English</v>
      </c>
      <c r="G14" s="5" t="str">
        <f>VLOOKUP(globalfreelancepreprocesseddata!A14,worksheet!A:P,9,FALSE)</f>
        <v>Cybersecurity</v>
      </c>
      <c r="H14" s="5">
        <f>VLOOKUP(globalfreelancepreprocesseddata!A14,worksheet!A:P,10,FALSE)</f>
        <v>18</v>
      </c>
      <c r="I14" s="6">
        <f>VLOOKUP(globalfreelancepreprocesseddata!A14,worksheet!A:P,12,FALSE)</f>
        <v>40</v>
      </c>
      <c r="J14" s="5">
        <f>VLOOKUP(globalfreelancepreprocesseddata!A14,worksheet!A:P,13,FALSE)</f>
        <v>2</v>
      </c>
      <c r="K14" s="5">
        <f>VLOOKUP(globalfreelancepreprocesseddata!A14,worksheet!A:P,14,FALSE)</f>
        <v>0</v>
      </c>
      <c r="L14" s="7">
        <f>VLOOKUP(globalfreelancepreprocesseddata!A14,worksheet!A:P,16,FALSE)</f>
        <v>0.86</v>
      </c>
    </row>
    <row r="15" spans="1:12" x14ac:dyDescent="0.35">
      <c r="A15" s="5" t="s">
        <v>76</v>
      </c>
      <c r="B15" s="5" t="str">
        <f>VLOOKUP(globalfreelancepreprocesseddata!A15,worksheet!A:P,3,FALSE)</f>
        <v>Phillip Shelton</v>
      </c>
      <c r="C15" s="5" t="str">
        <f>VLOOKUP(globalfreelancepreprocesseddata!A15,worksheet!A:P,5,FALSE)</f>
        <v>Male</v>
      </c>
      <c r="D15" s="5">
        <f>VLOOKUP(globalfreelancepreprocesseddata!A15,worksheet!A:P,6,FALSE)</f>
        <v>38</v>
      </c>
      <c r="E15" s="5" t="str">
        <f>VLOOKUP(globalfreelancepreprocesseddata!A15,worksheet!A:P,7,FALSE)</f>
        <v>Argentina</v>
      </c>
      <c r="F15" s="5" t="str">
        <f>VLOOKUP(globalfreelancepreprocesseddata!A15,worksheet!A:P,8,FALSE)</f>
        <v>Spanish</v>
      </c>
      <c r="G15" s="5" t="str">
        <f>VLOOKUP(globalfreelancepreprocesseddata!A15,worksheet!A:P,9,FALSE)</f>
        <v>Graphic Design</v>
      </c>
      <c r="H15" s="5">
        <f>VLOOKUP(globalfreelancepreprocesseddata!A15,worksheet!A:P,10,FALSE)</f>
        <v>20</v>
      </c>
      <c r="I15" s="6" t="str">
        <f>VLOOKUP(globalfreelancepreprocesseddata!A15,worksheet!A:P,12,FALSE)</f>
        <v>$ 75</v>
      </c>
      <c r="J15" s="5">
        <f>VLOOKUP(globalfreelancepreprocesseddata!A15,worksheet!A:P,13,FALSE)</f>
        <v>2.9</v>
      </c>
      <c r="K15" s="5">
        <f>VLOOKUP(globalfreelancepreprocesseddata!A15,worksheet!A:P,14,FALSE)</f>
        <v>1</v>
      </c>
      <c r="L15" s="7">
        <f>VLOOKUP(globalfreelancepreprocesseddata!A15,worksheet!A:P,16,FALSE)</f>
        <v>0.93</v>
      </c>
    </row>
    <row r="16" spans="1:12" x14ac:dyDescent="0.35">
      <c r="A16" s="5" t="s">
        <v>78</v>
      </c>
      <c r="B16" s="5" t="str">
        <f>VLOOKUP(globalfreelancepreprocesseddata!A16,worksheet!A:P,3,FALSE)</f>
        <v>Edward Ferguson</v>
      </c>
      <c r="C16" s="5" t="str">
        <f>VLOOKUP(globalfreelancepreprocesseddata!A16,worksheet!A:P,5,FALSE)</f>
        <v>Male</v>
      </c>
      <c r="D16" s="5">
        <f>VLOOKUP(globalfreelancepreprocesseddata!A16,worksheet!A:P,6,FALSE)</f>
        <v>50</v>
      </c>
      <c r="E16" s="5" t="str">
        <f>VLOOKUP(globalfreelancepreprocesseddata!A16,worksheet!A:P,7,FALSE)</f>
        <v>Germany</v>
      </c>
      <c r="F16" s="5" t="str">
        <f>VLOOKUP(globalfreelancepreprocesseddata!A16,worksheet!A:P,8,FALSE)</f>
        <v>German</v>
      </c>
      <c r="G16" s="5" t="str">
        <f>VLOOKUP(globalfreelancepreprocesseddata!A16,worksheet!A:P,9,FALSE)</f>
        <v>Data Analysis</v>
      </c>
      <c r="H16" s="5">
        <f>VLOOKUP(globalfreelancepreprocesseddata!A16,worksheet!A:P,10,FALSE)</f>
        <v>22</v>
      </c>
      <c r="I16" s="6">
        <f>VLOOKUP(globalfreelancepreprocesseddata!A16,worksheet!A:P,12,FALSE)</f>
        <v>75</v>
      </c>
      <c r="J16" s="5">
        <f>VLOOKUP(globalfreelancepreprocesseddata!A16,worksheet!A:P,13,FALSE)</f>
        <v>3.7</v>
      </c>
      <c r="K16" s="5">
        <f>VLOOKUP(globalfreelancepreprocesseddata!A16,worksheet!A:P,14,FALSE)</f>
        <v>1</v>
      </c>
      <c r="L16" s="7">
        <f>VLOOKUP(globalfreelancepreprocesseddata!A16,worksheet!A:P,16,FALSE)</f>
        <v>0.7</v>
      </c>
    </row>
    <row r="17" spans="1:12" x14ac:dyDescent="0.35">
      <c r="A17" s="5" t="s">
        <v>80</v>
      </c>
      <c r="B17" s="5" t="str">
        <f>VLOOKUP(globalfreelancepreprocesseddata!A17,worksheet!A:P,3,FALSE)</f>
        <v>Wyatt Stout</v>
      </c>
      <c r="C17" s="5" t="str">
        <f>VLOOKUP(globalfreelancepreprocesseddata!A17,worksheet!A:P,5,FALSE)</f>
        <v>Male</v>
      </c>
      <c r="D17" s="5">
        <f>VLOOKUP(globalfreelancepreprocesseddata!A17,worksheet!A:P,6,FALSE)</f>
        <v>42</v>
      </c>
      <c r="E17" s="5" t="str">
        <f>VLOOKUP(globalfreelancepreprocesseddata!A17,worksheet!A:P,7,FALSE)</f>
        <v>Japan</v>
      </c>
      <c r="F17" s="5" t="str">
        <f>VLOOKUP(globalfreelancepreprocesseddata!A17,worksheet!A:P,8,FALSE)</f>
        <v>Japanese</v>
      </c>
      <c r="G17" s="5" t="str">
        <f>VLOOKUP(globalfreelancepreprocesseddata!A17,worksheet!A:P,9,FALSE)</f>
        <v>Data Analysis</v>
      </c>
      <c r="H17" s="5">
        <f>VLOOKUP(globalfreelancepreprocesseddata!A17,worksheet!A:P,10,FALSE)</f>
        <v>11</v>
      </c>
      <c r="I17" s="6">
        <f>VLOOKUP(globalfreelancepreprocesseddata!A17,worksheet!A:P,12,FALSE)</f>
        <v>30</v>
      </c>
      <c r="J17" s="5">
        <f>VLOOKUP(globalfreelancepreprocesseddata!A17,worksheet!A:P,13,FALSE)</f>
        <v>1.2</v>
      </c>
      <c r="K17" s="5">
        <f>VLOOKUP(globalfreelancepreprocesseddata!A17,worksheet!A:P,14,FALSE)</f>
        <v>0</v>
      </c>
      <c r="L17" s="7">
        <f>VLOOKUP(globalfreelancepreprocesseddata!A17,worksheet!A:P,16,FALSE)</f>
        <v>0.69</v>
      </c>
    </row>
    <row r="18" spans="1:12" x14ac:dyDescent="0.35">
      <c r="A18" s="5" t="s">
        <v>84</v>
      </c>
      <c r="B18" s="5" t="str">
        <f>VLOOKUP(globalfreelancepreprocesseddata!A18,worksheet!A:P,3,FALSE)</f>
        <v>Laura Johnson</v>
      </c>
      <c r="C18" s="5" t="str">
        <f>VLOOKUP(globalfreelancepreprocesseddata!A18,worksheet!A:P,5,FALSE)</f>
        <v>Female</v>
      </c>
      <c r="D18" s="5">
        <f>VLOOKUP(globalfreelancepreprocesseddata!A18,worksheet!A:P,6,FALSE)</f>
        <v>39</v>
      </c>
      <c r="E18" s="5" t="str">
        <f>VLOOKUP(globalfreelancepreprocesseddata!A18,worksheet!A:P,7,FALSE)</f>
        <v>Australia</v>
      </c>
      <c r="F18" s="5" t="str">
        <f>VLOOKUP(globalfreelancepreprocesseddata!A18,worksheet!A:P,8,FALSE)</f>
        <v>English</v>
      </c>
      <c r="G18" s="5" t="str">
        <f>VLOOKUP(globalfreelancepreprocesseddata!A18,worksheet!A:P,9,FALSE)</f>
        <v>DevOps</v>
      </c>
      <c r="H18" s="5">
        <f>VLOOKUP(globalfreelancepreprocesseddata!A18,worksheet!A:P,10,FALSE)</f>
        <v>13</v>
      </c>
      <c r="I18" s="6">
        <f>VLOOKUP(globalfreelancepreprocesseddata!A18,worksheet!A:P,12,FALSE)</f>
        <v>30</v>
      </c>
      <c r="J18" s="5">
        <f>VLOOKUP(globalfreelancepreprocesseddata!A18,worksheet!A:P,13,FALSE)</f>
        <v>2.5</v>
      </c>
      <c r="K18" s="5">
        <f>VLOOKUP(globalfreelancepreprocesseddata!A18,worksheet!A:P,14,FALSE)</f>
        <v>0</v>
      </c>
      <c r="L18" s="7">
        <f>VLOOKUP(globalfreelancepreprocesseddata!A18,worksheet!A:P,16,FALSE)</f>
        <v>0.6</v>
      </c>
    </row>
    <row r="19" spans="1:12" x14ac:dyDescent="0.35">
      <c r="A19" s="5" t="s">
        <v>87</v>
      </c>
      <c r="B19" s="5" t="str">
        <f>VLOOKUP(globalfreelancepreprocesseddata!A19,worksheet!A:P,3,FALSE)</f>
        <v>Scott Burns</v>
      </c>
      <c r="C19" s="5" t="str">
        <f>VLOOKUP(globalfreelancepreprocesseddata!A19,worksheet!A:P,5,FALSE)</f>
        <v>Male</v>
      </c>
      <c r="D19" s="5">
        <f>VLOOKUP(globalfreelancepreprocesseddata!A19,worksheet!A:P,6,FALSE)</f>
        <v>56</v>
      </c>
      <c r="E19" s="5" t="str">
        <f>VLOOKUP(globalfreelancepreprocesseddata!A19,worksheet!A:P,7,FALSE)</f>
        <v>India</v>
      </c>
      <c r="F19" s="5" t="str">
        <f>VLOOKUP(globalfreelancepreprocesseddata!A19,worksheet!A:P,8,FALSE)</f>
        <v>Hindi</v>
      </c>
      <c r="G19" s="5" t="str">
        <f>VLOOKUP(globalfreelancepreprocesseddata!A19,worksheet!A:P,9,FALSE)</f>
        <v>Blockchain Development</v>
      </c>
      <c r="H19" s="5">
        <f>VLOOKUP(globalfreelancepreprocesseddata!A19,worksheet!A:P,10,FALSE)</f>
        <v>11</v>
      </c>
      <c r="I19" s="6">
        <f>VLOOKUP(globalfreelancepreprocesseddata!A19,worksheet!A:P,12,FALSE)</f>
        <v>40</v>
      </c>
      <c r="J19" s="5">
        <f>VLOOKUP(globalfreelancepreprocesseddata!A19,worksheet!A:P,13,FALSE)</f>
        <v>3</v>
      </c>
      <c r="K19" s="5">
        <f>VLOOKUP(globalfreelancepreprocesseddata!A19,worksheet!A:P,14,FALSE)</f>
        <v>1</v>
      </c>
      <c r="L19" s="7">
        <f>VLOOKUP(globalfreelancepreprocesseddata!A19,worksheet!A:P,16,FALSE)</f>
        <v>0.87</v>
      </c>
    </row>
    <row r="20" spans="1:12" x14ac:dyDescent="0.35">
      <c r="A20" s="5" t="s">
        <v>92</v>
      </c>
      <c r="B20" s="5" t="str">
        <f>VLOOKUP(globalfreelancepreprocesseddata!A20,worksheet!A:P,3,FALSE)</f>
        <v>Tyler Aguirre</v>
      </c>
      <c r="C20" s="5" t="str">
        <f>VLOOKUP(globalfreelancepreprocesseddata!A20,worksheet!A:P,5,FALSE)</f>
        <v>Male</v>
      </c>
      <c r="D20" s="5">
        <f>VLOOKUP(globalfreelancepreprocesseddata!A20,worksheet!A:P,6,FALSE)</f>
        <v>56</v>
      </c>
      <c r="E20" s="5" t="str">
        <f>VLOOKUP(globalfreelancepreprocesseddata!A20,worksheet!A:P,7,FALSE)</f>
        <v>United States</v>
      </c>
      <c r="F20" s="5" t="str">
        <f>VLOOKUP(globalfreelancepreprocesseddata!A20,worksheet!A:P,8,FALSE)</f>
        <v>English</v>
      </c>
      <c r="G20" s="5" t="str">
        <f>VLOOKUP(globalfreelancepreprocesseddata!A20,worksheet!A:P,9,FALSE)</f>
        <v>UI/UX Design</v>
      </c>
      <c r="H20" s="5">
        <f>VLOOKUP(globalfreelancepreprocesseddata!A20,worksheet!A:P,10,FALSE)</f>
        <v>31</v>
      </c>
      <c r="I20" s="6" t="str">
        <f>VLOOKUP(globalfreelancepreprocesseddata!A20,worksheet!A:P,12,FALSE)</f>
        <v>$ 50</v>
      </c>
      <c r="J20" s="5">
        <f>VLOOKUP(globalfreelancepreprocesseddata!A20,worksheet!A:P,13,FALSE)</f>
        <v>1.1000000000000001</v>
      </c>
      <c r="K20" s="5">
        <f>VLOOKUP(globalfreelancepreprocesseddata!A20,worksheet!A:P,14,FALSE)</f>
        <v>0</v>
      </c>
      <c r="L20" s="7">
        <f>VLOOKUP(globalfreelancepreprocesseddata!A20,worksheet!A:P,16,FALSE)</f>
        <v>0.75</v>
      </c>
    </row>
    <row r="21" spans="1:12" x14ac:dyDescent="0.35">
      <c r="A21" s="5" t="s">
        <v>96</v>
      </c>
      <c r="B21" s="5" t="str">
        <f>VLOOKUP(globalfreelancepreprocesseddata!A21,worksheet!A:P,3,FALSE)</f>
        <v>Matthew Lawson</v>
      </c>
      <c r="C21" s="5" t="str">
        <f>VLOOKUP(globalfreelancepreprocesseddata!A21,worksheet!A:P,5,FALSE)</f>
        <v>Male</v>
      </c>
      <c r="D21" s="5">
        <f>VLOOKUP(globalfreelancepreprocesseddata!A21,worksheet!A:P,6,FALSE)</f>
        <v>57</v>
      </c>
      <c r="E21" s="5" t="str">
        <f>VLOOKUP(globalfreelancepreprocesseddata!A21,worksheet!A:P,7,FALSE)</f>
        <v>Italy</v>
      </c>
      <c r="F21" s="5" t="str">
        <f>VLOOKUP(globalfreelancepreprocesseddata!A21,worksheet!A:P,8,FALSE)</f>
        <v>Italian</v>
      </c>
      <c r="G21" s="5" t="str">
        <f>VLOOKUP(globalfreelancepreprocesseddata!A21,worksheet!A:P,9,FALSE)</f>
        <v>Web Development</v>
      </c>
      <c r="H21" s="5">
        <f>VLOOKUP(globalfreelancepreprocesseddata!A21,worksheet!A:P,10,FALSE)</f>
        <v>3</v>
      </c>
      <c r="I21" s="6" t="str">
        <f>VLOOKUP(globalfreelancepreprocesseddata!A21,worksheet!A:P,12,FALSE)</f>
        <v>$ 100</v>
      </c>
      <c r="J21" s="5">
        <f>VLOOKUP(globalfreelancepreprocesseddata!A21,worksheet!A:P,13,FALSE)</f>
        <v>1.8</v>
      </c>
      <c r="K21" s="5">
        <f>VLOOKUP(globalfreelancepreprocesseddata!A21,worksheet!A:P,14,FALSE)</f>
        <v>1</v>
      </c>
      <c r="L21" s="7">
        <f>VLOOKUP(globalfreelancepreprocesseddata!A21,worksheet!A:P,16,FALSE)</f>
        <v>0.68</v>
      </c>
    </row>
    <row r="22" spans="1:12" x14ac:dyDescent="0.35">
      <c r="A22" s="5" t="s">
        <v>98</v>
      </c>
      <c r="B22" s="5" t="str">
        <f>VLOOKUP(globalfreelancepreprocesseddata!A22,worksheet!A:P,3,FALSE)</f>
        <v>James Cherry</v>
      </c>
      <c r="C22" s="5" t="str">
        <f>VLOOKUP(globalfreelancepreprocesseddata!A22,worksheet!A:P,5,FALSE)</f>
        <v>Male</v>
      </c>
      <c r="D22" s="5">
        <f>VLOOKUP(globalfreelancepreprocesseddata!A22,worksheet!A:P,6,FALSE)</f>
        <v>41</v>
      </c>
      <c r="E22" s="5" t="str">
        <f>VLOOKUP(globalfreelancepreprocesseddata!A22,worksheet!A:P,7,FALSE)</f>
        <v>Indonesia</v>
      </c>
      <c r="F22" s="5" t="str">
        <f>VLOOKUP(globalfreelancepreprocesseddata!A22,worksheet!A:P,8,FALSE)</f>
        <v>Indonesian</v>
      </c>
      <c r="G22" s="5" t="str">
        <f>VLOOKUP(globalfreelancepreprocesseddata!A22,worksheet!A:P,9,FALSE)</f>
        <v>AI</v>
      </c>
      <c r="H22" s="5">
        <f>VLOOKUP(globalfreelancepreprocesseddata!A22,worksheet!A:P,10,FALSE)</f>
        <v>9</v>
      </c>
      <c r="I22" s="6">
        <f>VLOOKUP(globalfreelancepreprocesseddata!A22,worksheet!A:P,12,FALSE)</f>
        <v>50</v>
      </c>
      <c r="J22" s="5">
        <f>VLOOKUP(globalfreelancepreprocesseddata!A22,worksheet!A:P,13,FALSE)</f>
        <v>1.8</v>
      </c>
      <c r="K22" s="5">
        <f>VLOOKUP(globalfreelancepreprocesseddata!A22,worksheet!A:P,14,FALSE)</f>
        <v>0</v>
      </c>
      <c r="L22" s="7">
        <f>VLOOKUP(globalfreelancepreprocesseddata!A22,worksheet!A:P,16,FALSE)</f>
        <v>0.65</v>
      </c>
    </row>
    <row r="23" spans="1:12" x14ac:dyDescent="0.35">
      <c r="A23" s="5" t="s">
        <v>100</v>
      </c>
      <c r="B23" s="5" t="str">
        <f>VLOOKUP(globalfreelancepreprocesseddata!A23,worksheet!A:P,3,FALSE)</f>
        <v>Samuel Sanford</v>
      </c>
      <c r="C23" s="5" t="str">
        <f>VLOOKUP(globalfreelancepreprocesseddata!A23,worksheet!A:P,5,FALSE)</f>
        <v>Male</v>
      </c>
      <c r="D23" s="5">
        <f>VLOOKUP(globalfreelancepreprocesseddata!A23,worksheet!A:P,6,FALSE)</f>
        <v>51</v>
      </c>
      <c r="E23" s="5" t="str">
        <f>VLOOKUP(globalfreelancepreprocesseddata!A23,worksheet!A:P,7,FALSE)</f>
        <v>Japan</v>
      </c>
      <c r="F23" s="5" t="str">
        <f>VLOOKUP(globalfreelancepreprocesseddata!A23,worksheet!A:P,8,FALSE)</f>
        <v>Japanese</v>
      </c>
      <c r="G23" s="5" t="str">
        <f>VLOOKUP(globalfreelancepreprocesseddata!A23,worksheet!A:P,9,FALSE)</f>
        <v>DevOps</v>
      </c>
      <c r="H23" s="5">
        <f>VLOOKUP(globalfreelancepreprocesseddata!A23,worksheet!A:P,10,FALSE)</f>
        <v>11</v>
      </c>
      <c r="I23" s="6">
        <f>VLOOKUP(globalfreelancepreprocesseddata!A23,worksheet!A:P,12,FALSE)</f>
        <v>40</v>
      </c>
      <c r="J23" s="5">
        <f>VLOOKUP(globalfreelancepreprocesseddata!A23,worksheet!A:P,13,FALSE)</f>
        <v>2.4</v>
      </c>
      <c r="K23" s="5">
        <f>VLOOKUP(globalfreelancepreprocesseddata!A23,worksheet!A:P,14,FALSE)</f>
        <v>0</v>
      </c>
      <c r="L23" s="7">
        <f>VLOOKUP(globalfreelancepreprocesseddata!A23,worksheet!A:P,16,FALSE)</f>
        <v>0.69</v>
      </c>
    </row>
    <row r="24" spans="1:12" x14ac:dyDescent="0.35">
      <c r="A24" s="5" t="s">
        <v>102</v>
      </c>
      <c r="B24" s="5" t="str">
        <f>VLOOKUP(globalfreelancepreprocesseddata!A24,worksheet!A:P,3,FALSE)</f>
        <v>Cesar Greene</v>
      </c>
      <c r="C24" s="5" t="str">
        <f>VLOOKUP(globalfreelancepreprocesseddata!A24,worksheet!A:P,5,FALSE)</f>
        <v>Male</v>
      </c>
      <c r="D24" s="5">
        <f>VLOOKUP(globalfreelancepreprocesseddata!A24,worksheet!A:P,6,FALSE)</f>
        <v>51</v>
      </c>
      <c r="E24" s="5" t="str">
        <f>VLOOKUP(globalfreelancepreprocesseddata!A24,worksheet!A:P,7,FALSE)</f>
        <v>Brazil</v>
      </c>
      <c r="F24" s="5" t="str">
        <f>VLOOKUP(globalfreelancepreprocesseddata!A24,worksheet!A:P,8,FALSE)</f>
        <v>Portuguese</v>
      </c>
      <c r="G24" s="5" t="str">
        <f>VLOOKUP(globalfreelancepreprocesseddata!A24,worksheet!A:P,9,FALSE)</f>
        <v>Cybersecurity</v>
      </c>
      <c r="H24" s="5">
        <f>VLOOKUP(globalfreelancepreprocesseddata!A24,worksheet!A:P,10,FALSE)</f>
        <v>21</v>
      </c>
      <c r="I24" s="6" t="str">
        <f>VLOOKUP(globalfreelancepreprocesseddata!A24,worksheet!A:P,12,FALSE)</f>
        <v>$ 30</v>
      </c>
      <c r="J24" s="5">
        <f>VLOOKUP(globalfreelancepreprocesseddata!A24,worksheet!A:P,13,FALSE)</f>
        <v>4.7</v>
      </c>
      <c r="K24" s="5">
        <f>VLOOKUP(globalfreelancepreprocesseddata!A24,worksheet!A:P,14,FALSE)</f>
        <v>0</v>
      </c>
      <c r="L24" s="7">
        <f>VLOOKUP(globalfreelancepreprocesseddata!A24,worksheet!A:P,16,FALSE)</f>
        <v>0.16</v>
      </c>
    </row>
    <row r="25" spans="1:12" x14ac:dyDescent="0.35">
      <c r="A25" s="5" t="s">
        <v>107</v>
      </c>
      <c r="B25" s="5" t="str">
        <f>VLOOKUP(globalfreelancepreprocesseddata!A25,worksheet!A:P,3,FALSE)</f>
        <v>Melanie Carter</v>
      </c>
      <c r="C25" s="5" t="str">
        <f>VLOOKUP(globalfreelancepreprocesseddata!A25,worksheet!A:P,5,FALSE)</f>
        <v>Female</v>
      </c>
      <c r="D25" s="5">
        <f>VLOOKUP(globalfreelancepreprocesseddata!A25,worksheet!A:P,6,FALSE)</f>
        <v>51</v>
      </c>
      <c r="E25" s="5" t="str">
        <f>VLOOKUP(globalfreelancepreprocesseddata!A25,worksheet!A:P,7,FALSE)</f>
        <v>South Korea</v>
      </c>
      <c r="F25" s="5" t="str">
        <f>VLOOKUP(globalfreelancepreprocesseddata!A25,worksheet!A:P,8,FALSE)</f>
        <v>Korean</v>
      </c>
      <c r="G25" s="5" t="str">
        <f>VLOOKUP(globalfreelancepreprocesseddata!A25,worksheet!A:P,9,FALSE)</f>
        <v>Machine Learning</v>
      </c>
      <c r="H25" s="5">
        <f>VLOOKUP(globalfreelancepreprocesseddata!A25,worksheet!A:P,10,FALSE)</f>
        <v>15</v>
      </c>
      <c r="I25" s="6">
        <f>VLOOKUP(globalfreelancepreprocesseddata!A25,worksheet!A:P,12,FALSE)</f>
        <v>50</v>
      </c>
      <c r="J25" s="5">
        <f>VLOOKUP(globalfreelancepreprocesseddata!A25,worksheet!A:P,13,FALSE)</f>
        <v>1.3</v>
      </c>
      <c r="K25" s="5">
        <f>VLOOKUP(globalfreelancepreprocesseddata!A25,worksheet!A:P,14,FALSE)</f>
        <v>1</v>
      </c>
      <c r="L25" s="7">
        <f>VLOOKUP(globalfreelancepreprocesseddata!A25,worksheet!A:P,16,FALSE)</f>
        <v>0.01</v>
      </c>
    </row>
    <row r="26" spans="1:12" x14ac:dyDescent="0.35">
      <c r="A26" s="5" t="s">
        <v>112</v>
      </c>
      <c r="B26" s="5" t="str">
        <f>VLOOKUP(globalfreelancepreprocesseddata!A26,worksheet!A:P,3,FALSE)</f>
        <v>Jennifer Martin</v>
      </c>
      <c r="C26" s="5" t="str">
        <f>VLOOKUP(globalfreelancepreprocesseddata!A26,worksheet!A:P,5,FALSE)</f>
        <v>Female</v>
      </c>
      <c r="D26" s="5">
        <f>VLOOKUP(globalfreelancepreprocesseddata!A26,worksheet!A:P,6,FALSE)</f>
        <v>54</v>
      </c>
      <c r="E26" s="5" t="str">
        <f>VLOOKUP(globalfreelancepreprocesseddata!A26,worksheet!A:P,7,FALSE)</f>
        <v>Indonesia</v>
      </c>
      <c r="F26" s="5" t="str">
        <f>VLOOKUP(globalfreelancepreprocesseddata!A26,worksheet!A:P,8,FALSE)</f>
        <v>Indonesian</v>
      </c>
      <c r="G26" s="5" t="str">
        <f>VLOOKUP(globalfreelancepreprocesseddata!A26,worksheet!A:P,9,FALSE)</f>
        <v>Machine Learning</v>
      </c>
      <c r="H26" s="5">
        <f>VLOOKUP(globalfreelancepreprocesseddata!A26,worksheet!A:P,10,FALSE)</f>
        <v>13</v>
      </c>
      <c r="I26" s="6">
        <f>VLOOKUP(globalfreelancepreprocesseddata!A26,worksheet!A:P,12,FALSE)</f>
        <v>75</v>
      </c>
      <c r="J26" s="5">
        <f>VLOOKUP(globalfreelancepreprocesseddata!A26,worksheet!A:P,13,FALSE)</f>
        <v>2.9</v>
      </c>
      <c r="K26" s="5">
        <f>VLOOKUP(globalfreelancepreprocesseddata!A26,worksheet!A:P,14,FALSE)</f>
        <v>1</v>
      </c>
      <c r="L26" s="7">
        <f>VLOOKUP(globalfreelancepreprocesseddata!A26,worksheet!A:P,16,FALSE)</f>
        <v>0.92</v>
      </c>
    </row>
    <row r="27" spans="1:12" x14ac:dyDescent="0.35">
      <c r="A27" s="5" t="s">
        <v>114</v>
      </c>
      <c r="B27" s="5" t="str">
        <f>VLOOKUP(globalfreelancepreprocesseddata!A27,worksheet!A:P,3,FALSE)</f>
        <v>Anna Mccann</v>
      </c>
      <c r="C27" s="5" t="str">
        <f>VLOOKUP(globalfreelancepreprocesseddata!A27,worksheet!A:P,5,FALSE)</f>
        <v>Female</v>
      </c>
      <c r="D27" s="5">
        <f>VLOOKUP(globalfreelancepreprocesseddata!A27,worksheet!A:P,6,FALSE)</f>
        <v>22</v>
      </c>
      <c r="E27" s="5" t="str">
        <f>VLOOKUP(globalfreelancepreprocesseddata!A27,worksheet!A:P,7,FALSE)</f>
        <v>South Korea</v>
      </c>
      <c r="F27" s="5" t="str">
        <f>VLOOKUP(globalfreelancepreprocesseddata!A27,worksheet!A:P,8,FALSE)</f>
        <v>Korean</v>
      </c>
      <c r="G27" s="5" t="str">
        <f>VLOOKUP(globalfreelancepreprocesseddata!A27,worksheet!A:P,9,FALSE)</f>
        <v>DevOps</v>
      </c>
      <c r="H27" s="5">
        <f>VLOOKUP(globalfreelancepreprocesseddata!A27,worksheet!A:P,10,FALSE)</f>
        <v>11</v>
      </c>
      <c r="I27" s="6" t="str">
        <f>VLOOKUP(globalfreelancepreprocesseddata!A27,worksheet!A:P,12,FALSE)</f>
        <v>$ 30</v>
      </c>
      <c r="J27" s="5">
        <f>VLOOKUP(globalfreelancepreprocesseddata!A27,worksheet!A:P,13,FALSE)</f>
        <v>1.2</v>
      </c>
      <c r="K27" s="5">
        <f>VLOOKUP(globalfreelancepreprocesseddata!A27,worksheet!A:P,14,FALSE)</f>
        <v>1</v>
      </c>
      <c r="L27" s="7">
        <f>VLOOKUP(globalfreelancepreprocesseddata!A27,worksheet!A:P,16,FALSE)</f>
        <v>0.7</v>
      </c>
    </row>
    <row r="28" spans="1:12" x14ac:dyDescent="0.35">
      <c r="A28" s="5" t="s">
        <v>116</v>
      </c>
      <c r="B28" s="5" t="str">
        <f>VLOOKUP(globalfreelancepreprocesseddata!A28,worksheet!A:P,3,FALSE)</f>
        <v>Marissa Bass</v>
      </c>
      <c r="C28" s="5" t="str">
        <f>VLOOKUP(globalfreelancepreprocesseddata!A28,worksheet!A:P,5,FALSE)</f>
        <v>Female</v>
      </c>
      <c r="D28" s="5">
        <f>VLOOKUP(globalfreelancepreprocesseddata!A28,worksheet!A:P,6,FALSE)</f>
        <v>34</v>
      </c>
      <c r="E28" s="5" t="str">
        <f>VLOOKUP(globalfreelancepreprocesseddata!A28,worksheet!A:P,7,FALSE)</f>
        <v>Japan</v>
      </c>
      <c r="F28" s="5" t="str">
        <f>VLOOKUP(globalfreelancepreprocesseddata!A28,worksheet!A:P,8,FALSE)</f>
        <v>Japanese</v>
      </c>
      <c r="G28" s="5" t="str">
        <f>VLOOKUP(globalfreelancepreprocesseddata!A28,worksheet!A:P,9,FALSE)</f>
        <v>Blockchain Development</v>
      </c>
      <c r="H28" s="5">
        <f>VLOOKUP(globalfreelancepreprocesseddata!A28,worksheet!A:P,10,FALSE)</f>
        <v>8</v>
      </c>
      <c r="I28" s="6">
        <f>VLOOKUP(globalfreelancepreprocesseddata!A28,worksheet!A:P,12,FALSE)</f>
        <v>20</v>
      </c>
      <c r="J28" s="5">
        <f>VLOOKUP(globalfreelancepreprocesseddata!A28,worksheet!A:P,13,FALSE)</f>
        <v>0</v>
      </c>
      <c r="K28" s="5">
        <f>VLOOKUP(globalfreelancepreprocesseddata!A28,worksheet!A:P,14,FALSE)</f>
        <v>1</v>
      </c>
      <c r="L28" s="7">
        <f>VLOOKUP(globalfreelancepreprocesseddata!A28,worksheet!A:P,16,FALSE)</f>
        <v>0.89</v>
      </c>
    </row>
    <row r="29" spans="1:12" x14ac:dyDescent="0.35">
      <c r="A29" s="5" t="s">
        <v>118</v>
      </c>
      <c r="B29" s="5" t="str">
        <f>VLOOKUP(globalfreelancepreprocesseddata!A29,worksheet!A:P,3,FALSE)</f>
        <v>Alexis Day</v>
      </c>
      <c r="C29" s="5" t="str">
        <f>VLOOKUP(globalfreelancepreprocesseddata!A29,worksheet!A:P,5,FALSE)</f>
        <v>Female</v>
      </c>
      <c r="D29" s="5">
        <f>VLOOKUP(globalfreelancepreprocesseddata!A29,worksheet!A:P,6,FALSE)</f>
        <v>36</v>
      </c>
      <c r="E29" s="5" t="str">
        <f>VLOOKUP(globalfreelancepreprocesseddata!A29,worksheet!A:P,7,FALSE)</f>
        <v>Russia</v>
      </c>
      <c r="F29" s="5" t="str">
        <f>VLOOKUP(globalfreelancepreprocesseddata!A29,worksheet!A:P,8,FALSE)</f>
        <v>Russian</v>
      </c>
      <c r="G29" s="5" t="str">
        <f>VLOOKUP(globalfreelancepreprocesseddata!A29,worksheet!A:P,9,FALSE)</f>
        <v>Graphic Design</v>
      </c>
      <c r="H29" s="5">
        <f>VLOOKUP(globalfreelancepreprocesseddata!A29,worksheet!A:P,10,FALSE)</f>
        <v>11</v>
      </c>
      <c r="I29" s="6">
        <f>VLOOKUP(globalfreelancepreprocesseddata!A29,worksheet!A:P,12,FALSE)</f>
        <v>40</v>
      </c>
      <c r="J29" s="5">
        <f>VLOOKUP(globalfreelancepreprocesseddata!A29,worksheet!A:P,13,FALSE)</f>
        <v>1.8</v>
      </c>
      <c r="K29" s="5">
        <f>VLOOKUP(globalfreelancepreprocesseddata!A29,worksheet!A:P,14,FALSE)</f>
        <v>1</v>
      </c>
      <c r="L29" s="7">
        <f>VLOOKUP(globalfreelancepreprocesseddata!A29,worksheet!A:P,16,FALSE)</f>
        <v>0.86</v>
      </c>
    </row>
    <row r="30" spans="1:12" x14ac:dyDescent="0.35">
      <c r="A30" s="5" t="s">
        <v>122</v>
      </c>
      <c r="B30" s="5" t="str">
        <f>VLOOKUP(globalfreelancepreprocesseddata!A30,worksheet!A:P,3,FALSE)</f>
        <v>Megan Jones</v>
      </c>
      <c r="C30" s="5" t="str">
        <f>VLOOKUP(globalfreelancepreprocesseddata!A30,worksheet!A:P,5,FALSE)</f>
        <v>Female</v>
      </c>
      <c r="D30" s="5">
        <f>VLOOKUP(globalfreelancepreprocesseddata!A30,worksheet!A:P,6,FALSE)</f>
        <v>47</v>
      </c>
      <c r="E30" s="5" t="str">
        <f>VLOOKUP(globalfreelancepreprocesseddata!A30,worksheet!A:P,7,FALSE)</f>
        <v>Canada</v>
      </c>
      <c r="F30" s="5" t="str">
        <f>VLOOKUP(globalfreelancepreprocesseddata!A30,worksheet!A:P,8,FALSE)</f>
        <v>English</v>
      </c>
      <c r="G30" s="5" t="str">
        <f>VLOOKUP(globalfreelancepreprocesseddata!A30,worksheet!A:P,9,FALSE)</f>
        <v>AI</v>
      </c>
      <c r="H30" s="5">
        <f>VLOOKUP(globalfreelancepreprocesseddata!A30,worksheet!A:P,10,FALSE)</f>
        <v>22</v>
      </c>
      <c r="I30" s="6">
        <f>VLOOKUP(globalfreelancepreprocesseddata!A30,worksheet!A:P,12,FALSE)</f>
        <v>30</v>
      </c>
      <c r="J30" s="5">
        <f>VLOOKUP(globalfreelancepreprocesseddata!A30,worksheet!A:P,13,FALSE)</f>
        <v>1.3</v>
      </c>
      <c r="K30" s="5">
        <f>VLOOKUP(globalfreelancepreprocesseddata!A30,worksheet!A:P,14,FALSE)</f>
        <v>0</v>
      </c>
      <c r="L30" s="7">
        <f>VLOOKUP(globalfreelancepreprocesseddata!A30,worksheet!A:P,16,FALSE)</f>
        <v>0.62</v>
      </c>
    </row>
    <row r="31" spans="1:12" x14ac:dyDescent="0.35">
      <c r="A31" s="5" t="s">
        <v>125</v>
      </c>
      <c r="B31" s="5" t="str">
        <f>VLOOKUP(globalfreelancepreprocesseddata!A31,worksheet!A:P,3,FALSE)</f>
        <v>Lori Smith</v>
      </c>
      <c r="C31" s="5" t="str">
        <f>VLOOKUP(globalfreelancepreprocesseddata!A31,worksheet!A:P,5,FALSE)</f>
        <v>Female</v>
      </c>
      <c r="D31" s="5">
        <f>VLOOKUP(globalfreelancepreprocesseddata!A31,worksheet!A:P,6,FALSE)</f>
        <v>41</v>
      </c>
      <c r="E31" s="5" t="str">
        <f>VLOOKUP(globalfreelancepreprocesseddata!A31,worksheet!A:P,7,FALSE)</f>
        <v>Netherlands</v>
      </c>
      <c r="F31" s="5" t="str">
        <f>VLOOKUP(globalfreelancepreprocesseddata!A31,worksheet!A:P,8,FALSE)</f>
        <v>Dutch</v>
      </c>
      <c r="G31" s="5" t="str">
        <f>VLOOKUP(globalfreelancepreprocesseddata!A31,worksheet!A:P,9,FALSE)</f>
        <v>Data Analysis</v>
      </c>
      <c r="H31" s="5">
        <f>VLOOKUP(globalfreelancepreprocesseddata!A31,worksheet!A:P,10,FALSE)</f>
        <v>14</v>
      </c>
      <c r="I31" s="6" t="str">
        <f>VLOOKUP(globalfreelancepreprocesseddata!A31,worksheet!A:P,12,FALSE)</f>
        <v>$ 75</v>
      </c>
      <c r="J31" s="5">
        <f>VLOOKUP(globalfreelancepreprocesseddata!A31,worksheet!A:P,13,FALSE)</f>
        <v>1.2</v>
      </c>
      <c r="K31" s="5">
        <f>VLOOKUP(globalfreelancepreprocesseddata!A31,worksheet!A:P,14,FALSE)</f>
        <v>0</v>
      </c>
      <c r="L31" s="7">
        <f>VLOOKUP(globalfreelancepreprocesseddata!A31,worksheet!A:P,16,FALSE)</f>
        <v>0.16</v>
      </c>
    </row>
    <row r="32" spans="1:12" x14ac:dyDescent="0.35">
      <c r="A32" s="5" t="s">
        <v>127</v>
      </c>
      <c r="B32" s="5" t="str">
        <f>VLOOKUP(globalfreelancepreprocesseddata!A32,worksheet!A:P,3,FALSE)</f>
        <v>Eric Carpenter</v>
      </c>
      <c r="C32" s="5" t="str">
        <f>VLOOKUP(globalfreelancepreprocesseddata!A32,worksheet!A:P,5,FALSE)</f>
        <v>Male</v>
      </c>
      <c r="D32" s="5">
        <f>VLOOKUP(globalfreelancepreprocesseddata!A32,worksheet!A:P,6,FALSE)</f>
        <v>22</v>
      </c>
      <c r="E32" s="5" t="str">
        <f>VLOOKUP(globalfreelancepreprocesseddata!A32,worksheet!A:P,7,FALSE)</f>
        <v>Netherlands</v>
      </c>
      <c r="F32" s="5" t="str">
        <f>VLOOKUP(globalfreelancepreprocesseddata!A32,worksheet!A:P,8,FALSE)</f>
        <v>Dutch</v>
      </c>
      <c r="G32" s="5" t="str">
        <f>VLOOKUP(globalfreelancepreprocesseddata!A32,worksheet!A:P,9,FALSE)</f>
        <v>DevOps</v>
      </c>
      <c r="H32" s="5">
        <f>VLOOKUP(globalfreelancepreprocesseddata!A32,worksheet!A:P,10,FALSE)</f>
        <v>4</v>
      </c>
      <c r="I32" s="6">
        <f>VLOOKUP(globalfreelancepreprocesseddata!A32,worksheet!A:P,12,FALSE)</f>
        <v>40</v>
      </c>
      <c r="J32" s="5">
        <f>VLOOKUP(globalfreelancepreprocesseddata!A32,worksheet!A:P,13,FALSE)</f>
        <v>1</v>
      </c>
      <c r="K32" s="5">
        <f>VLOOKUP(globalfreelancepreprocesseddata!A32,worksheet!A:P,14,FALSE)</f>
        <v>1</v>
      </c>
      <c r="L32" s="7">
        <f>VLOOKUP(globalfreelancepreprocesseddata!A32,worksheet!A:P,16,FALSE)</f>
        <v>0.16</v>
      </c>
    </row>
    <row r="33" spans="1:12" x14ac:dyDescent="0.35">
      <c r="A33" s="5" t="s">
        <v>129</v>
      </c>
      <c r="B33" s="5" t="str">
        <f>VLOOKUP(globalfreelancepreprocesseddata!A33,worksheet!A:P,3,FALSE)</f>
        <v>Timothy Daniels</v>
      </c>
      <c r="C33" s="5" t="str">
        <f>VLOOKUP(globalfreelancepreprocesseddata!A33,worksheet!A:P,5,FALSE)</f>
        <v>Male</v>
      </c>
      <c r="D33" s="5">
        <f>VLOOKUP(globalfreelancepreprocesseddata!A33,worksheet!A:P,6,FALSE)</f>
        <v>38</v>
      </c>
      <c r="E33" s="5" t="str">
        <f>VLOOKUP(globalfreelancepreprocesseddata!A33,worksheet!A:P,7,FALSE)</f>
        <v>France</v>
      </c>
      <c r="F33" s="5" t="str">
        <f>VLOOKUP(globalfreelancepreprocesseddata!A33,worksheet!A:P,8,FALSE)</f>
        <v>French</v>
      </c>
      <c r="G33" s="5" t="str">
        <f>VLOOKUP(globalfreelancepreprocesseddata!A33,worksheet!A:P,9,FALSE)</f>
        <v>Machine Learning</v>
      </c>
      <c r="H33" s="5">
        <f>VLOOKUP(globalfreelancepreprocesseddata!A33,worksheet!A:P,10,FALSE)</f>
        <v>19</v>
      </c>
      <c r="I33" s="6" t="str">
        <f>VLOOKUP(globalfreelancepreprocesseddata!A33,worksheet!A:P,12,FALSE)</f>
        <v>$ 100</v>
      </c>
      <c r="J33" s="5">
        <f>VLOOKUP(globalfreelancepreprocesseddata!A33,worksheet!A:P,13,FALSE)</f>
        <v>4.2</v>
      </c>
      <c r="K33" s="5">
        <f>VLOOKUP(globalfreelancepreprocesseddata!A33,worksheet!A:P,14,FALSE)</f>
        <v>0</v>
      </c>
      <c r="L33" s="7">
        <f>VLOOKUP(globalfreelancepreprocesseddata!A33,worksheet!A:P,16,FALSE)</f>
        <v>0.68</v>
      </c>
    </row>
    <row r="34" spans="1:12" x14ac:dyDescent="0.35">
      <c r="A34" s="5" t="s">
        <v>133</v>
      </c>
      <c r="B34" s="5" t="str">
        <f>VLOOKUP(globalfreelancepreprocesseddata!A34,worksheet!A:P,3,FALSE)</f>
        <v>Robert Nelson</v>
      </c>
      <c r="C34" s="5" t="str">
        <f>VLOOKUP(globalfreelancepreprocesseddata!A34,worksheet!A:P,5,FALSE)</f>
        <v>Male</v>
      </c>
      <c r="D34" s="5">
        <f>VLOOKUP(globalfreelancepreprocesseddata!A34,worksheet!A:P,6,FALSE)</f>
        <v>46</v>
      </c>
      <c r="E34" s="5" t="str">
        <f>VLOOKUP(globalfreelancepreprocesseddata!A34,worksheet!A:P,7,FALSE)</f>
        <v>Egypt</v>
      </c>
      <c r="F34" s="5" t="str">
        <f>VLOOKUP(globalfreelancepreprocesseddata!A34,worksheet!A:P,8,FALSE)</f>
        <v>Arabic</v>
      </c>
      <c r="G34" s="5" t="str">
        <f>VLOOKUP(globalfreelancepreprocesseddata!A34,worksheet!A:P,9,FALSE)</f>
        <v>AI</v>
      </c>
      <c r="H34" s="5">
        <f>VLOOKUP(globalfreelancepreprocesseddata!A34,worksheet!A:P,10,FALSE)</f>
        <v>9</v>
      </c>
      <c r="I34" s="6">
        <f>VLOOKUP(globalfreelancepreprocesseddata!A34,worksheet!A:P,12,FALSE)</f>
        <v>20</v>
      </c>
      <c r="J34" s="5">
        <f>VLOOKUP(globalfreelancepreprocesseddata!A34,worksheet!A:P,13,FALSE)</f>
        <v>1.4</v>
      </c>
      <c r="K34" s="5">
        <f>VLOOKUP(globalfreelancepreprocesseddata!A34,worksheet!A:P,14,FALSE)</f>
        <v>1</v>
      </c>
      <c r="L34" s="7">
        <f>VLOOKUP(globalfreelancepreprocesseddata!A34,worksheet!A:P,16,FALSE)</f>
        <v>0.76</v>
      </c>
    </row>
    <row r="35" spans="1:12" x14ac:dyDescent="0.35">
      <c r="A35" s="5" t="s">
        <v>137</v>
      </c>
      <c r="B35" s="5" t="str">
        <f>VLOOKUP(globalfreelancepreprocesseddata!A35,worksheet!A:P,3,FALSE)</f>
        <v>Michael Anderson</v>
      </c>
      <c r="C35" s="5" t="str">
        <f>VLOOKUP(globalfreelancepreprocesseddata!A35,worksheet!A:P,5,FALSE)</f>
        <v>Male</v>
      </c>
      <c r="D35" s="5">
        <f>VLOOKUP(globalfreelancepreprocesseddata!A35,worksheet!A:P,6,FALSE)</f>
        <v>41</v>
      </c>
      <c r="E35" s="5" t="str">
        <f>VLOOKUP(globalfreelancepreprocesseddata!A35,worksheet!A:P,7,FALSE)</f>
        <v>South Korea</v>
      </c>
      <c r="F35" s="5" t="str">
        <f>VLOOKUP(globalfreelancepreprocesseddata!A35,worksheet!A:P,8,FALSE)</f>
        <v>Korean</v>
      </c>
      <c r="G35" s="5" t="str">
        <f>VLOOKUP(globalfreelancepreprocesseddata!A35,worksheet!A:P,9,FALSE)</f>
        <v>AI</v>
      </c>
      <c r="H35" s="5">
        <f>VLOOKUP(globalfreelancepreprocesseddata!A35,worksheet!A:P,10,FALSE)</f>
        <v>9</v>
      </c>
      <c r="I35" s="6">
        <f>VLOOKUP(globalfreelancepreprocesseddata!A35,worksheet!A:P,12,FALSE)</f>
        <v>40</v>
      </c>
      <c r="J35" s="5">
        <f>VLOOKUP(globalfreelancepreprocesseddata!A35,worksheet!A:P,13,FALSE)</f>
        <v>2.4</v>
      </c>
      <c r="K35" s="5">
        <f>VLOOKUP(globalfreelancepreprocesseddata!A35,worksheet!A:P,14,FALSE)</f>
        <v>1</v>
      </c>
      <c r="L35" s="7">
        <f>VLOOKUP(globalfreelancepreprocesseddata!A35,worksheet!A:P,16,FALSE)</f>
        <v>0.82</v>
      </c>
    </row>
    <row r="36" spans="1:12" x14ac:dyDescent="0.35">
      <c r="A36" s="5" t="s">
        <v>139</v>
      </c>
      <c r="B36" s="5" t="str">
        <f>VLOOKUP(globalfreelancepreprocesseddata!A36,worksheet!A:P,3,FALSE)</f>
        <v>Jessica Snyder</v>
      </c>
      <c r="C36" s="5" t="str">
        <f>VLOOKUP(globalfreelancepreprocesseddata!A36,worksheet!A:P,5,FALSE)</f>
        <v>Female</v>
      </c>
      <c r="D36" s="5">
        <f>VLOOKUP(globalfreelancepreprocesseddata!A36,worksheet!A:P,6,FALSE)</f>
        <v>54</v>
      </c>
      <c r="E36" s="5" t="str">
        <f>VLOOKUP(globalfreelancepreprocesseddata!A36,worksheet!A:P,7,FALSE)</f>
        <v>United States</v>
      </c>
      <c r="F36" s="5" t="str">
        <f>VLOOKUP(globalfreelancepreprocesseddata!A36,worksheet!A:P,8,FALSE)</f>
        <v>English</v>
      </c>
      <c r="G36" s="5" t="str">
        <f>VLOOKUP(globalfreelancepreprocesseddata!A36,worksheet!A:P,9,FALSE)</f>
        <v>Web Development</v>
      </c>
      <c r="H36" s="5">
        <f>VLOOKUP(globalfreelancepreprocesseddata!A36,worksheet!A:P,10,FALSE)</f>
        <v>32</v>
      </c>
      <c r="I36" s="6">
        <f>VLOOKUP(globalfreelancepreprocesseddata!A36,worksheet!A:P,12,FALSE)</f>
        <v>75</v>
      </c>
      <c r="J36" s="5">
        <f>VLOOKUP(globalfreelancepreprocesseddata!A36,worksheet!A:P,13,FALSE)</f>
        <v>1</v>
      </c>
      <c r="K36" s="5">
        <f>VLOOKUP(globalfreelancepreprocesseddata!A36,worksheet!A:P,14,FALSE)</f>
        <v>1</v>
      </c>
      <c r="L36" s="7">
        <f>VLOOKUP(globalfreelancepreprocesseddata!A36,worksheet!A:P,16,FALSE)</f>
        <v>0.81</v>
      </c>
    </row>
    <row r="37" spans="1:12" x14ac:dyDescent="0.35">
      <c r="A37" s="5" t="s">
        <v>141</v>
      </c>
      <c r="B37" s="5" t="str">
        <f>VLOOKUP(globalfreelancepreprocesseddata!A37,worksheet!A:P,3,FALSE)</f>
        <v>Emily Daniels</v>
      </c>
      <c r="C37" s="5" t="str">
        <f>VLOOKUP(globalfreelancepreprocesseddata!A37,worksheet!A:P,5,FALSE)</f>
        <v>Female</v>
      </c>
      <c r="D37" s="5">
        <f>VLOOKUP(globalfreelancepreprocesseddata!A37,worksheet!A:P,6,FALSE)</f>
        <v>52</v>
      </c>
      <c r="E37" s="5" t="str">
        <f>VLOOKUP(globalfreelancepreprocesseddata!A37,worksheet!A:P,7,FALSE)</f>
        <v>South Korea</v>
      </c>
      <c r="F37" s="5" t="str">
        <f>VLOOKUP(globalfreelancepreprocesseddata!A37,worksheet!A:P,8,FALSE)</f>
        <v>Korean</v>
      </c>
      <c r="G37" s="5" t="str">
        <f>VLOOKUP(globalfreelancepreprocesseddata!A37,worksheet!A:P,9,FALSE)</f>
        <v>Web Development</v>
      </c>
      <c r="H37" s="5">
        <f>VLOOKUP(globalfreelancepreprocesseddata!A37,worksheet!A:P,10,FALSE)</f>
        <v>28</v>
      </c>
      <c r="I37" s="6">
        <f>VLOOKUP(globalfreelancepreprocesseddata!A37,worksheet!A:P,12,FALSE)</f>
        <v>20</v>
      </c>
      <c r="J37" s="5">
        <f>VLOOKUP(globalfreelancepreprocesseddata!A37,worksheet!A:P,13,FALSE)</f>
        <v>3</v>
      </c>
      <c r="K37" s="5">
        <f>VLOOKUP(globalfreelancepreprocesseddata!A37,worksheet!A:P,14,FALSE)</f>
        <v>0</v>
      </c>
      <c r="L37" s="7">
        <f>VLOOKUP(globalfreelancepreprocesseddata!A37,worksheet!A:P,16,FALSE)</f>
        <v>0.16</v>
      </c>
    </row>
    <row r="38" spans="1:12" x14ac:dyDescent="0.35">
      <c r="A38" s="5" t="s">
        <v>143</v>
      </c>
      <c r="B38" s="5" t="str">
        <f>VLOOKUP(globalfreelancepreprocesseddata!A38,worksheet!A:P,3,FALSE)</f>
        <v>Jamie Ramirez</v>
      </c>
      <c r="C38" s="5" t="str">
        <f>VLOOKUP(globalfreelancepreprocesseddata!A38,worksheet!A:P,5,FALSE)</f>
        <v>Female</v>
      </c>
      <c r="D38" s="5">
        <f>VLOOKUP(globalfreelancepreprocesseddata!A38,worksheet!A:P,6,FALSE)</f>
        <v>42</v>
      </c>
      <c r="E38" s="5" t="str">
        <f>VLOOKUP(globalfreelancepreprocesseddata!A38,worksheet!A:P,7,FALSE)</f>
        <v>Japan</v>
      </c>
      <c r="F38" s="5" t="str">
        <f>VLOOKUP(globalfreelancepreprocesseddata!A38,worksheet!A:P,8,FALSE)</f>
        <v>Japanese</v>
      </c>
      <c r="G38" s="5" t="str">
        <f>VLOOKUP(globalfreelancepreprocesseddata!A38,worksheet!A:P,9,FALSE)</f>
        <v>Mobile Apps</v>
      </c>
      <c r="H38" s="5">
        <f>VLOOKUP(globalfreelancepreprocesseddata!A38,worksheet!A:P,10,FALSE)</f>
        <v>6</v>
      </c>
      <c r="I38" s="6">
        <f>VLOOKUP(globalfreelancepreprocesseddata!A38,worksheet!A:P,12,FALSE)</f>
        <v>40</v>
      </c>
      <c r="J38" s="5">
        <f>VLOOKUP(globalfreelancepreprocesseddata!A38,worksheet!A:P,13,FALSE)</f>
        <v>3</v>
      </c>
      <c r="K38" s="5">
        <f>VLOOKUP(globalfreelancepreprocesseddata!A38,worksheet!A:P,14,FALSE)</f>
        <v>0</v>
      </c>
      <c r="L38" s="7">
        <f>VLOOKUP(globalfreelancepreprocesseddata!A38,worksheet!A:P,16,FALSE)</f>
        <v>0.63</v>
      </c>
    </row>
    <row r="39" spans="1:12" x14ac:dyDescent="0.35">
      <c r="A39" s="5" t="s">
        <v>145</v>
      </c>
      <c r="B39" s="5" t="str">
        <f>VLOOKUP(globalfreelancepreprocesseddata!A39,worksheet!A:P,3,FALSE)</f>
        <v>Amy Harrison</v>
      </c>
      <c r="C39" s="5" t="str">
        <f>VLOOKUP(globalfreelancepreprocesseddata!A39,worksheet!A:P,5,FALSE)</f>
        <v>Female</v>
      </c>
      <c r="D39" s="5">
        <f>VLOOKUP(globalfreelancepreprocesseddata!A39,worksheet!A:P,6,FALSE)</f>
        <v>29</v>
      </c>
      <c r="E39" s="5" t="str">
        <f>VLOOKUP(globalfreelancepreprocesseddata!A39,worksheet!A:P,7,FALSE)</f>
        <v>Netherlands</v>
      </c>
      <c r="F39" s="5" t="str">
        <f>VLOOKUP(globalfreelancepreprocesseddata!A39,worksheet!A:P,8,FALSE)</f>
        <v>Dutch</v>
      </c>
      <c r="G39" s="5" t="str">
        <f>VLOOKUP(globalfreelancepreprocesseddata!A39,worksheet!A:P,9,FALSE)</f>
        <v>Graphic Design</v>
      </c>
      <c r="H39" s="5">
        <f>VLOOKUP(globalfreelancepreprocesseddata!A39,worksheet!A:P,10,FALSE)</f>
        <v>10</v>
      </c>
      <c r="I39" s="6">
        <f>VLOOKUP(globalfreelancepreprocesseddata!A39,worksheet!A:P,12,FALSE)</f>
        <v>40</v>
      </c>
      <c r="J39" s="5">
        <f>VLOOKUP(globalfreelancepreprocesseddata!A39,worksheet!A:P,13,FALSE)</f>
        <v>2.2000000000000002</v>
      </c>
      <c r="K39" s="5">
        <f>VLOOKUP(globalfreelancepreprocesseddata!A39,worksheet!A:P,14,FALSE)</f>
        <v>0</v>
      </c>
      <c r="L39" s="7">
        <f>VLOOKUP(globalfreelancepreprocesseddata!A39,worksheet!A:P,16,FALSE)</f>
        <v>0.67</v>
      </c>
    </row>
    <row r="40" spans="1:12" x14ac:dyDescent="0.35">
      <c r="A40" s="5" t="s">
        <v>147</v>
      </c>
      <c r="B40" s="5" t="str">
        <f>VLOOKUP(globalfreelancepreprocesseddata!A40,worksheet!A:P,3,FALSE)</f>
        <v>Melinda White</v>
      </c>
      <c r="C40" s="5" t="str">
        <f>VLOOKUP(globalfreelancepreprocesseddata!A40,worksheet!A:P,5,FALSE)</f>
        <v>Female</v>
      </c>
      <c r="D40" s="5">
        <f>VLOOKUP(globalfreelancepreprocesseddata!A40,worksheet!A:P,6,FALSE)</f>
        <v>42</v>
      </c>
      <c r="E40" s="5" t="str">
        <f>VLOOKUP(globalfreelancepreprocesseddata!A40,worksheet!A:P,7,FALSE)</f>
        <v>South Africa</v>
      </c>
      <c r="F40" s="5" t="str">
        <f>VLOOKUP(globalfreelancepreprocesseddata!A40,worksheet!A:P,8,FALSE)</f>
        <v>Afrikaans</v>
      </c>
      <c r="G40" s="5" t="str">
        <f>VLOOKUP(globalfreelancepreprocesseddata!A40,worksheet!A:P,9,FALSE)</f>
        <v>Mobile Apps</v>
      </c>
      <c r="H40" s="5">
        <f>VLOOKUP(globalfreelancepreprocesseddata!A40,worksheet!A:P,10,FALSE)</f>
        <v>23</v>
      </c>
      <c r="I40" s="6">
        <f>VLOOKUP(globalfreelancepreprocesseddata!A40,worksheet!A:P,12,FALSE)</f>
        <v>50</v>
      </c>
      <c r="J40" s="5">
        <f>VLOOKUP(globalfreelancepreprocesseddata!A40,worksheet!A:P,13,FALSE)</f>
        <v>3.2</v>
      </c>
      <c r="K40" s="5">
        <f>VLOOKUP(globalfreelancepreprocesseddata!A40,worksheet!A:P,14,FALSE)</f>
        <v>1</v>
      </c>
      <c r="L40" s="7">
        <f>VLOOKUP(globalfreelancepreprocesseddata!A40,worksheet!A:P,16,FALSE)</f>
        <v>0.16</v>
      </c>
    </row>
    <row r="41" spans="1:12" x14ac:dyDescent="0.35">
      <c r="A41" s="5" t="s">
        <v>151</v>
      </c>
      <c r="B41" s="5" t="str">
        <f>VLOOKUP(globalfreelancepreprocesseddata!A41,worksheet!A:P,3,FALSE)</f>
        <v>James Hernandez</v>
      </c>
      <c r="C41" s="5" t="str">
        <f>VLOOKUP(globalfreelancepreprocesseddata!A41,worksheet!A:P,5,FALSE)</f>
        <v>Male</v>
      </c>
      <c r="D41" s="5">
        <f>VLOOKUP(globalfreelancepreprocesseddata!A41,worksheet!A:P,6,FALSE)</f>
        <v>60</v>
      </c>
      <c r="E41" s="5" t="str">
        <f>VLOOKUP(globalfreelancepreprocesseddata!A41,worksheet!A:P,7,FALSE)</f>
        <v>Japan</v>
      </c>
      <c r="F41" s="5" t="str">
        <f>VLOOKUP(globalfreelancepreprocesseddata!A41,worksheet!A:P,8,FALSE)</f>
        <v>Japanese</v>
      </c>
      <c r="G41" s="5" t="str">
        <f>VLOOKUP(globalfreelancepreprocesseddata!A41,worksheet!A:P,9,FALSE)</f>
        <v>Web Development</v>
      </c>
      <c r="H41" s="5">
        <f>VLOOKUP(globalfreelancepreprocesseddata!A41,worksheet!A:P,10,FALSE)</f>
        <v>13</v>
      </c>
      <c r="I41" s="6">
        <f>VLOOKUP(globalfreelancepreprocesseddata!A41,worksheet!A:P,12,FALSE)</f>
        <v>20</v>
      </c>
      <c r="J41" s="5">
        <f>VLOOKUP(globalfreelancepreprocesseddata!A41,worksheet!A:P,13,FALSE)</f>
        <v>3.6</v>
      </c>
      <c r="K41" s="5">
        <f>VLOOKUP(globalfreelancepreprocesseddata!A41,worksheet!A:P,14,FALSE)</f>
        <v>0</v>
      </c>
      <c r="L41" s="7">
        <f>VLOOKUP(globalfreelancepreprocesseddata!A41,worksheet!A:P,16,FALSE)</f>
        <v>0.8</v>
      </c>
    </row>
    <row r="42" spans="1:12" x14ac:dyDescent="0.35">
      <c r="A42" s="5" t="s">
        <v>153</v>
      </c>
      <c r="B42" s="5" t="str">
        <f>VLOOKUP(globalfreelancepreprocesseddata!A42,worksheet!A:P,3,FALSE)</f>
        <v>Angelica Rogers</v>
      </c>
      <c r="C42" s="5" t="str">
        <f>VLOOKUP(globalfreelancepreprocesseddata!A42,worksheet!A:P,5,FALSE)</f>
        <v>Female</v>
      </c>
      <c r="D42" s="5">
        <f>VLOOKUP(globalfreelancepreprocesseddata!A42,worksheet!A:P,6,FALSE)</f>
        <v>59</v>
      </c>
      <c r="E42" s="5" t="str">
        <f>VLOOKUP(globalfreelancepreprocesseddata!A42,worksheet!A:P,7,FALSE)</f>
        <v>United Kingdom</v>
      </c>
      <c r="F42" s="5" t="str">
        <f>VLOOKUP(globalfreelancepreprocesseddata!A42,worksheet!A:P,8,FALSE)</f>
        <v>English</v>
      </c>
      <c r="G42" s="5" t="str">
        <f>VLOOKUP(globalfreelancepreprocesseddata!A42,worksheet!A:P,9,FALSE)</f>
        <v>AI</v>
      </c>
      <c r="H42" s="5">
        <f>VLOOKUP(globalfreelancepreprocesseddata!A42,worksheet!A:P,10,FALSE)</f>
        <v>3</v>
      </c>
      <c r="I42" s="6" t="str">
        <f>VLOOKUP(globalfreelancepreprocesseddata!A42,worksheet!A:P,12,FALSE)</f>
        <v>$ 50</v>
      </c>
      <c r="J42" s="5">
        <f>VLOOKUP(globalfreelancepreprocesseddata!A42,worksheet!A:P,13,FALSE)</f>
        <v>0</v>
      </c>
      <c r="K42" s="5">
        <f>VLOOKUP(globalfreelancepreprocesseddata!A42,worksheet!A:P,14,FALSE)</f>
        <v>1</v>
      </c>
      <c r="L42" s="7">
        <f>VLOOKUP(globalfreelancepreprocesseddata!A42,worksheet!A:P,16,FALSE)</f>
        <v>0.16</v>
      </c>
    </row>
    <row r="43" spans="1:12" x14ac:dyDescent="0.35">
      <c r="A43" s="5" t="s">
        <v>156</v>
      </c>
      <c r="B43" s="5" t="str">
        <f>VLOOKUP(globalfreelancepreprocesseddata!A43,worksheet!A:P,3,FALSE)</f>
        <v>Savannah Williams</v>
      </c>
      <c r="C43" s="5" t="str">
        <f>VLOOKUP(globalfreelancepreprocesseddata!A43,worksheet!A:P,5,FALSE)</f>
        <v>Female</v>
      </c>
      <c r="D43" s="5">
        <f>VLOOKUP(globalfreelancepreprocesseddata!A43,worksheet!A:P,6,FALSE)</f>
        <v>21</v>
      </c>
      <c r="E43" s="5" t="str">
        <f>VLOOKUP(globalfreelancepreprocesseddata!A43,worksheet!A:P,7,FALSE)</f>
        <v>Canada</v>
      </c>
      <c r="F43" s="5" t="str">
        <f>VLOOKUP(globalfreelancepreprocesseddata!A43,worksheet!A:P,8,FALSE)</f>
        <v>English</v>
      </c>
      <c r="G43" s="5" t="str">
        <f>VLOOKUP(globalfreelancepreprocesseddata!A43,worksheet!A:P,9,FALSE)</f>
        <v>Web Development</v>
      </c>
      <c r="H43" s="5">
        <f>VLOOKUP(globalfreelancepreprocesseddata!A43,worksheet!A:P,10,FALSE)</f>
        <v>11</v>
      </c>
      <c r="I43" s="6">
        <f>VLOOKUP(globalfreelancepreprocesseddata!A43,worksheet!A:P,12,FALSE)</f>
        <v>30</v>
      </c>
      <c r="J43" s="5">
        <f>VLOOKUP(globalfreelancepreprocesseddata!A43,worksheet!A:P,13,FALSE)</f>
        <v>2.7</v>
      </c>
      <c r="K43" s="5">
        <f>VLOOKUP(globalfreelancepreprocesseddata!A43,worksheet!A:P,14,FALSE)</f>
        <v>1</v>
      </c>
      <c r="L43" s="7">
        <f>VLOOKUP(globalfreelancepreprocesseddata!A43,worksheet!A:P,16,FALSE)</f>
        <v>0.84</v>
      </c>
    </row>
    <row r="44" spans="1:12" x14ac:dyDescent="0.35">
      <c r="A44" s="5" t="s">
        <v>158</v>
      </c>
      <c r="B44" s="5" t="str">
        <f>VLOOKUP(globalfreelancepreprocesseddata!A44,worksheet!A:P,3,FALSE)</f>
        <v>Kaitlyn Schmidt</v>
      </c>
      <c r="C44" s="5" t="str">
        <f>VLOOKUP(globalfreelancepreprocesseddata!A44,worksheet!A:P,5,FALSE)</f>
        <v>Female</v>
      </c>
      <c r="D44" s="5">
        <f>VLOOKUP(globalfreelancepreprocesseddata!A44,worksheet!A:P,6,FALSE)</f>
        <v>35</v>
      </c>
      <c r="E44" s="5" t="str">
        <f>VLOOKUP(globalfreelancepreprocesseddata!A44,worksheet!A:P,7,FALSE)</f>
        <v>Germany</v>
      </c>
      <c r="F44" s="5" t="str">
        <f>VLOOKUP(globalfreelancepreprocesseddata!A44,worksheet!A:P,8,FALSE)</f>
        <v>German</v>
      </c>
      <c r="G44" s="5" t="str">
        <f>VLOOKUP(globalfreelancepreprocesseddata!A44,worksheet!A:P,9,FALSE)</f>
        <v>DevOps</v>
      </c>
      <c r="H44" s="5">
        <f>VLOOKUP(globalfreelancepreprocesseddata!A44,worksheet!A:P,10,FALSE)</f>
        <v>10</v>
      </c>
      <c r="I44" s="6">
        <f>VLOOKUP(globalfreelancepreprocesseddata!A44,worksheet!A:P,12,FALSE)</f>
        <v>50</v>
      </c>
      <c r="J44" s="5">
        <f>VLOOKUP(globalfreelancepreprocesseddata!A44,worksheet!A:P,13,FALSE)</f>
        <v>0</v>
      </c>
      <c r="K44" s="5">
        <f>VLOOKUP(globalfreelancepreprocesseddata!A44,worksheet!A:P,14,FALSE)</f>
        <v>1</v>
      </c>
      <c r="L44" s="7">
        <f>VLOOKUP(globalfreelancepreprocesseddata!A44,worksheet!A:P,16,FALSE)</f>
        <v>0.16</v>
      </c>
    </row>
    <row r="45" spans="1:12" x14ac:dyDescent="0.35">
      <c r="A45" s="5" t="s">
        <v>160</v>
      </c>
      <c r="B45" s="5" t="str">
        <f>VLOOKUP(globalfreelancepreprocesseddata!A45,worksheet!A:P,3,FALSE)</f>
        <v>Jason Singh</v>
      </c>
      <c r="C45" s="5" t="str">
        <f>VLOOKUP(globalfreelancepreprocesseddata!A45,worksheet!A:P,5,FALSE)</f>
        <v>Male</v>
      </c>
      <c r="D45" s="5">
        <f>VLOOKUP(globalfreelancepreprocesseddata!A45,worksheet!A:P,6,FALSE)</f>
        <v>41</v>
      </c>
      <c r="E45" s="5" t="str">
        <f>VLOOKUP(globalfreelancepreprocesseddata!A45,worksheet!A:P,7,FALSE)</f>
        <v>United Kingdom</v>
      </c>
      <c r="F45" s="5" t="str">
        <f>VLOOKUP(globalfreelancepreprocesseddata!A45,worksheet!A:P,8,FALSE)</f>
        <v>English</v>
      </c>
      <c r="G45" s="5" t="str">
        <f>VLOOKUP(globalfreelancepreprocesseddata!A45,worksheet!A:P,9,FALSE)</f>
        <v>Data Analysis</v>
      </c>
      <c r="H45" s="5">
        <f>VLOOKUP(globalfreelancepreprocesseddata!A45,worksheet!A:P,10,FALSE)</f>
        <v>11</v>
      </c>
      <c r="I45" s="6">
        <f>VLOOKUP(globalfreelancepreprocesseddata!A45,worksheet!A:P,12,FALSE)</f>
        <v>20</v>
      </c>
      <c r="J45" s="5">
        <f>VLOOKUP(globalfreelancepreprocesseddata!A45,worksheet!A:P,13,FALSE)</f>
        <v>2.8</v>
      </c>
      <c r="K45" s="5">
        <f>VLOOKUP(globalfreelancepreprocesseddata!A45,worksheet!A:P,14,FALSE)</f>
        <v>1</v>
      </c>
      <c r="L45" s="7">
        <f>VLOOKUP(globalfreelancepreprocesseddata!A45,worksheet!A:P,16,FALSE)</f>
        <v>0.63</v>
      </c>
    </row>
    <row r="46" spans="1:12" x14ac:dyDescent="0.35">
      <c r="A46" s="5" t="s">
        <v>162</v>
      </c>
      <c r="B46" s="5" t="str">
        <f>VLOOKUP(globalfreelancepreprocesseddata!A46,worksheet!A:P,3,FALSE)</f>
        <v>Michelle Ramirez</v>
      </c>
      <c r="C46" s="5" t="str">
        <f>VLOOKUP(globalfreelancepreprocesseddata!A46,worksheet!A:P,5,FALSE)</f>
        <v>Female</v>
      </c>
      <c r="D46" s="5">
        <f>VLOOKUP(globalfreelancepreprocesseddata!A46,worksheet!A:P,6,FALSE)</f>
        <v>51</v>
      </c>
      <c r="E46" s="5" t="str">
        <f>VLOOKUP(globalfreelancepreprocesseddata!A46,worksheet!A:P,7,FALSE)</f>
        <v>Netherlands</v>
      </c>
      <c r="F46" s="5" t="str">
        <f>VLOOKUP(globalfreelancepreprocesseddata!A46,worksheet!A:P,8,FALSE)</f>
        <v>Dutch</v>
      </c>
      <c r="G46" s="5" t="str">
        <f>VLOOKUP(globalfreelancepreprocesseddata!A46,worksheet!A:P,9,FALSE)</f>
        <v>Machine Learning</v>
      </c>
      <c r="H46" s="5">
        <f>VLOOKUP(globalfreelancepreprocesseddata!A46,worksheet!A:P,10,FALSE)</f>
        <v>23</v>
      </c>
      <c r="I46" s="6">
        <f>VLOOKUP(globalfreelancepreprocesseddata!A46,worksheet!A:P,12,FALSE)</f>
        <v>20</v>
      </c>
      <c r="J46" s="5">
        <f>VLOOKUP(globalfreelancepreprocesseddata!A46,worksheet!A:P,13,FALSE)</f>
        <v>2.5</v>
      </c>
      <c r="K46" s="5">
        <f>VLOOKUP(globalfreelancepreprocesseddata!A46,worksheet!A:P,14,FALSE)</f>
        <v>0</v>
      </c>
      <c r="L46" s="7">
        <f>VLOOKUP(globalfreelancepreprocesseddata!A46,worksheet!A:P,16,FALSE)</f>
        <v>0.8</v>
      </c>
    </row>
    <row r="47" spans="1:12" x14ac:dyDescent="0.35">
      <c r="A47" s="5" t="s">
        <v>164</v>
      </c>
      <c r="B47" s="5" t="str">
        <f>VLOOKUP(globalfreelancepreprocesseddata!A47,worksheet!A:P,3,FALSE)</f>
        <v>James Brown</v>
      </c>
      <c r="C47" s="5" t="str">
        <f>VLOOKUP(globalfreelancepreprocesseddata!A47,worksheet!A:P,5,FALSE)</f>
        <v>Male</v>
      </c>
      <c r="D47" s="5">
        <f>VLOOKUP(globalfreelancepreprocesseddata!A47,worksheet!A:P,6,FALSE)</f>
        <v>41</v>
      </c>
      <c r="E47" s="5" t="str">
        <f>VLOOKUP(globalfreelancepreprocesseddata!A47,worksheet!A:P,7,FALSE)</f>
        <v>South Africa</v>
      </c>
      <c r="F47" s="5" t="str">
        <f>VLOOKUP(globalfreelancepreprocesseddata!A47,worksheet!A:P,8,FALSE)</f>
        <v>Afrikaans</v>
      </c>
      <c r="G47" s="5" t="str">
        <f>VLOOKUP(globalfreelancepreprocesseddata!A47,worksheet!A:P,9,FALSE)</f>
        <v>Web Development</v>
      </c>
      <c r="H47" s="5">
        <f>VLOOKUP(globalfreelancepreprocesseddata!A47,worksheet!A:P,10,FALSE)</f>
        <v>9</v>
      </c>
      <c r="I47" s="6">
        <f>VLOOKUP(globalfreelancepreprocesseddata!A47,worksheet!A:P,12,FALSE)</f>
        <v>75</v>
      </c>
      <c r="J47" s="5">
        <f>VLOOKUP(globalfreelancepreprocesseddata!A47,worksheet!A:P,13,FALSE)</f>
        <v>4.9000000000000004</v>
      </c>
      <c r="K47" s="5">
        <f>VLOOKUP(globalfreelancepreprocesseddata!A47,worksheet!A:P,14,FALSE)</f>
        <v>1</v>
      </c>
      <c r="L47" s="7">
        <f>VLOOKUP(globalfreelancepreprocesseddata!A47,worksheet!A:P,16,FALSE)</f>
        <v>0.74</v>
      </c>
    </row>
    <row r="48" spans="1:12" x14ac:dyDescent="0.35">
      <c r="A48" s="5" t="s">
        <v>166</v>
      </c>
      <c r="B48" s="5" t="str">
        <f>VLOOKUP(globalfreelancepreprocesseddata!A48,worksheet!A:P,3,FALSE)</f>
        <v>Mrs. Samantha Simmons</v>
      </c>
      <c r="C48" s="5" t="str">
        <f>VLOOKUP(globalfreelancepreprocesseddata!A48,worksheet!A:P,5,FALSE)</f>
        <v>Female</v>
      </c>
      <c r="D48" s="5">
        <f>VLOOKUP(globalfreelancepreprocesseddata!A48,worksheet!A:P,6,FALSE)</f>
        <v>47</v>
      </c>
      <c r="E48" s="5" t="str">
        <f>VLOOKUP(globalfreelancepreprocesseddata!A48,worksheet!A:P,7,FALSE)</f>
        <v>Egypt</v>
      </c>
      <c r="F48" s="5" t="str">
        <f>VLOOKUP(globalfreelancepreprocesseddata!A48,worksheet!A:P,8,FALSE)</f>
        <v>Arabic</v>
      </c>
      <c r="G48" s="5" t="str">
        <f>VLOOKUP(globalfreelancepreprocesseddata!A48,worksheet!A:P,9,FALSE)</f>
        <v>DevOps</v>
      </c>
      <c r="H48" s="5">
        <f>VLOOKUP(globalfreelancepreprocesseddata!A48,worksheet!A:P,10,FALSE)</f>
        <v>15</v>
      </c>
      <c r="I48" s="6" t="str">
        <f>VLOOKUP(globalfreelancepreprocesseddata!A48,worksheet!A:P,12,FALSE)</f>
        <v>$ 30</v>
      </c>
      <c r="J48" s="5">
        <f>VLOOKUP(globalfreelancepreprocesseddata!A48,worksheet!A:P,13,FALSE)</f>
        <v>4.5</v>
      </c>
      <c r="K48" s="5">
        <f>VLOOKUP(globalfreelancepreprocesseddata!A48,worksheet!A:P,14,FALSE)</f>
        <v>1</v>
      </c>
      <c r="L48" s="7">
        <f>VLOOKUP(globalfreelancepreprocesseddata!A48,worksheet!A:P,16,FALSE)</f>
        <v>0.85</v>
      </c>
    </row>
    <row r="49" spans="1:12" x14ac:dyDescent="0.35">
      <c r="A49" s="5" t="s">
        <v>168</v>
      </c>
      <c r="B49" s="5" t="str">
        <f>VLOOKUP(globalfreelancepreprocesseddata!A49,worksheet!A:P,3,FALSE)</f>
        <v>Chase Mason</v>
      </c>
      <c r="C49" s="5" t="str">
        <f>VLOOKUP(globalfreelancepreprocesseddata!A49,worksheet!A:P,5,FALSE)</f>
        <v>Male</v>
      </c>
      <c r="D49" s="5">
        <f>VLOOKUP(globalfreelancepreprocesseddata!A49,worksheet!A:P,6,FALSE)</f>
        <v>25</v>
      </c>
      <c r="E49" s="5" t="str">
        <f>VLOOKUP(globalfreelancepreprocesseddata!A49,worksheet!A:P,7,FALSE)</f>
        <v>China</v>
      </c>
      <c r="F49" s="5" t="str">
        <f>VLOOKUP(globalfreelancepreprocesseddata!A49,worksheet!A:P,8,FALSE)</f>
        <v>Mandarin</v>
      </c>
      <c r="G49" s="5" t="str">
        <f>VLOOKUP(globalfreelancepreprocesseddata!A49,worksheet!A:P,9,FALSE)</f>
        <v>Graphic Design</v>
      </c>
      <c r="H49" s="5">
        <f>VLOOKUP(globalfreelancepreprocesseddata!A49,worksheet!A:P,10,FALSE)</f>
        <v>4</v>
      </c>
      <c r="I49" s="6">
        <f>VLOOKUP(globalfreelancepreprocesseddata!A49,worksheet!A:P,12,FALSE)</f>
        <v>50</v>
      </c>
      <c r="J49" s="5">
        <f>VLOOKUP(globalfreelancepreprocesseddata!A49,worksheet!A:P,13,FALSE)</f>
        <v>2.7</v>
      </c>
      <c r="K49" s="5">
        <f>VLOOKUP(globalfreelancepreprocesseddata!A49,worksheet!A:P,14,FALSE)</f>
        <v>0</v>
      </c>
      <c r="L49" s="7">
        <f>VLOOKUP(globalfreelancepreprocesseddata!A49,worksheet!A:P,16,FALSE)</f>
        <v>0.77</v>
      </c>
    </row>
    <row r="50" spans="1:12" x14ac:dyDescent="0.35">
      <c r="A50" s="5" t="s">
        <v>172</v>
      </c>
      <c r="B50" s="5" t="str">
        <f>VLOOKUP(globalfreelancepreprocesseddata!A50,worksheet!A:P,3,FALSE)</f>
        <v>Dominique Ward</v>
      </c>
      <c r="C50" s="5" t="str">
        <f>VLOOKUP(globalfreelancepreprocesseddata!A50,worksheet!A:P,5,FALSE)</f>
        <v>Female</v>
      </c>
      <c r="D50" s="5">
        <f>VLOOKUP(globalfreelancepreprocesseddata!A50,worksheet!A:P,6,FALSE)</f>
        <v>25</v>
      </c>
      <c r="E50" s="5" t="str">
        <f>VLOOKUP(globalfreelancepreprocesseddata!A50,worksheet!A:P,7,FALSE)</f>
        <v>Mexico</v>
      </c>
      <c r="F50" s="5" t="str">
        <f>VLOOKUP(globalfreelancepreprocesseddata!A50,worksheet!A:P,8,FALSE)</f>
        <v>Spanish</v>
      </c>
      <c r="G50" s="5" t="str">
        <f>VLOOKUP(globalfreelancepreprocesseddata!A50,worksheet!A:P,9,FALSE)</f>
        <v>Mobile Apps</v>
      </c>
      <c r="H50" s="5">
        <f>VLOOKUP(globalfreelancepreprocesseddata!A50,worksheet!A:P,10,FALSE)</f>
        <v>7</v>
      </c>
      <c r="I50" s="6">
        <f>VLOOKUP(globalfreelancepreprocesseddata!A50,worksheet!A:P,12,FALSE)</f>
        <v>20</v>
      </c>
      <c r="J50" s="5">
        <f>VLOOKUP(globalfreelancepreprocesseddata!A50,worksheet!A:P,13,FALSE)</f>
        <v>1.9</v>
      </c>
      <c r="K50" s="5">
        <f>VLOOKUP(globalfreelancepreprocesseddata!A50,worksheet!A:P,14,FALSE)</f>
        <v>0</v>
      </c>
      <c r="L50" s="7">
        <f>VLOOKUP(globalfreelancepreprocesseddata!A50,worksheet!A:P,16,FALSE)</f>
        <v>0.16</v>
      </c>
    </row>
    <row r="51" spans="1:12" x14ac:dyDescent="0.35">
      <c r="A51" s="5" t="s">
        <v>175</v>
      </c>
      <c r="B51" s="5" t="str">
        <f>VLOOKUP(globalfreelancepreprocesseddata!A51,worksheet!A:P,3,FALSE)</f>
        <v>Lance Griffin</v>
      </c>
      <c r="C51" s="5" t="str">
        <f>VLOOKUP(globalfreelancepreprocesseddata!A51,worksheet!A:P,5,FALSE)</f>
        <v>Male</v>
      </c>
      <c r="D51" s="5">
        <f>VLOOKUP(globalfreelancepreprocesseddata!A51,worksheet!A:P,6,FALSE)</f>
        <v>29</v>
      </c>
      <c r="E51" s="5" t="str">
        <f>VLOOKUP(globalfreelancepreprocesseddata!A51,worksheet!A:P,7,FALSE)</f>
        <v>Netherlands</v>
      </c>
      <c r="F51" s="5" t="str">
        <f>VLOOKUP(globalfreelancepreprocesseddata!A51,worksheet!A:P,8,FALSE)</f>
        <v>Dutch</v>
      </c>
      <c r="G51" s="5" t="str">
        <f>VLOOKUP(globalfreelancepreprocesseddata!A51,worksheet!A:P,9,FALSE)</f>
        <v>UI/UX Design</v>
      </c>
      <c r="H51" s="5">
        <f>VLOOKUP(globalfreelancepreprocesseddata!A51,worksheet!A:P,10,FALSE)</f>
        <v>1</v>
      </c>
      <c r="I51" s="6">
        <f>VLOOKUP(globalfreelancepreprocesseddata!A51,worksheet!A:P,12,FALSE)</f>
        <v>20</v>
      </c>
      <c r="J51" s="5">
        <f>VLOOKUP(globalfreelancepreprocesseddata!A51,worksheet!A:P,13,FALSE)</f>
        <v>1.4</v>
      </c>
      <c r="K51" s="5">
        <f>VLOOKUP(globalfreelancepreprocesseddata!A51,worksheet!A:P,14,FALSE)</f>
        <v>1</v>
      </c>
      <c r="L51" s="7">
        <f>VLOOKUP(globalfreelancepreprocesseddata!A51,worksheet!A:P,16,FALSE)</f>
        <v>0.63</v>
      </c>
    </row>
    <row r="52" spans="1:12" x14ac:dyDescent="0.35">
      <c r="A52" s="5" t="s">
        <v>177</v>
      </c>
      <c r="B52" s="5" t="str">
        <f>VLOOKUP(globalfreelancepreprocesseddata!A52,worksheet!A:P,3,FALSE)</f>
        <v>Julie Burgess</v>
      </c>
      <c r="C52" s="5" t="str">
        <f>VLOOKUP(globalfreelancepreprocesseddata!A52,worksheet!A:P,5,FALSE)</f>
        <v>Female</v>
      </c>
      <c r="D52" s="5">
        <f>VLOOKUP(globalfreelancepreprocesseddata!A52,worksheet!A:P,6,FALSE)</f>
        <v>23</v>
      </c>
      <c r="E52" s="5" t="str">
        <f>VLOOKUP(globalfreelancepreprocesseddata!A52,worksheet!A:P,7,FALSE)</f>
        <v>Argentina</v>
      </c>
      <c r="F52" s="5" t="str">
        <f>VLOOKUP(globalfreelancepreprocesseddata!A52,worksheet!A:P,8,FALSE)</f>
        <v>Spanish</v>
      </c>
      <c r="G52" s="5" t="str">
        <f>VLOOKUP(globalfreelancepreprocesseddata!A52,worksheet!A:P,9,FALSE)</f>
        <v>Cybersecurity</v>
      </c>
      <c r="H52" s="5">
        <f>VLOOKUP(globalfreelancepreprocesseddata!A52,worksheet!A:P,10,FALSE)</f>
        <v>11</v>
      </c>
      <c r="I52" s="6">
        <f>VLOOKUP(globalfreelancepreprocesseddata!A52,worksheet!A:P,12,FALSE)</f>
        <v>75</v>
      </c>
      <c r="J52" s="5">
        <f>VLOOKUP(globalfreelancepreprocesseddata!A52,worksheet!A:P,13,FALSE)</f>
        <v>1.9</v>
      </c>
      <c r="K52" s="5">
        <f>VLOOKUP(globalfreelancepreprocesseddata!A52,worksheet!A:P,14,FALSE)</f>
        <v>1</v>
      </c>
      <c r="L52" s="7">
        <f>VLOOKUP(globalfreelancepreprocesseddata!A52,worksheet!A:P,16,FALSE)</f>
        <v>0.79</v>
      </c>
    </row>
    <row r="53" spans="1:12" x14ac:dyDescent="0.35">
      <c r="A53" s="5" t="s">
        <v>179</v>
      </c>
      <c r="B53" s="5" t="str">
        <f>VLOOKUP(globalfreelancepreprocesseddata!A53,worksheet!A:P,3,FALSE)</f>
        <v>Don Scott</v>
      </c>
      <c r="C53" s="5" t="str">
        <f>VLOOKUP(globalfreelancepreprocesseddata!A53,worksheet!A:P,5,FALSE)</f>
        <v>Male</v>
      </c>
      <c r="D53" s="5">
        <f>VLOOKUP(globalfreelancepreprocesseddata!A53,worksheet!A:P,6,FALSE)</f>
        <v>31</v>
      </c>
      <c r="E53" s="5" t="str">
        <f>VLOOKUP(globalfreelancepreprocesseddata!A53,worksheet!A:P,7,FALSE)</f>
        <v>France</v>
      </c>
      <c r="F53" s="5" t="str">
        <f>VLOOKUP(globalfreelancepreprocesseddata!A53,worksheet!A:P,8,FALSE)</f>
        <v>French</v>
      </c>
      <c r="G53" s="5" t="str">
        <f>VLOOKUP(globalfreelancepreprocesseddata!A53,worksheet!A:P,9,FALSE)</f>
        <v>Data Analysis</v>
      </c>
      <c r="H53" s="5">
        <f>VLOOKUP(globalfreelancepreprocesseddata!A53,worksheet!A:P,10,FALSE)</f>
        <v>8</v>
      </c>
      <c r="I53" s="6">
        <f>VLOOKUP(globalfreelancepreprocesseddata!A53,worksheet!A:P,12,FALSE)</f>
        <v>50</v>
      </c>
      <c r="J53" s="5">
        <f>VLOOKUP(globalfreelancepreprocesseddata!A53,worksheet!A:P,13,FALSE)</f>
        <v>3.4</v>
      </c>
      <c r="K53" s="5">
        <f>VLOOKUP(globalfreelancepreprocesseddata!A53,worksheet!A:P,14,FALSE)</f>
        <v>0</v>
      </c>
      <c r="L53" s="7">
        <f>VLOOKUP(globalfreelancepreprocesseddata!A53,worksheet!A:P,16,FALSE)</f>
        <v>0.16</v>
      </c>
    </row>
    <row r="54" spans="1:12" x14ac:dyDescent="0.35">
      <c r="A54" s="5" t="s">
        <v>181</v>
      </c>
      <c r="B54" s="5" t="str">
        <f>VLOOKUP(globalfreelancepreprocesseddata!A54,worksheet!A:P,3,FALSE)</f>
        <v>Kyle Atkinson</v>
      </c>
      <c r="C54" s="5" t="str">
        <f>VLOOKUP(globalfreelancepreprocesseddata!A54,worksheet!A:P,5,FALSE)</f>
        <v>Male</v>
      </c>
      <c r="D54" s="5">
        <f>VLOOKUP(globalfreelancepreprocesseddata!A54,worksheet!A:P,6,FALSE)</f>
        <v>51</v>
      </c>
      <c r="E54" s="5" t="str">
        <f>VLOOKUP(globalfreelancepreprocesseddata!A54,worksheet!A:P,7,FALSE)</f>
        <v>Germany</v>
      </c>
      <c r="F54" s="5" t="str">
        <f>VLOOKUP(globalfreelancepreprocesseddata!A54,worksheet!A:P,8,FALSE)</f>
        <v>German</v>
      </c>
      <c r="G54" s="5" t="str">
        <f>VLOOKUP(globalfreelancepreprocesseddata!A54,worksheet!A:P,9,FALSE)</f>
        <v>Machine Learning</v>
      </c>
      <c r="H54" s="5">
        <f>VLOOKUP(globalfreelancepreprocesseddata!A54,worksheet!A:P,10,FALSE)</f>
        <v>33</v>
      </c>
      <c r="I54" s="6">
        <f>VLOOKUP(globalfreelancepreprocesseddata!A54,worksheet!A:P,12,FALSE)</f>
        <v>75</v>
      </c>
      <c r="J54" s="5">
        <f>VLOOKUP(globalfreelancepreprocesseddata!A54,worksheet!A:P,13,FALSE)</f>
        <v>3.3</v>
      </c>
      <c r="K54" s="5">
        <f>VLOOKUP(globalfreelancepreprocesseddata!A54,worksheet!A:P,14,FALSE)</f>
        <v>1</v>
      </c>
      <c r="L54" s="7">
        <f>VLOOKUP(globalfreelancepreprocesseddata!A54,worksheet!A:P,16,FALSE)</f>
        <v>0.68</v>
      </c>
    </row>
    <row r="55" spans="1:12" x14ac:dyDescent="0.35">
      <c r="A55" s="5" t="s">
        <v>183</v>
      </c>
      <c r="B55" s="5" t="str">
        <f>VLOOKUP(globalfreelancepreprocesseddata!A55,worksheet!A:P,3,FALSE)</f>
        <v>Jimmy Hogan</v>
      </c>
      <c r="C55" s="5" t="str">
        <f>VLOOKUP(globalfreelancepreprocesseddata!A55,worksheet!A:P,5,FALSE)</f>
        <v>Male</v>
      </c>
      <c r="D55" s="5">
        <f>VLOOKUP(globalfreelancepreprocesseddata!A55,worksheet!A:P,6,FALSE)</f>
        <v>41</v>
      </c>
      <c r="E55" s="5" t="str">
        <f>VLOOKUP(globalfreelancepreprocesseddata!A55,worksheet!A:P,7,FALSE)</f>
        <v>Spain</v>
      </c>
      <c r="F55" s="5" t="str">
        <f>VLOOKUP(globalfreelancepreprocesseddata!A55,worksheet!A:P,8,FALSE)</f>
        <v>Spanish</v>
      </c>
      <c r="G55" s="5" t="str">
        <f>VLOOKUP(globalfreelancepreprocesseddata!A55,worksheet!A:P,9,FALSE)</f>
        <v>UI/UX Design</v>
      </c>
      <c r="H55" s="5">
        <f>VLOOKUP(globalfreelancepreprocesseddata!A55,worksheet!A:P,10,FALSE)</f>
        <v>1</v>
      </c>
      <c r="I55" s="6">
        <f>VLOOKUP(globalfreelancepreprocesseddata!A55,worksheet!A:P,12,FALSE)</f>
        <v>30</v>
      </c>
      <c r="J55" s="5">
        <f>VLOOKUP(globalfreelancepreprocesseddata!A55,worksheet!A:P,13,FALSE)</f>
        <v>0</v>
      </c>
      <c r="K55" s="5">
        <f>VLOOKUP(globalfreelancepreprocesseddata!A55,worksheet!A:P,14,FALSE)</f>
        <v>0</v>
      </c>
      <c r="L55" s="7">
        <f>VLOOKUP(globalfreelancepreprocesseddata!A55,worksheet!A:P,16,FALSE)</f>
        <v>0.68</v>
      </c>
    </row>
    <row r="56" spans="1:12" x14ac:dyDescent="0.35">
      <c r="A56" s="5" t="s">
        <v>186</v>
      </c>
      <c r="B56" s="5" t="str">
        <f>VLOOKUP(globalfreelancepreprocesseddata!A56,worksheet!A:P,3,FALSE)</f>
        <v>Jennifer Mcintyre</v>
      </c>
      <c r="C56" s="5" t="str">
        <f>VLOOKUP(globalfreelancepreprocesseddata!A56,worksheet!A:P,5,FALSE)</f>
        <v>Female</v>
      </c>
      <c r="D56" s="5">
        <f>VLOOKUP(globalfreelancepreprocesseddata!A56,worksheet!A:P,6,FALSE)</f>
        <v>29</v>
      </c>
      <c r="E56" s="5" t="str">
        <f>VLOOKUP(globalfreelancepreprocesseddata!A56,worksheet!A:P,7,FALSE)</f>
        <v>Turkey</v>
      </c>
      <c r="F56" s="5" t="str">
        <f>VLOOKUP(globalfreelancepreprocesseddata!A56,worksheet!A:P,8,FALSE)</f>
        <v>Turkish</v>
      </c>
      <c r="G56" s="5" t="str">
        <f>VLOOKUP(globalfreelancepreprocesseddata!A56,worksheet!A:P,9,FALSE)</f>
        <v>Cybersecurity</v>
      </c>
      <c r="H56" s="5">
        <f>VLOOKUP(globalfreelancepreprocesseddata!A56,worksheet!A:P,10,FALSE)</f>
        <v>11</v>
      </c>
      <c r="I56" s="6">
        <f>VLOOKUP(globalfreelancepreprocesseddata!A56,worksheet!A:P,12,FALSE)</f>
        <v>100</v>
      </c>
      <c r="J56" s="5">
        <f>VLOOKUP(globalfreelancepreprocesseddata!A56,worksheet!A:P,13,FALSE)</f>
        <v>2.2999999999999998</v>
      </c>
      <c r="K56" s="5">
        <f>VLOOKUP(globalfreelancepreprocesseddata!A56,worksheet!A:P,14,FALSE)</f>
        <v>1</v>
      </c>
      <c r="L56" s="7">
        <f>VLOOKUP(globalfreelancepreprocesseddata!A56,worksheet!A:P,16,FALSE)</f>
        <v>0.72</v>
      </c>
    </row>
    <row r="57" spans="1:12" x14ac:dyDescent="0.35">
      <c r="A57" s="5" t="s">
        <v>188</v>
      </c>
      <c r="B57" s="5" t="str">
        <f>VLOOKUP(globalfreelancepreprocesseddata!A57,worksheet!A:P,3,FALSE)</f>
        <v>Larry Simpson</v>
      </c>
      <c r="C57" s="5" t="str">
        <f>VLOOKUP(globalfreelancepreprocesseddata!A57,worksheet!A:P,5,FALSE)</f>
        <v>Male</v>
      </c>
      <c r="D57" s="5">
        <f>VLOOKUP(globalfreelancepreprocesseddata!A57,worksheet!A:P,6,FALSE)</f>
        <v>50</v>
      </c>
      <c r="E57" s="5" t="str">
        <f>VLOOKUP(globalfreelancepreprocesseddata!A57,worksheet!A:P,7,FALSE)</f>
        <v>United Kingdom</v>
      </c>
      <c r="F57" s="5" t="str">
        <f>VLOOKUP(globalfreelancepreprocesseddata!A57,worksheet!A:P,8,FALSE)</f>
        <v>English</v>
      </c>
      <c r="G57" s="5" t="str">
        <f>VLOOKUP(globalfreelancepreprocesseddata!A57,worksheet!A:P,9,FALSE)</f>
        <v>AI</v>
      </c>
      <c r="H57" s="5">
        <f>VLOOKUP(globalfreelancepreprocesseddata!A57,worksheet!A:P,10,FALSE)</f>
        <v>15</v>
      </c>
      <c r="I57" s="6">
        <f>VLOOKUP(globalfreelancepreprocesseddata!A57,worksheet!A:P,12,FALSE)</f>
        <v>40</v>
      </c>
      <c r="J57" s="5">
        <f>VLOOKUP(globalfreelancepreprocesseddata!A57,worksheet!A:P,13,FALSE)</f>
        <v>2</v>
      </c>
      <c r="K57" s="5">
        <f>VLOOKUP(globalfreelancepreprocesseddata!A57,worksheet!A:P,14,FALSE)</f>
        <v>1</v>
      </c>
      <c r="L57" s="7">
        <f>VLOOKUP(globalfreelancepreprocesseddata!A57,worksheet!A:P,16,FALSE)</f>
        <v>0.65</v>
      </c>
    </row>
    <row r="58" spans="1:12" x14ac:dyDescent="0.35">
      <c r="A58" s="5" t="s">
        <v>190</v>
      </c>
      <c r="B58" s="5" t="str">
        <f>VLOOKUP(globalfreelancepreprocesseddata!A58,worksheet!A:P,3,FALSE)</f>
        <v>Laura Price</v>
      </c>
      <c r="C58" s="5" t="str">
        <f>VLOOKUP(globalfreelancepreprocesseddata!A58,worksheet!A:P,5,FALSE)</f>
        <v>Female</v>
      </c>
      <c r="D58" s="5">
        <f>VLOOKUP(globalfreelancepreprocesseddata!A58,worksheet!A:P,6,FALSE)</f>
        <v>26</v>
      </c>
      <c r="E58" s="5" t="str">
        <f>VLOOKUP(globalfreelancepreprocesseddata!A58,worksheet!A:P,7,FALSE)</f>
        <v>United Kingdom</v>
      </c>
      <c r="F58" s="5" t="str">
        <f>VLOOKUP(globalfreelancepreprocesseddata!A58,worksheet!A:P,8,FALSE)</f>
        <v>English</v>
      </c>
      <c r="G58" s="5" t="str">
        <f>VLOOKUP(globalfreelancepreprocesseddata!A58,worksheet!A:P,9,FALSE)</f>
        <v>DevOps</v>
      </c>
      <c r="H58" s="5">
        <f>VLOOKUP(globalfreelancepreprocesseddata!A58,worksheet!A:P,10,FALSE)</f>
        <v>8</v>
      </c>
      <c r="I58" s="6">
        <f>VLOOKUP(globalfreelancepreprocesseddata!A58,worksheet!A:P,12,FALSE)</f>
        <v>50</v>
      </c>
      <c r="J58" s="5">
        <f>VLOOKUP(globalfreelancepreprocesseddata!A58,worksheet!A:P,13,FALSE)</f>
        <v>1.3</v>
      </c>
      <c r="K58" s="5">
        <f>VLOOKUP(globalfreelancepreprocesseddata!A58,worksheet!A:P,14,FALSE)</f>
        <v>0</v>
      </c>
      <c r="L58" s="7">
        <f>VLOOKUP(globalfreelancepreprocesseddata!A58,worksheet!A:P,16,FALSE)</f>
        <v>0.76</v>
      </c>
    </row>
    <row r="59" spans="1:12" x14ac:dyDescent="0.35">
      <c r="A59" s="5" t="s">
        <v>192</v>
      </c>
      <c r="B59" s="5" t="str">
        <f>VLOOKUP(globalfreelancepreprocesseddata!A59,worksheet!A:P,3,FALSE)</f>
        <v>Mark Wright</v>
      </c>
      <c r="C59" s="5" t="str">
        <f>VLOOKUP(globalfreelancepreprocesseddata!A59,worksheet!A:P,5,FALSE)</f>
        <v>Male</v>
      </c>
      <c r="D59" s="5">
        <f>VLOOKUP(globalfreelancepreprocesseddata!A59,worksheet!A:P,6,FALSE)</f>
        <v>38</v>
      </c>
      <c r="E59" s="5" t="str">
        <f>VLOOKUP(globalfreelancepreprocesseddata!A59,worksheet!A:P,7,FALSE)</f>
        <v>Canada</v>
      </c>
      <c r="F59" s="5" t="str">
        <f>VLOOKUP(globalfreelancepreprocesseddata!A59,worksheet!A:P,8,FALSE)</f>
        <v>English</v>
      </c>
      <c r="G59" s="5" t="str">
        <f>VLOOKUP(globalfreelancepreprocesseddata!A59,worksheet!A:P,9,FALSE)</f>
        <v>AI</v>
      </c>
      <c r="H59" s="5">
        <f>VLOOKUP(globalfreelancepreprocesseddata!A59,worksheet!A:P,10,FALSE)</f>
        <v>17</v>
      </c>
      <c r="I59" s="6" t="str">
        <f>VLOOKUP(globalfreelancepreprocesseddata!A59,worksheet!A:P,12,FALSE)</f>
        <v>$ 40</v>
      </c>
      <c r="J59" s="5">
        <f>VLOOKUP(globalfreelancepreprocesseddata!A59,worksheet!A:P,13,FALSE)</f>
        <v>4</v>
      </c>
      <c r="K59" s="5">
        <f>VLOOKUP(globalfreelancepreprocesseddata!A59,worksheet!A:P,14,FALSE)</f>
        <v>1</v>
      </c>
      <c r="L59" s="7">
        <f>VLOOKUP(globalfreelancepreprocesseddata!A59,worksheet!A:P,16,FALSE)</f>
        <v>0.9</v>
      </c>
    </row>
    <row r="60" spans="1:12" x14ac:dyDescent="0.35">
      <c r="A60" s="5" t="s">
        <v>194</v>
      </c>
      <c r="B60" s="5" t="str">
        <f>VLOOKUP(globalfreelancepreprocesseddata!A60,worksheet!A:P,3,FALSE)</f>
        <v>Samantha Mcdaniel</v>
      </c>
      <c r="C60" s="5" t="str">
        <f>VLOOKUP(globalfreelancepreprocesseddata!A60,worksheet!A:P,5,FALSE)</f>
        <v>Female</v>
      </c>
      <c r="D60" s="5">
        <f>VLOOKUP(globalfreelancepreprocesseddata!A60,worksheet!A:P,6,FALSE)</f>
        <v>23</v>
      </c>
      <c r="E60" s="5" t="str">
        <f>VLOOKUP(globalfreelancepreprocesseddata!A60,worksheet!A:P,7,FALSE)</f>
        <v>India</v>
      </c>
      <c r="F60" s="5" t="str">
        <f>VLOOKUP(globalfreelancepreprocesseddata!A60,worksheet!A:P,8,FALSE)</f>
        <v>Hindi</v>
      </c>
      <c r="G60" s="5" t="str">
        <f>VLOOKUP(globalfreelancepreprocesseddata!A60,worksheet!A:P,9,FALSE)</f>
        <v>Mobile Apps</v>
      </c>
      <c r="H60" s="5">
        <f>VLOOKUP(globalfreelancepreprocesseddata!A60,worksheet!A:P,10,FALSE)</f>
        <v>11</v>
      </c>
      <c r="I60" s="6">
        <f>VLOOKUP(globalfreelancepreprocesseddata!A60,worksheet!A:P,12,FALSE)</f>
        <v>75</v>
      </c>
      <c r="J60" s="5">
        <f>VLOOKUP(globalfreelancepreprocesseddata!A60,worksheet!A:P,13,FALSE)</f>
        <v>3.6</v>
      </c>
      <c r="K60" s="5">
        <f>VLOOKUP(globalfreelancepreprocesseddata!A60,worksheet!A:P,14,FALSE)</f>
        <v>1</v>
      </c>
      <c r="L60" s="7">
        <f>VLOOKUP(globalfreelancepreprocesseddata!A60,worksheet!A:P,16,FALSE)</f>
        <v>0.65</v>
      </c>
    </row>
    <row r="61" spans="1:12" x14ac:dyDescent="0.35">
      <c r="A61" s="5" t="s">
        <v>196</v>
      </c>
      <c r="B61" s="5" t="str">
        <f>VLOOKUP(globalfreelancepreprocesseddata!A61,worksheet!A:P,3,FALSE)</f>
        <v>Barbara Foster</v>
      </c>
      <c r="C61" s="5" t="str">
        <f>VLOOKUP(globalfreelancepreprocesseddata!A61,worksheet!A:P,5,FALSE)</f>
        <v>Female</v>
      </c>
      <c r="D61" s="5">
        <f>VLOOKUP(globalfreelancepreprocesseddata!A61,worksheet!A:P,6,FALSE)</f>
        <v>51</v>
      </c>
      <c r="E61" s="5" t="str">
        <f>VLOOKUP(globalfreelancepreprocesseddata!A61,worksheet!A:P,7,FALSE)</f>
        <v>South Africa</v>
      </c>
      <c r="F61" s="5" t="str">
        <f>VLOOKUP(globalfreelancepreprocesseddata!A61,worksheet!A:P,8,FALSE)</f>
        <v>Afrikaans</v>
      </c>
      <c r="G61" s="5" t="str">
        <f>VLOOKUP(globalfreelancepreprocesseddata!A61,worksheet!A:P,9,FALSE)</f>
        <v>DevOps</v>
      </c>
      <c r="H61" s="5">
        <f>VLOOKUP(globalfreelancepreprocesseddata!A61,worksheet!A:P,10,FALSE)</f>
        <v>28</v>
      </c>
      <c r="I61" s="6">
        <f>VLOOKUP(globalfreelancepreprocesseddata!A61,worksheet!A:P,12,FALSE)</f>
        <v>40</v>
      </c>
      <c r="J61" s="5">
        <f>VLOOKUP(globalfreelancepreprocesseddata!A61,worksheet!A:P,13,FALSE)</f>
        <v>3.9</v>
      </c>
      <c r="K61" s="5">
        <f>VLOOKUP(globalfreelancepreprocesseddata!A61,worksheet!A:P,14,FALSE)</f>
        <v>0</v>
      </c>
      <c r="L61" s="7">
        <f>VLOOKUP(globalfreelancepreprocesseddata!A61,worksheet!A:P,16,FALSE)</f>
        <v>0.63</v>
      </c>
    </row>
    <row r="62" spans="1:12" x14ac:dyDescent="0.35">
      <c r="A62" s="5" t="s">
        <v>198</v>
      </c>
      <c r="B62" s="5" t="str">
        <f>VLOOKUP(globalfreelancepreprocesseddata!A62,worksheet!A:P,3,FALSE)</f>
        <v>Courtney Tran</v>
      </c>
      <c r="C62" s="5" t="str">
        <f>VLOOKUP(globalfreelancepreprocesseddata!A62,worksheet!A:P,5,FALSE)</f>
        <v>Female</v>
      </c>
      <c r="D62" s="5">
        <f>VLOOKUP(globalfreelancepreprocesseddata!A62,worksheet!A:P,6,FALSE)</f>
        <v>51</v>
      </c>
      <c r="E62" s="5" t="str">
        <f>VLOOKUP(globalfreelancepreprocesseddata!A62,worksheet!A:P,7,FALSE)</f>
        <v>Indonesia</v>
      </c>
      <c r="F62" s="5" t="str">
        <f>VLOOKUP(globalfreelancepreprocesseddata!A62,worksheet!A:P,8,FALSE)</f>
        <v>Indonesian</v>
      </c>
      <c r="G62" s="5" t="str">
        <f>VLOOKUP(globalfreelancepreprocesseddata!A62,worksheet!A:P,9,FALSE)</f>
        <v>AI</v>
      </c>
      <c r="H62" s="5">
        <f>VLOOKUP(globalfreelancepreprocesseddata!A62,worksheet!A:P,10,FALSE)</f>
        <v>33</v>
      </c>
      <c r="I62" s="6">
        <f>VLOOKUP(globalfreelancepreprocesseddata!A62,worksheet!A:P,12,FALSE)</f>
        <v>75</v>
      </c>
      <c r="J62" s="5">
        <f>VLOOKUP(globalfreelancepreprocesseddata!A62,worksheet!A:P,13,FALSE)</f>
        <v>0</v>
      </c>
      <c r="K62" s="5">
        <f>VLOOKUP(globalfreelancepreprocesseddata!A62,worksheet!A:P,14,FALSE)</f>
        <v>1</v>
      </c>
      <c r="L62" s="7">
        <f>VLOOKUP(globalfreelancepreprocesseddata!A62,worksheet!A:P,16,FALSE)</f>
        <v>0.16</v>
      </c>
    </row>
    <row r="63" spans="1:12" x14ac:dyDescent="0.35">
      <c r="A63" s="5" t="s">
        <v>200</v>
      </c>
      <c r="B63" s="5" t="str">
        <f>VLOOKUP(globalfreelancepreprocesseddata!A63,worksheet!A:P,3,FALSE)</f>
        <v>Eddie Todd</v>
      </c>
      <c r="C63" s="5" t="str">
        <f>VLOOKUP(globalfreelancepreprocesseddata!A63,worksheet!A:P,5,FALSE)</f>
        <v>Male</v>
      </c>
      <c r="D63" s="5">
        <f>VLOOKUP(globalfreelancepreprocesseddata!A63,worksheet!A:P,6,FALSE)</f>
        <v>47</v>
      </c>
      <c r="E63" s="5" t="str">
        <f>VLOOKUP(globalfreelancepreprocesseddata!A63,worksheet!A:P,7,FALSE)</f>
        <v>Germany</v>
      </c>
      <c r="F63" s="5" t="str">
        <f>VLOOKUP(globalfreelancepreprocesseddata!A63,worksheet!A:P,8,FALSE)</f>
        <v>German</v>
      </c>
      <c r="G63" s="5" t="str">
        <f>VLOOKUP(globalfreelancepreprocesseddata!A63,worksheet!A:P,9,FALSE)</f>
        <v>AI</v>
      </c>
      <c r="H63" s="5">
        <f>VLOOKUP(globalfreelancepreprocesseddata!A63,worksheet!A:P,10,FALSE)</f>
        <v>18</v>
      </c>
      <c r="I63" s="6">
        <f>VLOOKUP(globalfreelancepreprocesseddata!A63,worksheet!A:P,12,FALSE)</f>
        <v>75</v>
      </c>
      <c r="J63" s="5">
        <f>VLOOKUP(globalfreelancepreprocesseddata!A63,worksheet!A:P,13,FALSE)</f>
        <v>0</v>
      </c>
      <c r="K63" s="5">
        <f>VLOOKUP(globalfreelancepreprocesseddata!A63,worksheet!A:P,14,FALSE)</f>
        <v>0</v>
      </c>
      <c r="L63" s="7">
        <f>VLOOKUP(globalfreelancepreprocesseddata!A63,worksheet!A:P,16,FALSE)</f>
        <v>0.16</v>
      </c>
    </row>
    <row r="64" spans="1:12" x14ac:dyDescent="0.35">
      <c r="A64" s="5" t="s">
        <v>202</v>
      </c>
      <c r="B64" s="5" t="str">
        <f>VLOOKUP(globalfreelancepreprocesseddata!A64,worksheet!A:P,3,FALSE)</f>
        <v>Christine Johnson</v>
      </c>
      <c r="C64" s="5" t="str">
        <f>VLOOKUP(globalfreelancepreprocesseddata!A64,worksheet!A:P,5,FALSE)</f>
        <v>Female</v>
      </c>
      <c r="D64" s="5">
        <f>VLOOKUP(globalfreelancepreprocesseddata!A64,worksheet!A:P,6,FALSE)</f>
        <v>34</v>
      </c>
      <c r="E64" s="5" t="str">
        <f>VLOOKUP(globalfreelancepreprocesseddata!A64,worksheet!A:P,7,FALSE)</f>
        <v>Russia</v>
      </c>
      <c r="F64" s="5" t="str">
        <f>VLOOKUP(globalfreelancepreprocesseddata!A64,worksheet!A:P,8,FALSE)</f>
        <v>Russian</v>
      </c>
      <c r="G64" s="5" t="str">
        <f>VLOOKUP(globalfreelancepreprocesseddata!A64,worksheet!A:P,9,FALSE)</f>
        <v>UI/UX Design</v>
      </c>
      <c r="H64" s="5">
        <f>VLOOKUP(globalfreelancepreprocesseddata!A64,worksheet!A:P,10,FALSE)</f>
        <v>16</v>
      </c>
      <c r="I64" s="6">
        <f>VLOOKUP(globalfreelancepreprocesseddata!A64,worksheet!A:P,12,FALSE)</f>
        <v>20</v>
      </c>
      <c r="J64" s="5">
        <f>VLOOKUP(globalfreelancepreprocesseddata!A64,worksheet!A:P,13,FALSE)</f>
        <v>2.2999999999999998</v>
      </c>
      <c r="K64" s="5">
        <f>VLOOKUP(globalfreelancepreprocesseddata!A64,worksheet!A:P,14,FALSE)</f>
        <v>1</v>
      </c>
      <c r="L64" s="7">
        <f>VLOOKUP(globalfreelancepreprocesseddata!A64,worksheet!A:P,16,FALSE)</f>
        <v>0.93</v>
      </c>
    </row>
    <row r="65" spans="1:12" x14ac:dyDescent="0.35">
      <c r="A65" s="5" t="s">
        <v>204</v>
      </c>
      <c r="B65" s="5" t="str">
        <f>VLOOKUP(globalfreelancepreprocesseddata!A65,worksheet!A:P,3,FALSE)</f>
        <v>Leah Phelps</v>
      </c>
      <c r="C65" s="5" t="str">
        <f>VLOOKUP(globalfreelancepreprocesseddata!A65,worksheet!A:P,5,FALSE)</f>
        <v>Female</v>
      </c>
      <c r="D65" s="5">
        <f>VLOOKUP(globalfreelancepreprocesseddata!A65,worksheet!A:P,6,FALSE)</f>
        <v>58</v>
      </c>
      <c r="E65" s="5" t="str">
        <f>VLOOKUP(globalfreelancepreprocesseddata!A65,worksheet!A:P,7,FALSE)</f>
        <v>Indonesia</v>
      </c>
      <c r="F65" s="5" t="str">
        <f>VLOOKUP(globalfreelancepreprocesseddata!A65,worksheet!A:P,8,FALSE)</f>
        <v>Indonesian</v>
      </c>
      <c r="G65" s="5" t="str">
        <f>VLOOKUP(globalfreelancepreprocesseddata!A65,worksheet!A:P,9,FALSE)</f>
        <v>Data Analysis</v>
      </c>
      <c r="H65" s="5">
        <f>VLOOKUP(globalfreelancepreprocesseddata!A65,worksheet!A:P,10,FALSE)</f>
        <v>35</v>
      </c>
      <c r="I65" s="6" t="str">
        <f>VLOOKUP(globalfreelancepreprocesseddata!A65,worksheet!A:P,12,FALSE)</f>
        <v>$ 50</v>
      </c>
      <c r="J65" s="5">
        <f>VLOOKUP(globalfreelancepreprocesseddata!A65,worksheet!A:P,13,FALSE)</f>
        <v>4.7</v>
      </c>
      <c r="K65" s="5">
        <f>VLOOKUP(globalfreelancepreprocesseddata!A65,worksheet!A:P,14,FALSE)</f>
        <v>1</v>
      </c>
      <c r="L65" s="7">
        <f>VLOOKUP(globalfreelancepreprocesseddata!A65,worksheet!A:P,16,FALSE)</f>
        <v>0.7</v>
      </c>
    </row>
    <row r="66" spans="1:12" x14ac:dyDescent="0.35">
      <c r="A66" s="5" t="s">
        <v>206</v>
      </c>
      <c r="B66" s="5" t="str">
        <f>VLOOKUP(globalfreelancepreprocesseddata!A66,worksheet!A:P,3,FALSE)</f>
        <v>Rebekah Williams</v>
      </c>
      <c r="C66" s="5" t="str">
        <f>VLOOKUP(globalfreelancepreprocesseddata!A66,worksheet!A:P,5,FALSE)</f>
        <v>Female</v>
      </c>
      <c r="D66" s="5">
        <f>VLOOKUP(globalfreelancepreprocesseddata!A66,worksheet!A:P,6,FALSE)</f>
        <v>50</v>
      </c>
      <c r="E66" s="5" t="str">
        <f>VLOOKUP(globalfreelancepreprocesseddata!A66,worksheet!A:P,7,FALSE)</f>
        <v>Russia</v>
      </c>
      <c r="F66" s="5" t="str">
        <f>VLOOKUP(globalfreelancepreprocesseddata!A66,worksheet!A:P,8,FALSE)</f>
        <v>Russian</v>
      </c>
      <c r="G66" s="5" t="str">
        <f>VLOOKUP(globalfreelancepreprocesseddata!A66,worksheet!A:P,9,FALSE)</f>
        <v>AI</v>
      </c>
      <c r="H66" s="5">
        <f>VLOOKUP(globalfreelancepreprocesseddata!A66,worksheet!A:P,10,FALSE)</f>
        <v>14</v>
      </c>
      <c r="I66" s="6">
        <f>VLOOKUP(globalfreelancepreprocesseddata!A66,worksheet!A:P,12,FALSE)</f>
        <v>40</v>
      </c>
      <c r="J66" s="5">
        <f>VLOOKUP(globalfreelancepreprocesseddata!A66,worksheet!A:P,13,FALSE)</f>
        <v>3.5</v>
      </c>
      <c r="K66" s="5">
        <f>VLOOKUP(globalfreelancepreprocesseddata!A66,worksheet!A:P,14,FALSE)</f>
        <v>1</v>
      </c>
      <c r="L66" s="7">
        <f>VLOOKUP(globalfreelancepreprocesseddata!A66,worksheet!A:P,16,FALSE)</f>
        <v>0.83</v>
      </c>
    </row>
    <row r="67" spans="1:12" x14ac:dyDescent="0.35">
      <c r="A67" s="5" t="s">
        <v>208</v>
      </c>
      <c r="B67" s="5" t="str">
        <f>VLOOKUP(globalfreelancepreprocesseddata!A67,worksheet!A:P,3,FALSE)</f>
        <v>Crystal Wilson</v>
      </c>
      <c r="C67" s="5" t="str">
        <f>VLOOKUP(globalfreelancepreprocesseddata!A67,worksheet!A:P,5,FALSE)</f>
        <v>Female</v>
      </c>
      <c r="D67" s="5">
        <f>VLOOKUP(globalfreelancepreprocesseddata!A67,worksheet!A:P,6,FALSE)</f>
        <v>34</v>
      </c>
      <c r="E67" s="5" t="str">
        <f>VLOOKUP(globalfreelancepreprocesseddata!A67,worksheet!A:P,7,FALSE)</f>
        <v>Spain</v>
      </c>
      <c r="F67" s="5" t="str">
        <f>VLOOKUP(globalfreelancepreprocesseddata!A67,worksheet!A:P,8,FALSE)</f>
        <v>Spanish</v>
      </c>
      <c r="G67" s="5" t="str">
        <f>VLOOKUP(globalfreelancepreprocesseddata!A67,worksheet!A:P,9,FALSE)</f>
        <v>Web Development</v>
      </c>
      <c r="H67" s="5">
        <f>VLOOKUP(globalfreelancepreprocesseddata!A67,worksheet!A:P,10,FALSE)</f>
        <v>12</v>
      </c>
      <c r="I67" s="6">
        <f>VLOOKUP(globalfreelancepreprocesseddata!A67,worksheet!A:P,12,FALSE)</f>
        <v>40</v>
      </c>
      <c r="J67" s="5">
        <f>VLOOKUP(globalfreelancepreprocesseddata!A67,worksheet!A:P,13,FALSE)</f>
        <v>2.4</v>
      </c>
      <c r="K67" s="5">
        <f>VLOOKUP(globalfreelancepreprocesseddata!A67,worksheet!A:P,14,FALSE)</f>
        <v>1</v>
      </c>
      <c r="L67" s="7">
        <f>VLOOKUP(globalfreelancepreprocesseddata!A67,worksheet!A:P,16,FALSE)</f>
        <v>0.64</v>
      </c>
    </row>
    <row r="68" spans="1:12" x14ac:dyDescent="0.35">
      <c r="A68" s="5" t="s">
        <v>210</v>
      </c>
      <c r="B68" s="5" t="str">
        <f>VLOOKUP(globalfreelancepreprocesseddata!A68,worksheet!A:P,3,FALSE)</f>
        <v>Ashley Cordova</v>
      </c>
      <c r="C68" s="5" t="str">
        <f>VLOOKUP(globalfreelancepreprocesseddata!A68,worksheet!A:P,5,FALSE)</f>
        <v>Female</v>
      </c>
      <c r="D68" s="5">
        <f>VLOOKUP(globalfreelancepreprocesseddata!A68,worksheet!A:P,6,FALSE)</f>
        <v>45</v>
      </c>
      <c r="E68" s="5" t="str">
        <f>VLOOKUP(globalfreelancepreprocesseddata!A68,worksheet!A:P,7,FALSE)</f>
        <v>Brazil</v>
      </c>
      <c r="F68" s="5" t="str">
        <f>VLOOKUP(globalfreelancepreprocesseddata!A68,worksheet!A:P,8,FALSE)</f>
        <v>Portuguese</v>
      </c>
      <c r="G68" s="5" t="str">
        <f>VLOOKUP(globalfreelancepreprocesseddata!A68,worksheet!A:P,9,FALSE)</f>
        <v>AI</v>
      </c>
      <c r="H68" s="5">
        <f>VLOOKUP(globalfreelancepreprocesseddata!A68,worksheet!A:P,10,FALSE)</f>
        <v>11</v>
      </c>
      <c r="I68" s="6" t="str">
        <f>VLOOKUP(globalfreelancepreprocesseddata!A68,worksheet!A:P,12,FALSE)</f>
        <v>$ 75</v>
      </c>
      <c r="J68" s="5">
        <f>VLOOKUP(globalfreelancepreprocesseddata!A68,worksheet!A:P,13,FALSE)</f>
        <v>4</v>
      </c>
      <c r="K68" s="5">
        <f>VLOOKUP(globalfreelancepreprocesseddata!A68,worksheet!A:P,14,FALSE)</f>
        <v>0</v>
      </c>
      <c r="L68" s="7">
        <f>VLOOKUP(globalfreelancepreprocesseddata!A68,worksheet!A:P,16,FALSE)</f>
        <v>0.01</v>
      </c>
    </row>
    <row r="69" spans="1:12" x14ac:dyDescent="0.35">
      <c r="A69" s="5" t="s">
        <v>212</v>
      </c>
      <c r="B69" s="5" t="str">
        <f>VLOOKUP(globalfreelancepreprocesseddata!A69,worksheet!A:P,3,FALSE)</f>
        <v>Vicki Kelly</v>
      </c>
      <c r="C69" s="5" t="str">
        <f>VLOOKUP(globalfreelancepreprocesseddata!A69,worksheet!A:P,5,FALSE)</f>
        <v>Female</v>
      </c>
      <c r="D69" s="5">
        <f>VLOOKUP(globalfreelancepreprocesseddata!A69,worksheet!A:P,6,FALSE)</f>
        <v>55</v>
      </c>
      <c r="E69" s="5" t="str">
        <f>VLOOKUP(globalfreelancepreprocesseddata!A69,worksheet!A:P,7,FALSE)</f>
        <v>Brazil</v>
      </c>
      <c r="F69" s="5" t="str">
        <f>VLOOKUP(globalfreelancepreprocesseddata!A69,worksheet!A:P,8,FALSE)</f>
        <v>Portuguese</v>
      </c>
      <c r="G69" s="5" t="str">
        <f>VLOOKUP(globalfreelancepreprocesseddata!A69,worksheet!A:P,9,FALSE)</f>
        <v>Web Development</v>
      </c>
      <c r="H69" s="5">
        <f>VLOOKUP(globalfreelancepreprocesseddata!A69,worksheet!A:P,10,FALSE)</f>
        <v>11</v>
      </c>
      <c r="I69" s="6">
        <f>VLOOKUP(globalfreelancepreprocesseddata!A69,worksheet!A:P,12,FALSE)</f>
        <v>40</v>
      </c>
      <c r="J69" s="5">
        <f>VLOOKUP(globalfreelancepreprocesseddata!A69,worksheet!A:P,13,FALSE)</f>
        <v>0</v>
      </c>
      <c r="K69" s="5">
        <f>VLOOKUP(globalfreelancepreprocesseddata!A69,worksheet!A:P,14,FALSE)</f>
        <v>1</v>
      </c>
      <c r="L69" s="7">
        <f>VLOOKUP(globalfreelancepreprocesseddata!A69,worksheet!A:P,16,FALSE)</f>
        <v>0.16</v>
      </c>
    </row>
    <row r="70" spans="1:12" x14ac:dyDescent="0.35">
      <c r="A70" s="5" t="s">
        <v>214</v>
      </c>
      <c r="B70" s="5" t="str">
        <f>VLOOKUP(globalfreelancepreprocesseddata!A70,worksheet!A:P,3,FALSE)</f>
        <v>Corey Warren</v>
      </c>
      <c r="C70" s="5" t="str">
        <f>VLOOKUP(globalfreelancepreprocesseddata!A70,worksheet!A:P,5,FALSE)</f>
        <v>Male</v>
      </c>
      <c r="D70" s="5">
        <f>VLOOKUP(globalfreelancepreprocesseddata!A70,worksheet!A:P,6,FALSE)</f>
        <v>41</v>
      </c>
      <c r="E70" s="5" t="str">
        <f>VLOOKUP(globalfreelancepreprocesseddata!A70,worksheet!A:P,7,FALSE)</f>
        <v>Argentina</v>
      </c>
      <c r="F70" s="5" t="str">
        <f>VLOOKUP(globalfreelancepreprocesseddata!A70,worksheet!A:P,8,FALSE)</f>
        <v>Spanish</v>
      </c>
      <c r="G70" s="5" t="str">
        <f>VLOOKUP(globalfreelancepreprocesseddata!A70,worksheet!A:P,9,FALSE)</f>
        <v>UI/UX Design</v>
      </c>
      <c r="H70" s="5">
        <f>VLOOKUP(globalfreelancepreprocesseddata!A70,worksheet!A:P,10,FALSE)</f>
        <v>6</v>
      </c>
      <c r="I70" s="6">
        <f>VLOOKUP(globalfreelancepreprocesseddata!A70,worksheet!A:P,12,FALSE)</f>
        <v>100</v>
      </c>
      <c r="J70" s="5">
        <f>VLOOKUP(globalfreelancepreprocesseddata!A70,worksheet!A:P,13,FALSE)</f>
        <v>1.5</v>
      </c>
      <c r="K70" s="5">
        <f>VLOOKUP(globalfreelancepreprocesseddata!A70,worksheet!A:P,14,FALSE)</f>
        <v>0</v>
      </c>
      <c r="L70" s="7">
        <f>VLOOKUP(globalfreelancepreprocesseddata!A70,worksheet!A:P,16,FALSE)</f>
        <v>0.16</v>
      </c>
    </row>
    <row r="71" spans="1:12" x14ac:dyDescent="0.35">
      <c r="A71" s="5" t="s">
        <v>216</v>
      </c>
      <c r="B71" s="5" t="str">
        <f>VLOOKUP(globalfreelancepreprocesseddata!A71,worksheet!A:P,3,FALSE)</f>
        <v>Gina Thompson</v>
      </c>
      <c r="C71" s="5" t="str">
        <f>VLOOKUP(globalfreelancepreprocesseddata!A71,worksheet!A:P,5,FALSE)</f>
        <v>Female</v>
      </c>
      <c r="D71" s="5">
        <f>VLOOKUP(globalfreelancepreprocesseddata!A71,worksheet!A:P,6,FALSE)</f>
        <v>60</v>
      </c>
      <c r="E71" s="5" t="str">
        <f>VLOOKUP(globalfreelancepreprocesseddata!A71,worksheet!A:P,7,FALSE)</f>
        <v>China</v>
      </c>
      <c r="F71" s="5" t="str">
        <f>VLOOKUP(globalfreelancepreprocesseddata!A71,worksheet!A:P,8,FALSE)</f>
        <v>Mandarin</v>
      </c>
      <c r="G71" s="5" t="str">
        <f>VLOOKUP(globalfreelancepreprocesseddata!A71,worksheet!A:P,9,FALSE)</f>
        <v>UI/UX Design</v>
      </c>
      <c r="H71" s="5">
        <f>VLOOKUP(globalfreelancepreprocesseddata!A71,worksheet!A:P,10,FALSE)</f>
        <v>38</v>
      </c>
      <c r="I71" s="6">
        <f>VLOOKUP(globalfreelancepreprocesseddata!A71,worksheet!A:P,12,FALSE)</f>
        <v>20</v>
      </c>
      <c r="J71" s="5">
        <f>VLOOKUP(globalfreelancepreprocesseddata!A71,worksheet!A:P,13,FALSE)</f>
        <v>2</v>
      </c>
      <c r="K71" s="5">
        <f>VLOOKUP(globalfreelancepreprocesseddata!A71,worksheet!A:P,14,FALSE)</f>
        <v>1</v>
      </c>
      <c r="L71" s="7">
        <f>VLOOKUP(globalfreelancepreprocesseddata!A71,worksheet!A:P,16,FALSE)</f>
        <v>0.71</v>
      </c>
    </row>
    <row r="72" spans="1:12" x14ac:dyDescent="0.35">
      <c r="A72" s="5" t="s">
        <v>218</v>
      </c>
      <c r="B72" s="5" t="str">
        <f>VLOOKUP(globalfreelancepreprocesseddata!A72,worksheet!A:P,3,FALSE)</f>
        <v>Yvonne Berg</v>
      </c>
      <c r="C72" s="5" t="str">
        <f>VLOOKUP(globalfreelancepreprocesseddata!A72,worksheet!A:P,5,FALSE)</f>
        <v>Female</v>
      </c>
      <c r="D72" s="5">
        <f>VLOOKUP(globalfreelancepreprocesseddata!A72,worksheet!A:P,6,FALSE)</f>
        <v>33</v>
      </c>
      <c r="E72" s="5" t="str">
        <f>VLOOKUP(globalfreelancepreprocesseddata!A72,worksheet!A:P,7,FALSE)</f>
        <v>South Africa</v>
      </c>
      <c r="F72" s="5" t="str">
        <f>VLOOKUP(globalfreelancepreprocesseddata!A72,worksheet!A:P,8,FALSE)</f>
        <v>Afrikaans</v>
      </c>
      <c r="G72" s="5" t="str">
        <f>VLOOKUP(globalfreelancepreprocesseddata!A72,worksheet!A:P,9,FALSE)</f>
        <v>Mobile Apps</v>
      </c>
      <c r="H72" s="5">
        <f>VLOOKUP(globalfreelancepreprocesseddata!A72,worksheet!A:P,10,FALSE)</f>
        <v>11</v>
      </c>
      <c r="I72" s="6">
        <f>VLOOKUP(globalfreelancepreprocesseddata!A72,worksheet!A:P,12,FALSE)</f>
        <v>40</v>
      </c>
      <c r="J72" s="5">
        <f>VLOOKUP(globalfreelancepreprocesseddata!A72,worksheet!A:P,13,FALSE)</f>
        <v>3</v>
      </c>
      <c r="K72" s="5">
        <f>VLOOKUP(globalfreelancepreprocesseddata!A72,worksheet!A:P,14,FALSE)</f>
        <v>1</v>
      </c>
      <c r="L72" s="7">
        <f>VLOOKUP(globalfreelancepreprocesseddata!A72,worksheet!A:P,16,FALSE)</f>
        <v>0.84</v>
      </c>
    </row>
    <row r="73" spans="1:12" x14ac:dyDescent="0.35">
      <c r="A73" s="5" t="s">
        <v>220</v>
      </c>
      <c r="B73" s="5" t="str">
        <f>VLOOKUP(globalfreelancepreprocesseddata!A73,worksheet!A:P,3,FALSE)</f>
        <v>Thomas Miller</v>
      </c>
      <c r="C73" s="5" t="str">
        <f>VLOOKUP(globalfreelancepreprocesseddata!A73,worksheet!A:P,5,FALSE)</f>
        <v>Male</v>
      </c>
      <c r="D73" s="5">
        <f>VLOOKUP(globalfreelancepreprocesseddata!A73,worksheet!A:P,6,FALSE)</f>
        <v>60</v>
      </c>
      <c r="E73" s="5" t="str">
        <f>VLOOKUP(globalfreelancepreprocesseddata!A73,worksheet!A:P,7,FALSE)</f>
        <v>Italy</v>
      </c>
      <c r="F73" s="5" t="str">
        <f>VLOOKUP(globalfreelancepreprocesseddata!A73,worksheet!A:P,8,FALSE)</f>
        <v>Italian</v>
      </c>
      <c r="G73" s="5" t="str">
        <f>VLOOKUP(globalfreelancepreprocesseddata!A73,worksheet!A:P,9,FALSE)</f>
        <v>DevOps</v>
      </c>
      <c r="H73" s="5">
        <f>VLOOKUP(globalfreelancepreprocesseddata!A73,worksheet!A:P,10,FALSE)</f>
        <v>13</v>
      </c>
      <c r="I73" s="6" t="str">
        <f>VLOOKUP(globalfreelancepreprocesseddata!A73,worksheet!A:P,12,FALSE)</f>
        <v>$ 50</v>
      </c>
      <c r="J73" s="5">
        <f>VLOOKUP(globalfreelancepreprocesseddata!A73,worksheet!A:P,13,FALSE)</f>
        <v>1</v>
      </c>
      <c r="K73" s="5">
        <f>VLOOKUP(globalfreelancepreprocesseddata!A73,worksheet!A:P,14,FALSE)</f>
        <v>0</v>
      </c>
      <c r="L73" s="7">
        <f>VLOOKUP(globalfreelancepreprocesseddata!A73,worksheet!A:P,16,FALSE)</f>
        <v>0.16</v>
      </c>
    </row>
    <row r="74" spans="1:12" x14ac:dyDescent="0.35">
      <c r="A74" s="5" t="s">
        <v>222</v>
      </c>
      <c r="B74" s="5" t="str">
        <f>VLOOKUP(globalfreelancepreprocesseddata!A74,worksheet!A:P,3,FALSE)</f>
        <v>Nicholas Burton</v>
      </c>
      <c r="C74" s="5" t="str">
        <f>VLOOKUP(globalfreelancepreprocesseddata!A74,worksheet!A:P,5,FALSE)</f>
        <v>Male</v>
      </c>
      <c r="D74" s="5">
        <f>VLOOKUP(globalfreelancepreprocesseddata!A74,worksheet!A:P,6,FALSE)</f>
        <v>40</v>
      </c>
      <c r="E74" s="5" t="str">
        <f>VLOOKUP(globalfreelancepreprocesseddata!A74,worksheet!A:P,7,FALSE)</f>
        <v>United States</v>
      </c>
      <c r="F74" s="5" t="str">
        <f>VLOOKUP(globalfreelancepreprocesseddata!A74,worksheet!A:P,8,FALSE)</f>
        <v>English</v>
      </c>
      <c r="G74" s="5" t="str">
        <f>VLOOKUP(globalfreelancepreprocesseddata!A74,worksheet!A:P,9,FALSE)</f>
        <v>Web Development</v>
      </c>
      <c r="H74" s="5">
        <f>VLOOKUP(globalfreelancepreprocesseddata!A74,worksheet!A:P,10,FALSE)</f>
        <v>9</v>
      </c>
      <c r="I74" s="6">
        <f>VLOOKUP(globalfreelancepreprocesseddata!A74,worksheet!A:P,12,FALSE)</f>
        <v>100</v>
      </c>
      <c r="J74" s="5">
        <f>VLOOKUP(globalfreelancepreprocesseddata!A74,worksheet!A:P,13,FALSE)</f>
        <v>4.5</v>
      </c>
      <c r="K74" s="5">
        <f>VLOOKUP(globalfreelancepreprocesseddata!A74,worksheet!A:P,14,FALSE)</f>
        <v>1</v>
      </c>
      <c r="L74" s="7">
        <f>VLOOKUP(globalfreelancepreprocesseddata!A74,worksheet!A:P,16,FALSE)</f>
        <v>0.69</v>
      </c>
    </row>
    <row r="75" spans="1:12" x14ac:dyDescent="0.35">
      <c r="A75" s="5" t="s">
        <v>224</v>
      </c>
      <c r="B75" s="5" t="str">
        <f>VLOOKUP(globalfreelancepreprocesseddata!A75,worksheet!A:P,3,FALSE)</f>
        <v>Jorge Riley</v>
      </c>
      <c r="C75" s="5" t="str">
        <f>VLOOKUP(globalfreelancepreprocesseddata!A75,worksheet!A:P,5,FALSE)</f>
        <v>Male</v>
      </c>
      <c r="D75" s="5">
        <f>VLOOKUP(globalfreelancepreprocesseddata!A75,worksheet!A:P,6,FALSE)</f>
        <v>59</v>
      </c>
      <c r="E75" s="5" t="str">
        <f>VLOOKUP(globalfreelancepreprocesseddata!A75,worksheet!A:P,7,FALSE)</f>
        <v>Australia</v>
      </c>
      <c r="F75" s="5" t="str">
        <f>VLOOKUP(globalfreelancepreprocesseddata!A75,worksheet!A:P,8,FALSE)</f>
        <v>English</v>
      </c>
      <c r="G75" s="5" t="str">
        <f>VLOOKUP(globalfreelancepreprocesseddata!A75,worksheet!A:P,9,FALSE)</f>
        <v>Blockchain Development</v>
      </c>
      <c r="H75" s="5">
        <f>VLOOKUP(globalfreelancepreprocesseddata!A75,worksheet!A:P,10,FALSE)</f>
        <v>4</v>
      </c>
      <c r="I75" s="6">
        <f>VLOOKUP(globalfreelancepreprocesseddata!A75,worksheet!A:P,12,FALSE)</f>
        <v>40</v>
      </c>
      <c r="J75" s="5">
        <f>VLOOKUP(globalfreelancepreprocesseddata!A75,worksheet!A:P,13,FALSE)</f>
        <v>1.9</v>
      </c>
      <c r="K75" s="5">
        <f>VLOOKUP(globalfreelancepreprocesseddata!A75,worksheet!A:P,14,FALSE)</f>
        <v>0</v>
      </c>
      <c r="L75" s="7">
        <f>VLOOKUP(globalfreelancepreprocesseddata!A75,worksheet!A:P,16,FALSE)</f>
        <v>0.88</v>
      </c>
    </row>
    <row r="76" spans="1:12" x14ac:dyDescent="0.35">
      <c r="A76" s="5" t="s">
        <v>226</v>
      </c>
      <c r="B76" s="5" t="str">
        <f>VLOOKUP(globalfreelancepreprocesseddata!A76,worksheet!A:P,3,FALSE)</f>
        <v>Melvin Harris</v>
      </c>
      <c r="C76" s="5" t="str">
        <f>VLOOKUP(globalfreelancepreprocesseddata!A76,worksheet!A:P,5,FALSE)</f>
        <v>Male</v>
      </c>
      <c r="D76" s="5">
        <f>VLOOKUP(globalfreelancepreprocesseddata!A76,worksheet!A:P,6,FALSE)</f>
        <v>36</v>
      </c>
      <c r="E76" s="5" t="str">
        <f>VLOOKUP(globalfreelancepreprocesseddata!A76,worksheet!A:P,7,FALSE)</f>
        <v>Italy</v>
      </c>
      <c r="F76" s="5" t="str">
        <f>VLOOKUP(globalfreelancepreprocesseddata!A76,worksheet!A:P,8,FALSE)</f>
        <v>Italian</v>
      </c>
      <c r="G76" s="5" t="str">
        <f>VLOOKUP(globalfreelancepreprocesseddata!A76,worksheet!A:P,9,FALSE)</f>
        <v>Machine Learning</v>
      </c>
      <c r="H76" s="5">
        <f>VLOOKUP(globalfreelancepreprocesseddata!A76,worksheet!A:P,10,FALSE)</f>
        <v>14</v>
      </c>
      <c r="I76" s="6">
        <f>VLOOKUP(globalfreelancepreprocesseddata!A76,worksheet!A:P,12,FALSE)</f>
        <v>100</v>
      </c>
      <c r="J76" s="5">
        <f>VLOOKUP(globalfreelancepreprocesseddata!A76,worksheet!A:P,13,FALSE)</f>
        <v>3.7</v>
      </c>
      <c r="K76" s="5">
        <f>VLOOKUP(globalfreelancepreprocesseddata!A76,worksheet!A:P,14,FALSE)</f>
        <v>0</v>
      </c>
      <c r="L76" s="7">
        <f>VLOOKUP(globalfreelancepreprocesseddata!A76,worksheet!A:P,16,FALSE)</f>
        <v>0.16</v>
      </c>
    </row>
    <row r="77" spans="1:12" x14ac:dyDescent="0.35">
      <c r="A77" s="5" t="s">
        <v>228</v>
      </c>
      <c r="B77" s="5" t="str">
        <f>VLOOKUP(globalfreelancepreprocesseddata!A77,worksheet!A:P,3,FALSE)</f>
        <v>Jeremy Meyer</v>
      </c>
      <c r="C77" s="5" t="str">
        <f>VLOOKUP(globalfreelancepreprocesseddata!A77,worksheet!A:P,5,FALSE)</f>
        <v>Male</v>
      </c>
      <c r="D77" s="5">
        <f>VLOOKUP(globalfreelancepreprocesseddata!A77,worksheet!A:P,6,FALSE)</f>
        <v>32</v>
      </c>
      <c r="E77" s="5" t="str">
        <f>VLOOKUP(globalfreelancepreprocesseddata!A77,worksheet!A:P,7,FALSE)</f>
        <v>India</v>
      </c>
      <c r="F77" s="5" t="str">
        <f>VLOOKUP(globalfreelancepreprocesseddata!A77,worksheet!A:P,8,FALSE)</f>
        <v>Hindi</v>
      </c>
      <c r="G77" s="5" t="str">
        <f>VLOOKUP(globalfreelancepreprocesseddata!A77,worksheet!A:P,9,FALSE)</f>
        <v>Data Analysis</v>
      </c>
      <c r="H77" s="5">
        <f>VLOOKUP(globalfreelancepreprocesseddata!A77,worksheet!A:P,10,FALSE)</f>
        <v>11</v>
      </c>
      <c r="I77" s="6">
        <f>VLOOKUP(globalfreelancepreprocesseddata!A77,worksheet!A:P,12,FALSE)</f>
        <v>30</v>
      </c>
      <c r="J77" s="5">
        <f>VLOOKUP(globalfreelancepreprocesseddata!A77,worksheet!A:P,13,FALSE)</f>
        <v>1.9</v>
      </c>
      <c r="K77" s="5">
        <f>VLOOKUP(globalfreelancepreprocesseddata!A77,worksheet!A:P,14,FALSE)</f>
        <v>1</v>
      </c>
      <c r="L77" s="7">
        <f>VLOOKUP(globalfreelancepreprocesseddata!A77,worksheet!A:P,16,FALSE)</f>
        <v>0.96</v>
      </c>
    </row>
    <row r="78" spans="1:12" x14ac:dyDescent="0.35">
      <c r="A78" s="5" t="s">
        <v>230</v>
      </c>
      <c r="B78" s="5" t="str">
        <f>VLOOKUP(globalfreelancepreprocesseddata!A78,worksheet!A:P,3,FALSE)</f>
        <v>Timothy Lee</v>
      </c>
      <c r="C78" s="5" t="str">
        <f>VLOOKUP(globalfreelancepreprocesseddata!A78,worksheet!A:P,5,FALSE)</f>
        <v>Male</v>
      </c>
      <c r="D78" s="5">
        <f>VLOOKUP(globalfreelancepreprocesseddata!A78,worksheet!A:P,6,FALSE)</f>
        <v>59</v>
      </c>
      <c r="E78" s="5" t="str">
        <f>VLOOKUP(globalfreelancepreprocesseddata!A78,worksheet!A:P,7,FALSE)</f>
        <v>Australia</v>
      </c>
      <c r="F78" s="5" t="str">
        <f>VLOOKUP(globalfreelancepreprocesseddata!A78,worksheet!A:P,8,FALSE)</f>
        <v>English</v>
      </c>
      <c r="G78" s="5" t="str">
        <f>VLOOKUP(globalfreelancepreprocesseddata!A78,worksheet!A:P,9,FALSE)</f>
        <v>AI</v>
      </c>
      <c r="H78" s="5">
        <f>VLOOKUP(globalfreelancepreprocesseddata!A78,worksheet!A:P,10,FALSE)</f>
        <v>9</v>
      </c>
      <c r="I78" s="6" t="str">
        <f>VLOOKUP(globalfreelancepreprocesseddata!A78,worksheet!A:P,12,FALSE)</f>
        <v>$ 75</v>
      </c>
      <c r="J78" s="5">
        <f>VLOOKUP(globalfreelancepreprocesseddata!A78,worksheet!A:P,13,FALSE)</f>
        <v>4</v>
      </c>
      <c r="K78" s="5">
        <f>VLOOKUP(globalfreelancepreprocesseddata!A78,worksheet!A:P,14,FALSE)</f>
        <v>1</v>
      </c>
      <c r="L78" s="7">
        <f>VLOOKUP(globalfreelancepreprocesseddata!A78,worksheet!A:P,16,FALSE)</f>
        <v>0.96</v>
      </c>
    </row>
    <row r="79" spans="1:12" x14ac:dyDescent="0.35">
      <c r="A79" s="5" t="s">
        <v>232</v>
      </c>
      <c r="B79" s="5" t="str">
        <f>VLOOKUP(globalfreelancepreprocesseddata!A79,worksheet!A:P,3,FALSE)</f>
        <v>Diana Bautista</v>
      </c>
      <c r="C79" s="5" t="str">
        <f>VLOOKUP(globalfreelancepreprocesseddata!A79,worksheet!A:P,5,FALSE)</f>
        <v>Female</v>
      </c>
      <c r="D79" s="5">
        <f>VLOOKUP(globalfreelancepreprocesseddata!A79,worksheet!A:P,6,FALSE)</f>
        <v>54</v>
      </c>
      <c r="E79" s="5" t="str">
        <f>VLOOKUP(globalfreelancepreprocesseddata!A79,worksheet!A:P,7,FALSE)</f>
        <v>Spain</v>
      </c>
      <c r="F79" s="5" t="str">
        <f>VLOOKUP(globalfreelancepreprocesseddata!A79,worksheet!A:P,8,FALSE)</f>
        <v>Spanish</v>
      </c>
      <c r="G79" s="5" t="str">
        <f>VLOOKUP(globalfreelancepreprocesseddata!A79,worksheet!A:P,9,FALSE)</f>
        <v>DevOps</v>
      </c>
      <c r="H79" s="5">
        <f>VLOOKUP(globalfreelancepreprocesseddata!A79,worksheet!A:P,10,FALSE)</f>
        <v>32</v>
      </c>
      <c r="I79" s="6" t="str">
        <f>VLOOKUP(globalfreelancepreprocesseddata!A79,worksheet!A:P,12,FALSE)</f>
        <v>$ 40</v>
      </c>
      <c r="J79" s="5">
        <f>VLOOKUP(globalfreelancepreprocesseddata!A79,worksheet!A:P,13,FALSE)</f>
        <v>1.8</v>
      </c>
      <c r="K79" s="5">
        <f>VLOOKUP(globalfreelancepreprocesseddata!A79,worksheet!A:P,14,FALSE)</f>
        <v>0</v>
      </c>
      <c r="L79" s="7">
        <f>VLOOKUP(globalfreelancepreprocesseddata!A79,worksheet!A:P,16,FALSE)</f>
        <v>0.16</v>
      </c>
    </row>
    <row r="80" spans="1:12" x14ac:dyDescent="0.35">
      <c r="A80" s="5" t="s">
        <v>234</v>
      </c>
      <c r="B80" s="5" t="str">
        <f>VLOOKUP(globalfreelancepreprocesseddata!A80,worksheet!A:P,3,FALSE)</f>
        <v>Leslie Rodriguez</v>
      </c>
      <c r="C80" s="5" t="str">
        <f>VLOOKUP(globalfreelancepreprocesseddata!A80,worksheet!A:P,5,FALSE)</f>
        <v>Female</v>
      </c>
      <c r="D80" s="5">
        <f>VLOOKUP(globalfreelancepreprocesseddata!A80,worksheet!A:P,6,FALSE)</f>
        <v>37</v>
      </c>
      <c r="E80" s="5" t="str">
        <f>VLOOKUP(globalfreelancepreprocesseddata!A80,worksheet!A:P,7,FALSE)</f>
        <v>Canada</v>
      </c>
      <c r="F80" s="5" t="str">
        <f>VLOOKUP(globalfreelancepreprocesseddata!A80,worksheet!A:P,8,FALSE)</f>
        <v>English</v>
      </c>
      <c r="G80" s="5" t="str">
        <f>VLOOKUP(globalfreelancepreprocesseddata!A80,worksheet!A:P,9,FALSE)</f>
        <v>Graphic Design</v>
      </c>
      <c r="H80" s="5">
        <f>VLOOKUP(globalfreelancepreprocesseddata!A80,worksheet!A:P,10,FALSE)</f>
        <v>9</v>
      </c>
      <c r="I80" s="6">
        <f>VLOOKUP(globalfreelancepreprocesseddata!A80,worksheet!A:P,12,FALSE)</f>
        <v>40</v>
      </c>
      <c r="J80" s="5">
        <f>VLOOKUP(globalfreelancepreprocesseddata!A80,worksheet!A:P,13,FALSE)</f>
        <v>0</v>
      </c>
      <c r="K80" s="5">
        <f>VLOOKUP(globalfreelancepreprocesseddata!A80,worksheet!A:P,14,FALSE)</f>
        <v>1</v>
      </c>
      <c r="L80" s="7">
        <f>VLOOKUP(globalfreelancepreprocesseddata!A80,worksheet!A:P,16,FALSE)</f>
        <v>0.89</v>
      </c>
    </row>
    <row r="81" spans="1:12" x14ac:dyDescent="0.35">
      <c r="A81" s="5" t="s">
        <v>236</v>
      </c>
      <c r="B81" s="5" t="str">
        <f>VLOOKUP(globalfreelancepreprocesseddata!A81,worksheet!A:P,3,FALSE)</f>
        <v>Noah Wiggins</v>
      </c>
      <c r="C81" s="5" t="str">
        <f>VLOOKUP(globalfreelancepreprocesseddata!A81,worksheet!A:P,5,FALSE)</f>
        <v>Male</v>
      </c>
      <c r="D81" s="5">
        <f>VLOOKUP(globalfreelancepreprocesseddata!A81,worksheet!A:P,6,FALSE)</f>
        <v>54</v>
      </c>
      <c r="E81" s="5" t="str">
        <f>VLOOKUP(globalfreelancepreprocesseddata!A81,worksheet!A:P,7,FALSE)</f>
        <v>India</v>
      </c>
      <c r="F81" s="5" t="str">
        <f>VLOOKUP(globalfreelancepreprocesseddata!A81,worksheet!A:P,8,FALSE)</f>
        <v>Hindi</v>
      </c>
      <c r="G81" s="5" t="str">
        <f>VLOOKUP(globalfreelancepreprocesseddata!A81,worksheet!A:P,9,FALSE)</f>
        <v>Machine Learning</v>
      </c>
      <c r="H81" s="5">
        <f>VLOOKUP(globalfreelancepreprocesseddata!A81,worksheet!A:P,10,FALSE)</f>
        <v>21</v>
      </c>
      <c r="I81" s="6">
        <f>VLOOKUP(globalfreelancepreprocesseddata!A81,worksheet!A:P,12,FALSE)</f>
        <v>100</v>
      </c>
      <c r="J81" s="5">
        <f>VLOOKUP(globalfreelancepreprocesseddata!A81,worksheet!A:P,13,FALSE)</f>
        <v>4.5999999999999996</v>
      </c>
      <c r="K81" s="5">
        <f>VLOOKUP(globalfreelancepreprocesseddata!A81,worksheet!A:P,14,FALSE)</f>
        <v>0</v>
      </c>
      <c r="L81" s="7">
        <f>VLOOKUP(globalfreelancepreprocesseddata!A81,worksheet!A:P,16,FALSE)</f>
        <v>0.16</v>
      </c>
    </row>
    <row r="82" spans="1:12" x14ac:dyDescent="0.35">
      <c r="A82" s="5" t="s">
        <v>238</v>
      </c>
      <c r="B82" s="5" t="str">
        <f>VLOOKUP(globalfreelancepreprocesseddata!A82,worksheet!A:P,3,FALSE)</f>
        <v>Bridget Williams</v>
      </c>
      <c r="C82" s="5" t="str">
        <f>VLOOKUP(globalfreelancepreprocesseddata!A82,worksheet!A:P,5,FALSE)</f>
        <v>Female</v>
      </c>
      <c r="D82" s="5">
        <f>VLOOKUP(globalfreelancepreprocesseddata!A82,worksheet!A:P,6,FALSE)</f>
        <v>33</v>
      </c>
      <c r="E82" s="5" t="str">
        <f>VLOOKUP(globalfreelancepreprocesseddata!A82,worksheet!A:P,7,FALSE)</f>
        <v>Argentina</v>
      </c>
      <c r="F82" s="5" t="str">
        <f>VLOOKUP(globalfreelancepreprocesseddata!A82,worksheet!A:P,8,FALSE)</f>
        <v>Spanish</v>
      </c>
      <c r="G82" s="5" t="str">
        <f>VLOOKUP(globalfreelancepreprocesseddata!A82,worksheet!A:P,9,FALSE)</f>
        <v>UI/UX Design</v>
      </c>
      <c r="H82" s="5">
        <f>VLOOKUP(globalfreelancepreprocesseddata!A82,worksheet!A:P,10,FALSE)</f>
        <v>12</v>
      </c>
      <c r="I82" s="6">
        <f>VLOOKUP(globalfreelancepreprocesseddata!A82,worksheet!A:P,12,FALSE)</f>
        <v>100</v>
      </c>
      <c r="J82" s="5">
        <f>VLOOKUP(globalfreelancepreprocesseddata!A82,worksheet!A:P,13,FALSE)</f>
        <v>3.6</v>
      </c>
      <c r="K82" s="5">
        <f>VLOOKUP(globalfreelancepreprocesseddata!A82,worksheet!A:P,14,FALSE)</f>
        <v>0</v>
      </c>
      <c r="L82" s="7">
        <f>VLOOKUP(globalfreelancepreprocesseddata!A82,worksheet!A:P,16,FALSE)</f>
        <v>0.63</v>
      </c>
    </row>
    <row r="83" spans="1:12" x14ac:dyDescent="0.35">
      <c r="A83" s="5" t="s">
        <v>240</v>
      </c>
      <c r="B83" s="5" t="str">
        <f>VLOOKUP(globalfreelancepreprocesseddata!A83,worksheet!A:P,3,FALSE)</f>
        <v>Veronica Baker</v>
      </c>
      <c r="C83" s="5" t="str">
        <f>VLOOKUP(globalfreelancepreprocesseddata!A83,worksheet!A:P,5,FALSE)</f>
        <v>Female</v>
      </c>
      <c r="D83" s="5">
        <f>VLOOKUP(globalfreelancepreprocesseddata!A83,worksheet!A:P,6,FALSE)</f>
        <v>25</v>
      </c>
      <c r="E83" s="5" t="str">
        <f>VLOOKUP(globalfreelancepreprocesseddata!A83,worksheet!A:P,7,FALSE)</f>
        <v>Egypt</v>
      </c>
      <c r="F83" s="5" t="str">
        <f>VLOOKUP(globalfreelancepreprocesseddata!A83,worksheet!A:P,8,FALSE)</f>
        <v>Arabic</v>
      </c>
      <c r="G83" s="5" t="str">
        <f>VLOOKUP(globalfreelancepreprocesseddata!A83,worksheet!A:P,9,FALSE)</f>
        <v>Web Development</v>
      </c>
      <c r="H83" s="5">
        <f>VLOOKUP(globalfreelancepreprocesseddata!A83,worksheet!A:P,10,FALSE)</f>
        <v>7</v>
      </c>
      <c r="I83" s="6" t="str">
        <f>VLOOKUP(globalfreelancepreprocesseddata!A83,worksheet!A:P,12,FALSE)</f>
        <v>$ 40</v>
      </c>
      <c r="J83" s="5">
        <f>VLOOKUP(globalfreelancepreprocesseddata!A83,worksheet!A:P,13,FALSE)</f>
        <v>4.4000000000000004</v>
      </c>
      <c r="K83" s="5">
        <f>VLOOKUP(globalfreelancepreprocesseddata!A83,worksheet!A:P,14,FALSE)</f>
        <v>1</v>
      </c>
      <c r="L83" s="7">
        <f>VLOOKUP(globalfreelancepreprocesseddata!A83,worksheet!A:P,16,FALSE)</f>
        <v>0.81</v>
      </c>
    </row>
    <row r="84" spans="1:12" x14ac:dyDescent="0.35">
      <c r="A84" s="5" t="s">
        <v>242</v>
      </c>
      <c r="B84" s="5" t="str">
        <f>VLOOKUP(globalfreelancepreprocesseddata!A84,worksheet!A:P,3,FALSE)</f>
        <v>Andrew Avila</v>
      </c>
      <c r="C84" s="5" t="str">
        <f>VLOOKUP(globalfreelancepreprocesseddata!A84,worksheet!A:P,5,FALSE)</f>
        <v>Male</v>
      </c>
      <c r="D84" s="5">
        <f>VLOOKUP(globalfreelancepreprocesseddata!A84,worksheet!A:P,6,FALSE)</f>
        <v>41</v>
      </c>
      <c r="E84" s="5" t="str">
        <f>VLOOKUP(globalfreelancepreprocesseddata!A84,worksheet!A:P,7,FALSE)</f>
        <v>China</v>
      </c>
      <c r="F84" s="5" t="str">
        <f>VLOOKUP(globalfreelancepreprocesseddata!A84,worksheet!A:P,8,FALSE)</f>
        <v>Mandarin</v>
      </c>
      <c r="G84" s="5" t="str">
        <f>VLOOKUP(globalfreelancepreprocesseddata!A84,worksheet!A:P,9,FALSE)</f>
        <v>DevOps</v>
      </c>
      <c r="H84" s="5">
        <f>VLOOKUP(globalfreelancepreprocesseddata!A84,worksheet!A:P,10,FALSE)</f>
        <v>3</v>
      </c>
      <c r="I84" s="6">
        <f>VLOOKUP(globalfreelancepreprocesseddata!A84,worksheet!A:P,12,FALSE)</f>
        <v>40</v>
      </c>
      <c r="J84" s="5">
        <f>VLOOKUP(globalfreelancepreprocesseddata!A84,worksheet!A:P,13,FALSE)</f>
        <v>4.5999999999999996</v>
      </c>
      <c r="K84" s="5">
        <f>VLOOKUP(globalfreelancepreprocesseddata!A84,worksheet!A:P,14,FALSE)</f>
        <v>0</v>
      </c>
      <c r="L84" s="7">
        <f>VLOOKUP(globalfreelancepreprocesseddata!A84,worksheet!A:P,16,FALSE)</f>
        <v>0.74</v>
      </c>
    </row>
    <row r="85" spans="1:12" x14ac:dyDescent="0.35">
      <c r="A85" s="5" t="s">
        <v>244</v>
      </c>
      <c r="B85" s="5" t="str">
        <f>VLOOKUP(globalfreelancepreprocesseddata!A85,worksheet!A:P,3,FALSE)</f>
        <v>Michael Roberson</v>
      </c>
      <c r="C85" s="5" t="str">
        <f>VLOOKUP(globalfreelancepreprocesseddata!A85,worksheet!A:P,5,FALSE)</f>
        <v>Male</v>
      </c>
      <c r="D85" s="5">
        <f>VLOOKUP(globalfreelancepreprocesseddata!A85,worksheet!A:P,6,FALSE)</f>
        <v>35</v>
      </c>
      <c r="E85" s="5" t="str">
        <f>VLOOKUP(globalfreelancepreprocesseddata!A85,worksheet!A:P,7,FALSE)</f>
        <v>South Korea</v>
      </c>
      <c r="F85" s="5" t="str">
        <f>VLOOKUP(globalfreelancepreprocesseddata!A85,worksheet!A:P,8,FALSE)</f>
        <v>Korean</v>
      </c>
      <c r="G85" s="5" t="str">
        <f>VLOOKUP(globalfreelancepreprocesseddata!A85,worksheet!A:P,9,FALSE)</f>
        <v>Web Development</v>
      </c>
      <c r="H85" s="5">
        <f>VLOOKUP(globalfreelancepreprocesseddata!A85,worksheet!A:P,10,FALSE)</f>
        <v>5</v>
      </c>
      <c r="I85" s="6">
        <f>VLOOKUP(globalfreelancepreprocesseddata!A85,worksheet!A:P,12,FALSE)</f>
        <v>75</v>
      </c>
      <c r="J85" s="5">
        <f>VLOOKUP(globalfreelancepreprocesseddata!A85,worksheet!A:P,13,FALSE)</f>
        <v>3.2</v>
      </c>
      <c r="K85" s="5">
        <f>VLOOKUP(globalfreelancepreprocesseddata!A85,worksheet!A:P,14,FALSE)</f>
        <v>0</v>
      </c>
      <c r="L85" s="7">
        <f>VLOOKUP(globalfreelancepreprocesseddata!A85,worksheet!A:P,16,FALSE)</f>
        <v>0.72</v>
      </c>
    </row>
    <row r="86" spans="1:12" x14ac:dyDescent="0.35">
      <c r="A86" s="5" t="s">
        <v>246</v>
      </c>
      <c r="B86" s="5" t="str">
        <f>VLOOKUP(globalfreelancepreprocesseddata!A86,worksheet!A:P,3,FALSE)</f>
        <v>Austin Jenkins</v>
      </c>
      <c r="C86" s="5" t="str">
        <f>VLOOKUP(globalfreelancepreprocesseddata!A86,worksheet!A:P,5,FALSE)</f>
        <v>Male</v>
      </c>
      <c r="D86" s="5">
        <f>VLOOKUP(globalfreelancepreprocesseddata!A86,worksheet!A:P,6,FALSE)</f>
        <v>59</v>
      </c>
      <c r="E86" s="5" t="str">
        <f>VLOOKUP(globalfreelancepreprocesseddata!A86,worksheet!A:P,7,FALSE)</f>
        <v>South Korea</v>
      </c>
      <c r="F86" s="5" t="str">
        <f>VLOOKUP(globalfreelancepreprocesseddata!A86,worksheet!A:P,8,FALSE)</f>
        <v>Korean</v>
      </c>
      <c r="G86" s="5" t="str">
        <f>VLOOKUP(globalfreelancepreprocesseddata!A86,worksheet!A:P,9,FALSE)</f>
        <v>AI</v>
      </c>
      <c r="H86" s="5">
        <f>VLOOKUP(globalfreelancepreprocesseddata!A86,worksheet!A:P,10,FALSE)</f>
        <v>30</v>
      </c>
      <c r="I86" s="6">
        <f>VLOOKUP(globalfreelancepreprocesseddata!A86,worksheet!A:P,12,FALSE)</f>
        <v>40</v>
      </c>
      <c r="J86" s="5">
        <f>VLOOKUP(globalfreelancepreprocesseddata!A86,worksheet!A:P,13,FALSE)</f>
        <v>0</v>
      </c>
      <c r="K86" s="5">
        <f>VLOOKUP(globalfreelancepreprocesseddata!A86,worksheet!A:P,14,FALSE)</f>
        <v>1</v>
      </c>
      <c r="L86" s="7">
        <f>VLOOKUP(globalfreelancepreprocesseddata!A86,worksheet!A:P,16,FALSE)</f>
        <v>0.16</v>
      </c>
    </row>
    <row r="87" spans="1:12" x14ac:dyDescent="0.35">
      <c r="A87" s="5" t="s">
        <v>248</v>
      </c>
      <c r="B87" s="5" t="str">
        <f>VLOOKUP(globalfreelancepreprocesseddata!A87,worksheet!A:P,3,FALSE)</f>
        <v>Brenda Green</v>
      </c>
      <c r="C87" s="5" t="str">
        <f>VLOOKUP(globalfreelancepreprocesseddata!A87,worksheet!A:P,5,FALSE)</f>
        <v>Female</v>
      </c>
      <c r="D87" s="5">
        <f>VLOOKUP(globalfreelancepreprocesseddata!A87,worksheet!A:P,6,FALSE)</f>
        <v>21</v>
      </c>
      <c r="E87" s="5" t="str">
        <f>VLOOKUP(globalfreelancepreprocesseddata!A87,worksheet!A:P,7,FALSE)</f>
        <v>China</v>
      </c>
      <c r="F87" s="5" t="str">
        <f>VLOOKUP(globalfreelancepreprocesseddata!A87,worksheet!A:P,8,FALSE)</f>
        <v>Mandarin</v>
      </c>
      <c r="G87" s="5" t="str">
        <f>VLOOKUP(globalfreelancepreprocesseddata!A87,worksheet!A:P,9,FALSE)</f>
        <v>DevOps</v>
      </c>
      <c r="H87" s="5">
        <f>VLOOKUP(globalfreelancepreprocesseddata!A87,worksheet!A:P,10,FALSE)</f>
        <v>2</v>
      </c>
      <c r="I87" s="6">
        <f>VLOOKUP(globalfreelancepreprocesseddata!A87,worksheet!A:P,12,FALSE)</f>
        <v>100</v>
      </c>
      <c r="J87" s="5">
        <f>VLOOKUP(globalfreelancepreprocesseddata!A87,worksheet!A:P,13,FALSE)</f>
        <v>2.6</v>
      </c>
      <c r="K87" s="5">
        <f>VLOOKUP(globalfreelancepreprocesseddata!A87,worksheet!A:P,14,FALSE)</f>
        <v>1</v>
      </c>
      <c r="L87" s="7">
        <f>VLOOKUP(globalfreelancepreprocesseddata!A87,worksheet!A:P,16,FALSE)</f>
        <v>0.85</v>
      </c>
    </row>
    <row r="88" spans="1:12" x14ac:dyDescent="0.35">
      <c r="A88" s="5" t="s">
        <v>250</v>
      </c>
      <c r="B88" s="5" t="str">
        <f>VLOOKUP(globalfreelancepreprocesseddata!A88,worksheet!A:P,3,FALSE)</f>
        <v>Samuel Pierce</v>
      </c>
      <c r="C88" s="5" t="str">
        <f>VLOOKUP(globalfreelancepreprocesseddata!A88,worksheet!A:P,5,FALSE)</f>
        <v>Male</v>
      </c>
      <c r="D88" s="5">
        <f>VLOOKUP(globalfreelancepreprocesseddata!A88,worksheet!A:P,6,FALSE)</f>
        <v>25</v>
      </c>
      <c r="E88" s="5" t="str">
        <f>VLOOKUP(globalfreelancepreprocesseddata!A88,worksheet!A:P,7,FALSE)</f>
        <v>United States</v>
      </c>
      <c r="F88" s="5" t="str">
        <f>VLOOKUP(globalfreelancepreprocesseddata!A88,worksheet!A:P,8,FALSE)</f>
        <v>English</v>
      </c>
      <c r="G88" s="5" t="str">
        <f>VLOOKUP(globalfreelancepreprocesseddata!A88,worksheet!A:P,9,FALSE)</f>
        <v>Mobile Apps</v>
      </c>
      <c r="H88" s="5">
        <f>VLOOKUP(globalfreelancepreprocesseddata!A88,worksheet!A:P,10,FALSE)</f>
        <v>2</v>
      </c>
      <c r="I88" s="6">
        <f>VLOOKUP(globalfreelancepreprocesseddata!A88,worksheet!A:P,12,FALSE)</f>
        <v>75</v>
      </c>
      <c r="J88" s="5">
        <f>VLOOKUP(globalfreelancepreprocesseddata!A88,worksheet!A:P,13,FALSE)</f>
        <v>3.7</v>
      </c>
      <c r="K88" s="5">
        <f>VLOOKUP(globalfreelancepreprocesseddata!A88,worksheet!A:P,14,FALSE)</f>
        <v>0</v>
      </c>
      <c r="L88" s="7">
        <f>VLOOKUP(globalfreelancepreprocesseddata!A88,worksheet!A:P,16,FALSE)</f>
        <v>0.16</v>
      </c>
    </row>
    <row r="89" spans="1:12" x14ac:dyDescent="0.35">
      <c r="A89" s="5" t="s">
        <v>252</v>
      </c>
      <c r="B89" s="5" t="str">
        <f>VLOOKUP(globalfreelancepreprocesseddata!A89,worksheet!A:P,3,FALSE)</f>
        <v>Briana Smith</v>
      </c>
      <c r="C89" s="5" t="str">
        <f>VLOOKUP(globalfreelancepreprocesseddata!A89,worksheet!A:P,5,FALSE)</f>
        <v>Female</v>
      </c>
      <c r="D89" s="5">
        <f>VLOOKUP(globalfreelancepreprocesseddata!A89,worksheet!A:P,6,FALSE)</f>
        <v>38</v>
      </c>
      <c r="E89" s="5" t="str">
        <f>VLOOKUP(globalfreelancepreprocesseddata!A89,worksheet!A:P,7,FALSE)</f>
        <v>Mexico</v>
      </c>
      <c r="F89" s="5" t="str">
        <f>VLOOKUP(globalfreelancepreprocesseddata!A89,worksheet!A:P,8,FALSE)</f>
        <v>Spanish</v>
      </c>
      <c r="G89" s="5" t="str">
        <f>VLOOKUP(globalfreelancepreprocesseddata!A89,worksheet!A:P,9,FALSE)</f>
        <v>Web Development</v>
      </c>
      <c r="H89" s="5">
        <f>VLOOKUP(globalfreelancepreprocesseddata!A89,worksheet!A:P,10,FALSE)</f>
        <v>19</v>
      </c>
      <c r="I89" s="6">
        <f>VLOOKUP(globalfreelancepreprocesseddata!A89,worksheet!A:P,12,FALSE)</f>
        <v>75</v>
      </c>
      <c r="J89" s="5">
        <f>VLOOKUP(globalfreelancepreprocesseddata!A89,worksheet!A:P,13,FALSE)</f>
        <v>2.2999999999999998</v>
      </c>
      <c r="K89" s="5">
        <f>VLOOKUP(globalfreelancepreprocesseddata!A89,worksheet!A:P,14,FALSE)</f>
        <v>0</v>
      </c>
      <c r="L89" s="7">
        <f>VLOOKUP(globalfreelancepreprocesseddata!A89,worksheet!A:P,16,FALSE)</f>
        <v>0.61</v>
      </c>
    </row>
    <row r="90" spans="1:12" x14ac:dyDescent="0.35">
      <c r="A90" s="5" t="s">
        <v>254</v>
      </c>
      <c r="B90" s="5" t="str">
        <f>VLOOKUP(globalfreelancepreprocesseddata!A90,worksheet!A:P,3,FALSE)</f>
        <v>Ronald Barrett</v>
      </c>
      <c r="C90" s="5" t="str">
        <f>VLOOKUP(globalfreelancepreprocesseddata!A90,worksheet!A:P,5,FALSE)</f>
        <v>Male</v>
      </c>
      <c r="D90" s="5">
        <f>VLOOKUP(globalfreelancepreprocesseddata!A90,worksheet!A:P,6,FALSE)</f>
        <v>57</v>
      </c>
      <c r="E90" s="5" t="str">
        <f>VLOOKUP(globalfreelancepreprocesseddata!A90,worksheet!A:P,7,FALSE)</f>
        <v>Russia</v>
      </c>
      <c r="F90" s="5" t="str">
        <f>VLOOKUP(globalfreelancepreprocesseddata!A90,worksheet!A:P,8,FALSE)</f>
        <v>Russian</v>
      </c>
      <c r="G90" s="5" t="str">
        <f>VLOOKUP(globalfreelancepreprocesseddata!A90,worksheet!A:P,9,FALSE)</f>
        <v>AI</v>
      </c>
      <c r="H90" s="5">
        <f>VLOOKUP(globalfreelancepreprocesseddata!A90,worksheet!A:P,10,FALSE)</f>
        <v>16</v>
      </c>
      <c r="I90" s="6">
        <f>VLOOKUP(globalfreelancepreprocesseddata!A90,worksheet!A:P,12,FALSE)</f>
        <v>100</v>
      </c>
      <c r="J90" s="5">
        <f>VLOOKUP(globalfreelancepreprocesseddata!A90,worksheet!A:P,13,FALSE)</f>
        <v>3.1</v>
      </c>
      <c r="K90" s="5">
        <f>VLOOKUP(globalfreelancepreprocesseddata!A90,worksheet!A:P,14,FALSE)</f>
        <v>0</v>
      </c>
      <c r="L90" s="7">
        <f>VLOOKUP(globalfreelancepreprocesseddata!A90,worksheet!A:P,16,FALSE)</f>
        <v>0.16</v>
      </c>
    </row>
    <row r="91" spans="1:12" x14ac:dyDescent="0.35">
      <c r="A91" s="5" t="s">
        <v>256</v>
      </c>
      <c r="B91" s="5" t="str">
        <f>VLOOKUP(globalfreelancepreprocesseddata!A91,worksheet!A:P,3,FALSE)</f>
        <v>Matthew Smith</v>
      </c>
      <c r="C91" s="5" t="str">
        <f>VLOOKUP(globalfreelancepreprocesseddata!A91,worksheet!A:P,5,FALSE)</f>
        <v>Male</v>
      </c>
      <c r="D91" s="5">
        <f>VLOOKUP(globalfreelancepreprocesseddata!A91,worksheet!A:P,6,FALSE)</f>
        <v>32</v>
      </c>
      <c r="E91" s="5" t="str">
        <f>VLOOKUP(globalfreelancepreprocesseddata!A91,worksheet!A:P,7,FALSE)</f>
        <v>India</v>
      </c>
      <c r="F91" s="5" t="str">
        <f>VLOOKUP(globalfreelancepreprocesseddata!A91,worksheet!A:P,8,FALSE)</f>
        <v>Hindi</v>
      </c>
      <c r="G91" s="5" t="str">
        <f>VLOOKUP(globalfreelancepreprocesseddata!A91,worksheet!A:P,9,FALSE)</f>
        <v>Mobile Apps</v>
      </c>
      <c r="H91" s="5">
        <f>VLOOKUP(globalfreelancepreprocesseddata!A91,worksheet!A:P,10,FALSE)</f>
        <v>10</v>
      </c>
      <c r="I91" s="6">
        <f>VLOOKUP(globalfreelancepreprocesseddata!A91,worksheet!A:P,12,FALSE)</f>
        <v>20</v>
      </c>
      <c r="J91" s="5">
        <f>VLOOKUP(globalfreelancepreprocesseddata!A91,worksheet!A:P,13,FALSE)</f>
        <v>2.4</v>
      </c>
      <c r="K91" s="5">
        <f>VLOOKUP(globalfreelancepreprocesseddata!A91,worksheet!A:P,14,FALSE)</f>
        <v>0</v>
      </c>
      <c r="L91" s="7">
        <f>VLOOKUP(globalfreelancepreprocesseddata!A91,worksheet!A:P,16,FALSE)</f>
        <v>0.86</v>
      </c>
    </row>
    <row r="92" spans="1:12" x14ac:dyDescent="0.35">
      <c r="A92" s="5" t="s">
        <v>258</v>
      </c>
      <c r="B92" s="5" t="str">
        <f>VLOOKUP(globalfreelancepreprocesseddata!A92,worksheet!A:P,3,FALSE)</f>
        <v>Logan Huang</v>
      </c>
      <c r="C92" s="5" t="str">
        <f>VLOOKUP(globalfreelancepreprocesseddata!A92,worksheet!A:P,5,FALSE)</f>
        <v>Male</v>
      </c>
      <c r="D92" s="5">
        <f>VLOOKUP(globalfreelancepreprocesseddata!A92,worksheet!A:P,6,FALSE)</f>
        <v>21</v>
      </c>
      <c r="E92" s="5" t="str">
        <f>VLOOKUP(globalfreelancepreprocesseddata!A92,worksheet!A:P,7,FALSE)</f>
        <v>Italy</v>
      </c>
      <c r="F92" s="5" t="str">
        <f>VLOOKUP(globalfreelancepreprocesseddata!A92,worksheet!A:P,8,FALSE)</f>
        <v>Italian</v>
      </c>
      <c r="G92" s="5" t="str">
        <f>VLOOKUP(globalfreelancepreprocesseddata!A92,worksheet!A:P,9,FALSE)</f>
        <v>DevOps</v>
      </c>
      <c r="H92" s="5">
        <f>VLOOKUP(globalfreelancepreprocesseddata!A92,worksheet!A:P,10,FALSE)</f>
        <v>2</v>
      </c>
      <c r="I92" s="6" t="str">
        <f>VLOOKUP(globalfreelancepreprocesseddata!A92,worksheet!A:P,12,FALSE)</f>
        <v>$ 100</v>
      </c>
      <c r="J92" s="5">
        <f>VLOOKUP(globalfreelancepreprocesseddata!A92,worksheet!A:P,13,FALSE)</f>
        <v>1.6</v>
      </c>
      <c r="K92" s="5">
        <f>VLOOKUP(globalfreelancepreprocesseddata!A92,worksheet!A:P,14,FALSE)</f>
        <v>1</v>
      </c>
      <c r="L92" s="7">
        <f>VLOOKUP(globalfreelancepreprocesseddata!A92,worksheet!A:P,16,FALSE)</f>
        <v>0.97</v>
      </c>
    </row>
    <row r="93" spans="1:12" x14ac:dyDescent="0.35">
      <c r="A93" s="5" t="s">
        <v>260</v>
      </c>
      <c r="B93" s="5" t="str">
        <f>VLOOKUP(globalfreelancepreprocesseddata!A93,worksheet!A:P,3,FALSE)</f>
        <v>Miranda Hutchinson</v>
      </c>
      <c r="C93" s="5" t="str">
        <f>VLOOKUP(globalfreelancepreprocesseddata!A93,worksheet!A:P,5,FALSE)</f>
        <v>Female</v>
      </c>
      <c r="D93" s="5">
        <f>VLOOKUP(globalfreelancepreprocesseddata!A93,worksheet!A:P,6,FALSE)</f>
        <v>57</v>
      </c>
      <c r="E93" s="5" t="str">
        <f>VLOOKUP(globalfreelancepreprocesseddata!A93,worksheet!A:P,7,FALSE)</f>
        <v>Canada</v>
      </c>
      <c r="F93" s="5" t="str">
        <f>VLOOKUP(globalfreelancepreprocesseddata!A93,worksheet!A:P,8,FALSE)</f>
        <v>English</v>
      </c>
      <c r="G93" s="5" t="str">
        <f>VLOOKUP(globalfreelancepreprocesseddata!A93,worksheet!A:P,9,FALSE)</f>
        <v>Cybersecurity</v>
      </c>
      <c r="H93" s="5">
        <f>VLOOKUP(globalfreelancepreprocesseddata!A93,worksheet!A:P,10,FALSE)</f>
        <v>18</v>
      </c>
      <c r="I93" s="6">
        <f>VLOOKUP(globalfreelancepreprocesseddata!A93,worksheet!A:P,12,FALSE)</f>
        <v>50</v>
      </c>
      <c r="J93" s="5">
        <f>VLOOKUP(globalfreelancepreprocesseddata!A93,worksheet!A:P,13,FALSE)</f>
        <v>2.4</v>
      </c>
      <c r="K93" s="5">
        <f>VLOOKUP(globalfreelancepreprocesseddata!A93,worksheet!A:P,14,FALSE)</f>
        <v>1</v>
      </c>
      <c r="L93" s="7">
        <f>VLOOKUP(globalfreelancepreprocesseddata!A93,worksheet!A:P,16,FALSE)</f>
        <v>0.63</v>
      </c>
    </row>
    <row r="94" spans="1:12" x14ac:dyDescent="0.35">
      <c r="A94" s="5" t="s">
        <v>262</v>
      </c>
      <c r="B94" s="5" t="str">
        <f>VLOOKUP(globalfreelancepreprocesseddata!A94,worksheet!A:P,3,FALSE)</f>
        <v>Paul Richardson</v>
      </c>
      <c r="C94" s="5" t="str">
        <f>VLOOKUP(globalfreelancepreprocesseddata!A94,worksheet!A:P,5,FALSE)</f>
        <v>Male</v>
      </c>
      <c r="D94" s="5">
        <f>VLOOKUP(globalfreelancepreprocesseddata!A94,worksheet!A:P,6,FALSE)</f>
        <v>53</v>
      </c>
      <c r="E94" s="5" t="str">
        <f>VLOOKUP(globalfreelancepreprocesseddata!A94,worksheet!A:P,7,FALSE)</f>
        <v>China</v>
      </c>
      <c r="F94" s="5" t="str">
        <f>VLOOKUP(globalfreelancepreprocesseddata!A94,worksheet!A:P,8,FALSE)</f>
        <v>Mandarin</v>
      </c>
      <c r="G94" s="5" t="str">
        <f>VLOOKUP(globalfreelancepreprocesseddata!A94,worksheet!A:P,9,FALSE)</f>
        <v>UI/UX Design</v>
      </c>
      <c r="H94" s="5">
        <f>VLOOKUP(globalfreelancepreprocesseddata!A94,worksheet!A:P,10,FALSE)</f>
        <v>21</v>
      </c>
      <c r="I94" s="6" t="str">
        <f>VLOOKUP(globalfreelancepreprocesseddata!A94,worksheet!A:P,12,FALSE)</f>
        <v>$ 100</v>
      </c>
      <c r="J94" s="5">
        <f>VLOOKUP(globalfreelancepreprocesseddata!A94,worksheet!A:P,13,FALSE)</f>
        <v>3</v>
      </c>
      <c r="K94" s="5">
        <f>VLOOKUP(globalfreelancepreprocesseddata!A94,worksheet!A:P,14,FALSE)</f>
        <v>1</v>
      </c>
      <c r="L94" s="7">
        <f>VLOOKUP(globalfreelancepreprocesseddata!A94,worksheet!A:P,16,FALSE)</f>
        <v>0.97</v>
      </c>
    </row>
    <row r="95" spans="1:12" x14ac:dyDescent="0.35">
      <c r="A95" s="5" t="s">
        <v>264</v>
      </c>
      <c r="B95" s="5" t="str">
        <f>VLOOKUP(globalfreelancepreprocesseddata!A95,worksheet!A:P,3,FALSE)</f>
        <v>Jose Jones</v>
      </c>
      <c r="C95" s="5" t="str">
        <f>VLOOKUP(globalfreelancepreprocesseddata!A95,worksheet!A:P,5,FALSE)</f>
        <v>Male</v>
      </c>
      <c r="D95" s="5">
        <f>VLOOKUP(globalfreelancepreprocesseddata!A95,worksheet!A:P,6,FALSE)</f>
        <v>35</v>
      </c>
      <c r="E95" s="5" t="str">
        <f>VLOOKUP(globalfreelancepreprocesseddata!A95,worksheet!A:P,7,FALSE)</f>
        <v>Russia</v>
      </c>
      <c r="F95" s="5" t="str">
        <f>VLOOKUP(globalfreelancepreprocesseddata!A95,worksheet!A:P,8,FALSE)</f>
        <v>Russian</v>
      </c>
      <c r="G95" s="5" t="str">
        <f>VLOOKUP(globalfreelancepreprocesseddata!A95,worksheet!A:P,9,FALSE)</f>
        <v>Blockchain Development</v>
      </c>
      <c r="H95" s="5">
        <f>VLOOKUP(globalfreelancepreprocesseddata!A95,worksheet!A:P,10,FALSE)</f>
        <v>3</v>
      </c>
      <c r="I95" s="6" t="str">
        <f>VLOOKUP(globalfreelancepreprocesseddata!A95,worksheet!A:P,12,FALSE)</f>
        <v>$ 30</v>
      </c>
      <c r="J95" s="5">
        <f>VLOOKUP(globalfreelancepreprocesseddata!A95,worksheet!A:P,13,FALSE)</f>
        <v>3.8</v>
      </c>
      <c r="K95" s="5">
        <f>VLOOKUP(globalfreelancepreprocesseddata!A95,worksheet!A:P,14,FALSE)</f>
        <v>1</v>
      </c>
      <c r="L95" s="7">
        <f>VLOOKUP(globalfreelancepreprocesseddata!A95,worksheet!A:P,16,FALSE)</f>
        <v>0.81</v>
      </c>
    </row>
    <row r="96" spans="1:12" x14ac:dyDescent="0.35">
      <c r="A96" s="5" t="s">
        <v>266</v>
      </c>
      <c r="B96" s="5" t="str">
        <f>VLOOKUP(globalfreelancepreprocesseddata!A96,worksheet!A:P,3,FALSE)</f>
        <v>Denise Smith</v>
      </c>
      <c r="C96" s="5" t="str">
        <f>VLOOKUP(globalfreelancepreprocesseddata!A96,worksheet!A:P,5,FALSE)</f>
        <v>Female</v>
      </c>
      <c r="D96" s="5">
        <f>VLOOKUP(globalfreelancepreprocesseddata!A96,worksheet!A:P,6,FALSE)</f>
        <v>54</v>
      </c>
      <c r="E96" s="5" t="str">
        <f>VLOOKUP(globalfreelancepreprocesseddata!A96,worksheet!A:P,7,FALSE)</f>
        <v>China</v>
      </c>
      <c r="F96" s="5" t="str">
        <f>VLOOKUP(globalfreelancepreprocesseddata!A96,worksheet!A:P,8,FALSE)</f>
        <v>Mandarin</v>
      </c>
      <c r="G96" s="5" t="str">
        <f>VLOOKUP(globalfreelancepreprocesseddata!A96,worksheet!A:P,9,FALSE)</f>
        <v>Machine Learning</v>
      </c>
      <c r="H96" s="5">
        <f>VLOOKUP(globalfreelancepreprocesseddata!A96,worksheet!A:P,10,FALSE)</f>
        <v>17</v>
      </c>
      <c r="I96" s="6">
        <f>VLOOKUP(globalfreelancepreprocesseddata!A96,worksheet!A:P,12,FALSE)</f>
        <v>20</v>
      </c>
      <c r="J96" s="5">
        <f>VLOOKUP(globalfreelancepreprocesseddata!A96,worksheet!A:P,13,FALSE)</f>
        <v>1.7</v>
      </c>
      <c r="K96" s="5">
        <f>VLOOKUP(globalfreelancepreprocesseddata!A96,worksheet!A:P,14,FALSE)</f>
        <v>0</v>
      </c>
      <c r="L96" s="7">
        <f>VLOOKUP(globalfreelancepreprocesseddata!A96,worksheet!A:P,16,FALSE)</f>
        <v>0.69</v>
      </c>
    </row>
    <row r="97" spans="1:12" x14ac:dyDescent="0.35">
      <c r="A97" s="5" t="s">
        <v>268</v>
      </c>
      <c r="B97" s="5" t="str">
        <f>VLOOKUP(globalfreelancepreprocesseddata!A97,worksheet!A:P,3,FALSE)</f>
        <v>Shelby Mcmahon</v>
      </c>
      <c r="C97" s="5" t="str">
        <f>VLOOKUP(globalfreelancepreprocesseddata!A97,worksheet!A:P,5,FALSE)</f>
        <v>Female</v>
      </c>
      <c r="D97" s="5">
        <f>VLOOKUP(globalfreelancepreprocesseddata!A97,worksheet!A:P,6,FALSE)</f>
        <v>36</v>
      </c>
      <c r="E97" s="5" t="str">
        <f>VLOOKUP(globalfreelancepreprocesseddata!A97,worksheet!A:P,7,FALSE)</f>
        <v>Italy</v>
      </c>
      <c r="F97" s="5" t="str">
        <f>VLOOKUP(globalfreelancepreprocesseddata!A97,worksheet!A:P,8,FALSE)</f>
        <v>Italian</v>
      </c>
      <c r="G97" s="5" t="str">
        <f>VLOOKUP(globalfreelancepreprocesseddata!A97,worksheet!A:P,9,FALSE)</f>
        <v>UI/UX Design</v>
      </c>
      <c r="H97" s="5">
        <f>VLOOKUP(globalfreelancepreprocesseddata!A97,worksheet!A:P,10,FALSE)</f>
        <v>11</v>
      </c>
      <c r="I97" s="6">
        <f>VLOOKUP(globalfreelancepreprocesseddata!A97,worksheet!A:P,12,FALSE)</f>
        <v>20</v>
      </c>
      <c r="J97" s="5">
        <f>VLOOKUP(globalfreelancepreprocesseddata!A97,worksheet!A:P,13,FALSE)</f>
        <v>1.3</v>
      </c>
      <c r="K97" s="5">
        <f>VLOOKUP(globalfreelancepreprocesseddata!A97,worksheet!A:P,14,FALSE)</f>
        <v>1</v>
      </c>
      <c r="L97" s="7">
        <f>VLOOKUP(globalfreelancepreprocesseddata!A97,worksheet!A:P,16,FALSE)</f>
        <v>0.64</v>
      </c>
    </row>
    <row r="98" spans="1:12" x14ac:dyDescent="0.35">
      <c r="A98" s="5" t="s">
        <v>270</v>
      </c>
      <c r="B98" s="5" t="str">
        <f>VLOOKUP(globalfreelancepreprocesseddata!A98,worksheet!A:P,3,FALSE)</f>
        <v>Bethany Wright</v>
      </c>
      <c r="C98" s="5" t="str">
        <f>VLOOKUP(globalfreelancepreprocesseddata!A98,worksheet!A:P,5,FALSE)</f>
        <v>Female</v>
      </c>
      <c r="D98" s="5">
        <f>VLOOKUP(globalfreelancepreprocesseddata!A98,worksheet!A:P,6,FALSE)</f>
        <v>49</v>
      </c>
      <c r="E98" s="5" t="str">
        <f>VLOOKUP(globalfreelancepreprocesseddata!A98,worksheet!A:P,7,FALSE)</f>
        <v>Spain</v>
      </c>
      <c r="F98" s="5" t="str">
        <f>VLOOKUP(globalfreelancepreprocesseddata!A98,worksheet!A:P,8,FALSE)</f>
        <v>Spanish</v>
      </c>
      <c r="G98" s="5" t="str">
        <f>VLOOKUP(globalfreelancepreprocesseddata!A98,worksheet!A:P,9,FALSE)</f>
        <v>Cybersecurity</v>
      </c>
      <c r="H98" s="5">
        <f>VLOOKUP(globalfreelancepreprocesseddata!A98,worksheet!A:P,10,FALSE)</f>
        <v>25</v>
      </c>
      <c r="I98" s="6">
        <f>VLOOKUP(globalfreelancepreprocesseddata!A98,worksheet!A:P,12,FALSE)</f>
        <v>50</v>
      </c>
      <c r="J98" s="5">
        <f>VLOOKUP(globalfreelancepreprocesseddata!A98,worksheet!A:P,13,FALSE)</f>
        <v>5</v>
      </c>
      <c r="K98" s="5">
        <f>VLOOKUP(globalfreelancepreprocesseddata!A98,worksheet!A:P,14,FALSE)</f>
        <v>0</v>
      </c>
      <c r="L98" s="7">
        <f>VLOOKUP(globalfreelancepreprocesseddata!A98,worksheet!A:P,16,FALSE)</f>
        <v>0.77</v>
      </c>
    </row>
    <row r="99" spans="1:12" x14ac:dyDescent="0.35">
      <c r="A99" s="5" t="s">
        <v>272</v>
      </c>
      <c r="B99" s="5" t="str">
        <f>VLOOKUP(globalfreelancepreprocesseddata!A99,worksheet!A:P,3,FALSE)</f>
        <v>David Ortiz</v>
      </c>
      <c r="C99" s="5" t="str">
        <f>VLOOKUP(globalfreelancepreprocesseddata!A99,worksheet!A:P,5,FALSE)</f>
        <v>Male</v>
      </c>
      <c r="D99" s="5">
        <f>VLOOKUP(globalfreelancepreprocesseddata!A99,worksheet!A:P,6,FALSE)</f>
        <v>37</v>
      </c>
      <c r="E99" s="5" t="str">
        <f>VLOOKUP(globalfreelancepreprocesseddata!A99,worksheet!A:P,7,FALSE)</f>
        <v>United States</v>
      </c>
      <c r="F99" s="5" t="str">
        <f>VLOOKUP(globalfreelancepreprocesseddata!A99,worksheet!A:P,8,FALSE)</f>
        <v>English</v>
      </c>
      <c r="G99" s="5" t="str">
        <f>VLOOKUP(globalfreelancepreprocesseddata!A99,worksheet!A:P,9,FALSE)</f>
        <v>Blockchain Development</v>
      </c>
      <c r="H99" s="5">
        <f>VLOOKUP(globalfreelancepreprocesseddata!A99,worksheet!A:P,10,FALSE)</f>
        <v>17</v>
      </c>
      <c r="I99" s="6">
        <f>VLOOKUP(globalfreelancepreprocesseddata!A99,worksheet!A:P,12,FALSE)</f>
        <v>20</v>
      </c>
      <c r="J99" s="5">
        <f>VLOOKUP(globalfreelancepreprocesseddata!A99,worksheet!A:P,13,FALSE)</f>
        <v>3.3</v>
      </c>
      <c r="K99" s="5">
        <f>VLOOKUP(globalfreelancepreprocesseddata!A99,worksheet!A:P,14,FALSE)</f>
        <v>0</v>
      </c>
      <c r="L99" s="7">
        <f>VLOOKUP(globalfreelancepreprocesseddata!A99,worksheet!A:P,16,FALSE)</f>
        <v>0.96</v>
      </c>
    </row>
    <row r="100" spans="1:12" x14ac:dyDescent="0.35">
      <c r="A100" s="5" t="s">
        <v>274</v>
      </c>
      <c r="B100" s="5" t="str">
        <f>VLOOKUP(globalfreelancepreprocesseddata!A100,worksheet!A:P,3,FALSE)</f>
        <v>Andrew Lynch</v>
      </c>
      <c r="C100" s="5" t="str">
        <f>VLOOKUP(globalfreelancepreprocesseddata!A100,worksheet!A:P,5,FALSE)</f>
        <v>Male</v>
      </c>
      <c r="D100" s="5">
        <f>VLOOKUP(globalfreelancepreprocesseddata!A100,worksheet!A:P,6,FALSE)</f>
        <v>41</v>
      </c>
      <c r="E100" s="5" t="str">
        <f>VLOOKUP(globalfreelancepreprocesseddata!A100,worksheet!A:P,7,FALSE)</f>
        <v>United States</v>
      </c>
      <c r="F100" s="5" t="str">
        <f>VLOOKUP(globalfreelancepreprocesseddata!A100,worksheet!A:P,8,FALSE)</f>
        <v>English</v>
      </c>
      <c r="G100" s="5" t="str">
        <f>VLOOKUP(globalfreelancepreprocesseddata!A100,worksheet!A:P,9,FALSE)</f>
        <v>UI/UX Design</v>
      </c>
      <c r="H100" s="5">
        <f>VLOOKUP(globalfreelancepreprocesseddata!A100,worksheet!A:P,10,FALSE)</f>
        <v>5</v>
      </c>
      <c r="I100" s="6">
        <f>VLOOKUP(globalfreelancepreprocesseddata!A100,worksheet!A:P,12,FALSE)</f>
        <v>20</v>
      </c>
      <c r="J100" s="5">
        <f>VLOOKUP(globalfreelancepreprocesseddata!A100,worksheet!A:P,13,FALSE)</f>
        <v>1.1000000000000001</v>
      </c>
      <c r="K100" s="5">
        <f>VLOOKUP(globalfreelancepreprocesseddata!A100,worksheet!A:P,14,FALSE)</f>
        <v>1</v>
      </c>
      <c r="L100" s="7">
        <f>VLOOKUP(globalfreelancepreprocesseddata!A100,worksheet!A:P,16,FALSE)</f>
        <v>0.74</v>
      </c>
    </row>
    <row r="101" spans="1:12" x14ac:dyDescent="0.35">
      <c r="A101" s="5" t="s">
        <v>276</v>
      </c>
      <c r="B101" s="5" t="str">
        <f>VLOOKUP(globalfreelancepreprocesseddata!A101,worksheet!A:P,3,FALSE)</f>
        <v>Kristopher Meyers</v>
      </c>
      <c r="C101" s="5" t="str">
        <f>VLOOKUP(globalfreelancepreprocesseddata!A101,worksheet!A:P,5,FALSE)</f>
        <v>Male</v>
      </c>
      <c r="D101" s="5">
        <f>VLOOKUP(globalfreelancepreprocesseddata!A101,worksheet!A:P,6,FALSE)</f>
        <v>32</v>
      </c>
      <c r="E101" s="5" t="str">
        <f>VLOOKUP(globalfreelancepreprocesseddata!A101,worksheet!A:P,7,FALSE)</f>
        <v>Egypt</v>
      </c>
      <c r="F101" s="5" t="str">
        <f>VLOOKUP(globalfreelancepreprocesseddata!A101,worksheet!A:P,8,FALSE)</f>
        <v>Arabic</v>
      </c>
      <c r="G101" s="5" t="str">
        <f>VLOOKUP(globalfreelancepreprocesseddata!A101,worksheet!A:P,9,FALSE)</f>
        <v>UI/UX Design</v>
      </c>
      <c r="H101" s="5">
        <f>VLOOKUP(globalfreelancepreprocesseddata!A101,worksheet!A:P,10,FALSE)</f>
        <v>10</v>
      </c>
      <c r="I101" s="6">
        <f>VLOOKUP(globalfreelancepreprocesseddata!A101,worksheet!A:P,12,FALSE)</f>
        <v>50</v>
      </c>
      <c r="J101" s="5">
        <f>VLOOKUP(globalfreelancepreprocesseddata!A101,worksheet!A:P,13,FALSE)</f>
        <v>1.2</v>
      </c>
      <c r="K101" s="5">
        <f>VLOOKUP(globalfreelancepreprocesseddata!A101,worksheet!A:P,14,FALSE)</f>
        <v>0</v>
      </c>
      <c r="L101" s="7">
        <f>VLOOKUP(globalfreelancepreprocesseddata!A101,worksheet!A:P,16,FALSE)</f>
        <v>0.89</v>
      </c>
    </row>
    <row r="102" spans="1:12" x14ac:dyDescent="0.35">
      <c r="A102" s="5" t="s">
        <v>278</v>
      </c>
      <c r="B102" s="5" t="str">
        <f>VLOOKUP(globalfreelancepreprocesseddata!A102,worksheet!A:P,3,FALSE)</f>
        <v>Thomas Roth</v>
      </c>
      <c r="C102" s="5" t="str">
        <f>VLOOKUP(globalfreelancepreprocesseddata!A102,worksheet!A:P,5,FALSE)</f>
        <v>Male</v>
      </c>
      <c r="D102" s="5">
        <f>VLOOKUP(globalfreelancepreprocesseddata!A102,worksheet!A:P,6,FALSE)</f>
        <v>35</v>
      </c>
      <c r="E102" s="5" t="str">
        <f>VLOOKUP(globalfreelancepreprocesseddata!A102,worksheet!A:P,7,FALSE)</f>
        <v>India</v>
      </c>
      <c r="F102" s="5" t="str">
        <f>VLOOKUP(globalfreelancepreprocesseddata!A102,worksheet!A:P,8,FALSE)</f>
        <v>Hindi</v>
      </c>
      <c r="G102" s="5" t="str">
        <f>VLOOKUP(globalfreelancepreprocesseddata!A102,worksheet!A:P,9,FALSE)</f>
        <v>Mobile Apps</v>
      </c>
      <c r="H102" s="5">
        <f>VLOOKUP(globalfreelancepreprocesseddata!A102,worksheet!A:P,10,FALSE)</f>
        <v>11</v>
      </c>
      <c r="I102" s="6">
        <f>VLOOKUP(globalfreelancepreprocesseddata!A102,worksheet!A:P,12,FALSE)</f>
        <v>40</v>
      </c>
      <c r="J102" s="5">
        <f>VLOOKUP(globalfreelancepreprocesseddata!A102,worksheet!A:P,13,FALSE)</f>
        <v>2</v>
      </c>
      <c r="K102" s="5">
        <f>VLOOKUP(globalfreelancepreprocesseddata!A102,worksheet!A:P,14,FALSE)</f>
        <v>1</v>
      </c>
      <c r="L102" s="7">
        <f>VLOOKUP(globalfreelancepreprocesseddata!A102,worksheet!A:P,16,FALSE)</f>
        <v>0.64</v>
      </c>
    </row>
    <row r="103" spans="1:12" x14ac:dyDescent="0.35">
      <c r="A103" s="5" t="s">
        <v>280</v>
      </c>
      <c r="B103" s="5" t="str">
        <f>VLOOKUP(globalfreelancepreprocesseddata!A103,worksheet!A:P,3,FALSE)</f>
        <v>Vicki Brown</v>
      </c>
      <c r="C103" s="5" t="str">
        <f>VLOOKUP(globalfreelancepreprocesseddata!A103,worksheet!A:P,5,FALSE)</f>
        <v>Female</v>
      </c>
      <c r="D103" s="5">
        <f>VLOOKUP(globalfreelancepreprocesseddata!A103,worksheet!A:P,6,FALSE)</f>
        <v>51</v>
      </c>
      <c r="E103" s="5" t="str">
        <f>VLOOKUP(globalfreelancepreprocesseddata!A103,worksheet!A:P,7,FALSE)</f>
        <v>Russia</v>
      </c>
      <c r="F103" s="5" t="str">
        <f>VLOOKUP(globalfreelancepreprocesseddata!A103,worksheet!A:P,8,FALSE)</f>
        <v>Russian</v>
      </c>
      <c r="G103" s="5" t="str">
        <f>VLOOKUP(globalfreelancepreprocesseddata!A103,worksheet!A:P,9,FALSE)</f>
        <v>Graphic Design</v>
      </c>
      <c r="H103" s="5">
        <f>VLOOKUP(globalfreelancepreprocesseddata!A103,worksheet!A:P,10,FALSE)</f>
        <v>2</v>
      </c>
      <c r="I103" s="6">
        <f>VLOOKUP(globalfreelancepreprocesseddata!A103,worksheet!A:P,12,FALSE)</f>
        <v>30</v>
      </c>
      <c r="J103" s="5">
        <f>VLOOKUP(globalfreelancepreprocesseddata!A103,worksheet!A:P,13,FALSE)</f>
        <v>4.5</v>
      </c>
      <c r="K103" s="5">
        <f>VLOOKUP(globalfreelancepreprocesseddata!A103,worksheet!A:P,14,FALSE)</f>
        <v>0</v>
      </c>
      <c r="L103" s="7">
        <f>VLOOKUP(globalfreelancepreprocesseddata!A103,worksheet!A:P,16,FALSE)</f>
        <v>0.64</v>
      </c>
    </row>
    <row r="104" spans="1:12" x14ac:dyDescent="0.35">
      <c r="A104" s="5" t="s">
        <v>282</v>
      </c>
      <c r="B104" s="5" t="str">
        <f>VLOOKUP(globalfreelancepreprocesseddata!A104,worksheet!A:P,3,FALSE)</f>
        <v>Stacy Sutton</v>
      </c>
      <c r="C104" s="5" t="str">
        <f>VLOOKUP(globalfreelancepreprocesseddata!A104,worksheet!A:P,5,FALSE)</f>
        <v>Female</v>
      </c>
      <c r="D104" s="5">
        <f>VLOOKUP(globalfreelancepreprocesseddata!A104,worksheet!A:P,6,FALSE)</f>
        <v>50</v>
      </c>
      <c r="E104" s="5" t="str">
        <f>VLOOKUP(globalfreelancepreprocesseddata!A104,worksheet!A:P,7,FALSE)</f>
        <v>Russia</v>
      </c>
      <c r="F104" s="5" t="str">
        <f>VLOOKUP(globalfreelancepreprocesseddata!A104,worksheet!A:P,8,FALSE)</f>
        <v>Russian</v>
      </c>
      <c r="G104" s="5" t="str">
        <f>VLOOKUP(globalfreelancepreprocesseddata!A104,worksheet!A:P,9,FALSE)</f>
        <v>DevOps</v>
      </c>
      <c r="H104" s="5">
        <f>VLOOKUP(globalfreelancepreprocesseddata!A104,worksheet!A:P,10,FALSE)</f>
        <v>30</v>
      </c>
      <c r="I104" s="6">
        <f>VLOOKUP(globalfreelancepreprocesseddata!A104,worksheet!A:P,12,FALSE)</f>
        <v>100</v>
      </c>
      <c r="J104" s="5">
        <f>VLOOKUP(globalfreelancepreprocesseddata!A104,worksheet!A:P,13,FALSE)</f>
        <v>3</v>
      </c>
      <c r="K104" s="5">
        <f>VLOOKUP(globalfreelancepreprocesseddata!A104,worksheet!A:P,14,FALSE)</f>
        <v>1</v>
      </c>
      <c r="L104" s="7">
        <f>VLOOKUP(globalfreelancepreprocesseddata!A104,worksheet!A:P,16,FALSE)</f>
        <v>0.73</v>
      </c>
    </row>
    <row r="105" spans="1:12" x14ac:dyDescent="0.35">
      <c r="A105" s="5" t="s">
        <v>284</v>
      </c>
      <c r="B105" s="5" t="str">
        <f>VLOOKUP(globalfreelancepreprocesseddata!A105,worksheet!A:P,3,FALSE)</f>
        <v>Kimberly Holland</v>
      </c>
      <c r="C105" s="5" t="str">
        <f>VLOOKUP(globalfreelancepreprocesseddata!A105,worksheet!A:P,5,FALSE)</f>
        <v>Female</v>
      </c>
      <c r="D105" s="5">
        <f>VLOOKUP(globalfreelancepreprocesseddata!A105,worksheet!A:P,6,FALSE)</f>
        <v>21</v>
      </c>
      <c r="E105" s="5" t="str">
        <f>VLOOKUP(globalfreelancepreprocesseddata!A105,worksheet!A:P,7,FALSE)</f>
        <v>Turkey</v>
      </c>
      <c r="F105" s="5" t="str">
        <f>VLOOKUP(globalfreelancepreprocesseddata!A105,worksheet!A:P,8,FALSE)</f>
        <v>Turkish</v>
      </c>
      <c r="G105" s="5" t="str">
        <f>VLOOKUP(globalfreelancepreprocesseddata!A105,worksheet!A:P,9,FALSE)</f>
        <v>Blockchain Development</v>
      </c>
      <c r="H105" s="5">
        <f>VLOOKUP(globalfreelancepreprocesseddata!A105,worksheet!A:P,10,FALSE)</f>
        <v>2</v>
      </c>
      <c r="I105" s="6">
        <f>VLOOKUP(globalfreelancepreprocesseddata!A105,worksheet!A:P,12,FALSE)</f>
        <v>50</v>
      </c>
      <c r="J105" s="5">
        <f>VLOOKUP(globalfreelancepreprocesseddata!A105,worksheet!A:P,13,FALSE)</f>
        <v>4.9000000000000004</v>
      </c>
      <c r="K105" s="5">
        <f>VLOOKUP(globalfreelancepreprocesseddata!A105,worksheet!A:P,14,FALSE)</f>
        <v>1</v>
      </c>
      <c r="L105" s="7">
        <f>VLOOKUP(globalfreelancepreprocesseddata!A105,worksheet!A:P,16,FALSE)</f>
        <v>0.68</v>
      </c>
    </row>
    <row r="106" spans="1:12" x14ac:dyDescent="0.35">
      <c r="A106" s="5" t="s">
        <v>286</v>
      </c>
      <c r="B106" s="5" t="str">
        <f>VLOOKUP(globalfreelancepreprocesseddata!A106,worksheet!A:P,3,FALSE)</f>
        <v>Travis Richardson</v>
      </c>
      <c r="C106" s="5" t="str">
        <f>VLOOKUP(globalfreelancepreprocesseddata!A106,worksheet!A:P,5,FALSE)</f>
        <v>Male</v>
      </c>
      <c r="D106" s="5">
        <f>VLOOKUP(globalfreelancepreprocesseddata!A106,worksheet!A:P,6,FALSE)</f>
        <v>25</v>
      </c>
      <c r="E106" s="5" t="str">
        <f>VLOOKUP(globalfreelancepreprocesseddata!A106,worksheet!A:P,7,FALSE)</f>
        <v>United States</v>
      </c>
      <c r="F106" s="5" t="str">
        <f>VLOOKUP(globalfreelancepreprocesseddata!A106,worksheet!A:P,8,FALSE)</f>
        <v>English</v>
      </c>
      <c r="G106" s="5" t="str">
        <f>VLOOKUP(globalfreelancepreprocesseddata!A106,worksheet!A:P,9,FALSE)</f>
        <v>Graphic Design</v>
      </c>
      <c r="H106" s="5">
        <f>VLOOKUP(globalfreelancepreprocesseddata!A106,worksheet!A:P,10,FALSE)</f>
        <v>3</v>
      </c>
      <c r="I106" s="6">
        <f>VLOOKUP(globalfreelancepreprocesseddata!A106,worksheet!A:P,12,FALSE)</f>
        <v>30</v>
      </c>
      <c r="J106" s="5">
        <f>VLOOKUP(globalfreelancepreprocesseddata!A106,worksheet!A:P,13,FALSE)</f>
        <v>3</v>
      </c>
      <c r="K106" s="5">
        <f>VLOOKUP(globalfreelancepreprocesseddata!A106,worksheet!A:P,14,FALSE)</f>
        <v>1</v>
      </c>
      <c r="L106" s="7">
        <f>VLOOKUP(globalfreelancepreprocesseddata!A106,worksheet!A:P,16,FALSE)</f>
        <v>0.88</v>
      </c>
    </row>
    <row r="107" spans="1:12" x14ac:dyDescent="0.35">
      <c r="A107" s="5" t="s">
        <v>288</v>
      </c>
      <c r="B107" s="5" t="str">
        <f>VLOOKUP(globalfreelancepreprocesseddata!A107,worksheet!A:P,3,FALSE)</f>
        <v>Jasmin Ho</v>
      </c>
      <c r="C107" s="5" t="str">
        <f>VLOOKUP(globalfreelancepreprocesseddata!A107,worksheet!A:P,5,FALSE)</f>
        <v>Female</v>
      </c>
      <c r="D107" s="5">
        <f>VLOOKUP(globalfreelancepreprocesseddata!A107,worksheet!A:P,6,FALSE)</f>
        <v>57</v>
      </c>
      <c r="E107" s="5" t="str">
        <f>VLOOKUP(globalfreelancepreprocesseddata!A107,worksheet!A:P,7,FALSE)</f>
        <v>France</v>
      </c>
      <c r="F107" s="5" t="str">
        <f>VLOOKUP(globalfreelancepreprocesseddata!A107,worksheet!A:P,8,FALSE)</f>
        <v>French</v>
      </c>
      <c r="G107" s="5" t="str">
        <f>VLOOKUP(globalfreelancepreprocesseddata!A107,worksheet!A:P,9,FALSE)</f>
        <v>DevOps</v>
      </c>
      <c r="H107" s="5">
        <f>VLOOKUP(globalfreelancepreprocesseddata!A107,worksheet!A:P,10,FALSE)</f>
        <v>21</v>
      </c>
      <c r="I107" s="6">
        <f>VLOOKUP(globalfreelancepreprocesseddata!A107,worksheet!A:P,12,FALSE)</f>
        <v>40</v>
      </c>
      <c r="J107" s="5">
        <f>VLOOKUP(globalfreelancepreprocesseddata!A107,worksheet!A:P,13,FALSE)</f>
        <v>2.5</v>
      </c>
      <c r="K107" s="5">
        <f>VLOOKUP(globalfreelancepreprocesseddata!A107,worksheet!A:P,14,FALSE)</f>
        <v>0</v>
      </c>
      <c r="L107" s="7">
        <f>VLOOKUP(globalfreelancepreprocesseddata!A107,worksheet!A:P,16,FALSE)</f>
        <v>0.77</v>
      </c>
    </row>
    <row r="108" spans="1:12" x14ac:dyDescent="0.35">
      <c r="A108" s="5" t="s">
        <v>290</v>
      </c>
      <c r="B108" s="5" t="str">
        <f>VLOOKUP(globalfreelancepreprocesseddata!A108,worksheet!A:P,3,FALSE)</f>
        <v>Mark Paul</v>
      </c>
      <c r="C108" s="5" t="str">
        <f>VLOOKUP(globalfreelancepreprocesseddata!A108,worksheet!A:P,5,FALSE)</f>
        <v>Male</v>
      </c>
      <c r="D108" s="5">
        <f>VLOOKUP(globalfreelancepreprocesseddata!A108,worksheet!A:P,6,FALSE)</f>
        <v>58</v>
      </c>
      <c r="E108" s="5" t="str">
        <f>VLOOKUP(globalfreelancepreprocesseddata!A108,worksheet!A:P,7,FALSE)</f>
        <v>Russia</v>
      </c>
      <c r="F108" s="5" t="str">
        <f>VLOOKUP(globalfreelancepreprocesseddata!A108,worksheet!A:P,8,FALSE)</f>
        <v>Russian</v>
      </c>
      <c r="G108" s="5" t="str">
        <f>VLOOKUP(globalfreelancepreprocesseddata!A108,worksheet!A:P,9,FALSE)</f>
        <v>Blockchain Development</v>
      </c>
      <c r="H108" s="5">
        <f>VLOOKUP(globalfreelancepreprocesseddata!A108,worksheet!A:P,10,FALSE)</f>
        <v>3</v>
      </c>
      <c r="I108" s="6">
        <f>VLOOKUP(globalfreelancepreprocesseddata!A108,worksheet!A:P,12,FALSE)</f>
        <v>40</v>
      </c>
      <c r="J108" s="5">
        <f>VLOOKUP(globalfreelancepreprocesseddata!A108,worksheet!A:P,13,FALSE)</f>
        <v>0</v>
      </c>
      <c r="K108" s="5">
        <f>VLOOKUP(globalfreelancepreprocesseddata!A108,worksheet!A:P,14,FALSE)</f>
        <v>1</v>
      </c>
      <c r="L108" s="7">
        <f>VLOOKUP(globalfreelancepreprocesseddata!A108,worksheet!A:P,16,FALSE)</f>
        <v>0.16</v>
      </c>
    </row>
    <row r="109" spans="1:12" x14ac:dyDescent="0.35">
      <c r="A109" s="5" t="s">
        <v>292</v>
      </c>
      <c r="B109" s="5" t="str">
        <f>VLOOKUP(globalfreelancepreprocesseddata!A109,worksheet!A:P,3,FALSE)</f>
        <v>Jennifer Lewis</v>
      </c>
      <c r="C109" s="5" t="str">
        <f>VLOOKUP(globalfreelancepreprocesseddata!A109,worksheet!A:P,5,FALSE)</f>
        <v>Female</v>
      </c>
      <c r="D109" s="5">
        <f>VLOOKUP(globalfreelancepreprocesseddata!A109,worksheet!A:P,6,FALSE)</f>
        <v>45</v>
      </c>
      <c r="E109" s="5" t="str">
        <f>VLOOKUP(globalfreelancepreprocesseddata!A109,worksheet!A:P,7,FALSE)</f>
        <v>Indonesia</v>
      </c>
      <c r="F109" s="5" t="str">
        <f>VLOOKUP(globalfreelancepreprocesseddata!A109,worksheet!A:P,8,FALSE)</f>
        <v>Indonesian</v>
      </c>
      <c r="G109" s="5" t="str">
        <f>VLOOKUP(globalfreelancepreprocesseddata!A109,worksheet!A:P,9,FALSE)</f>
        <v>Mobile Apps</v>
      </c>
      <c r="H109" s="5">
        <f>VLOOKUP(globalfreelancepreprocesseddata!A109,worksheet!A:P,10,FALSE)</f>
        <v>19</v>
      </c>
      <c r="I109" s="6">
        <f>VLOOKUP(globalfreelancepreprocesseddata!A109,worksheet!A:P,12,FALSE)</f>
        <v>40</v>
      </c>
      <c r="J109" s="5">
        <f>VLOOKUP(globalfreelancepreprocesseddata!A109,worksheet!A:P,13,FALSE)</f>
        <v>3</v>
      </c>
      <c r="K109" s="5">
        <f>VLOOKUP(globalfreelancepreprocesseddata!A109,worksheet!A:P,14,FALSE)</f>
        <v>1</v>
      </c>
      <c r="L109" s="7">
        <f>VLOOKUP(globalfreelancepreprocesseddata!A109,worksheet!A:P,16,FALSE)</f>
        <v>0.72</v>
      </c>
    </row>
    <row r="110" spans="1:12" x14ac:dyDescent="0.35">
      <c r="A110" s="5" t="s">
        <v>294</v>
      </c>
      <c r="B110" s="5" t="str">
        <f>VLOOKUP(globalfreelancepreprocesseddata!A110,worksheet!A:P,3,FALSE)</f>
        <v>Elizabeth Lester</v>
      </c>
      <c r="C110" s="5" t="str">
        <f>VLOOKUP(globalfreelancepreprocesseddata!A110,worksheet!A:P,5,FALSE)</f>
        <v>Female</v>
      </c>
      <c r="D110" s="5">
        <f>VLOOKUP(globalfreelancepreprocesseddata!A110,worksheet!A:P,6,FALSE)</f>
        <v>23</v>
      </c>
      <c r="E110" s="5" t="str">
        <f>VLOOKUP(globalfreelancepreprocesseddata!A110,worksheet!A:P,7,FALSE)</f>
        <v>United States</v>
      </c>
      <c r="F110" s="5" t="str">
        <f>VLOOKUP(globalfreelancepreprocesseddata!A110,worksheet!A:P,8,FALSE)</f>
        <v>English</v>
      </c>
      <c r="G110" s="5" t="str">
        <f>VLOOKUP(globalfreelancepreprocesseddata!A110,worksheet!A:P,9,FALSE)</f>
        <v>Web Development</v>
      </c>
      <c r="H110" s="5">
        <f>VLOOKUP(globalfreelancepreprocesseddata!A110,worksheet!A:P,10,FALSE)</f>
        <v>11</v>
      </c>
      <c r="I110" s="6">
        <f>VLOOKUP(globalfreelancepreprocesseddata!A110,worksheet!A:P,12,FALSE)</f>
        <v>20</v>
      </c>
      <c r="J110" s="5">
        <f>VLOOKUP(globalfreelancepreprocesseddata!A110,worksheet!A:P,13,FALSE)</f>
        <v>4.7</v>
      </c>
      <c r="K110" s="5">
        <f>VLOOKUP(globalfreelancepreprocesseddata!A110,worksheet!A:P,14,FALSE)</f>
        <v>1</v>
      </c>
      <c r="L110" s="7">
        <f>VLOOKUP(globalfreelancepreprocesseddata!A110,worksheet!A:P,16,FALSE)</f>
        <v>0.6</v>
      </c>
    </row>
    <row r="111" spans="1:12" x14ac:dyDescent="0.35">
      <c r="A111" s="5" t="s">
        <v>296</v>
      </c>
      <c r="B111" s="5" t="str">
        <f>VLOOKUP(globalfreelancepreprocesseddata!A111,worksheet!A:P,3,FALSE)</f>
        <v>Kimberly Griffin</v>
      </c>
      <c r="C111" s="5" t="str">
        <f>VLOOKUP(globalfreelancepreprocesseddata!A111,worksheet!A:P,5,FALSE)</f>
        <v>Female</v>
      </c>
      <c r="D111" s="5">
        <f>VLOOKUP(globalfreelancepreprocesseddata!A111,worksheet!A:P,6,FALSE)</f>
        <v>46</v>
      </c>
      <c r="E111" s="5" t="str">
        <f>VLOOKUP(globalfreelancepreprocesseddata!A111,worksheet!A:P,7,FALSE)</f>
        <v>United States</v>
      </c>
      <c r="F111" s="5" t="str">
        <f>VLOOKUP(globalfreelancepreprocesseddata!A111,worksheet!A:P,8,FALSE)</f>
        <v>English</v>
      </c>
      <c r="G111" s="5" t="str">
        <f>VLOOKUP(globalfreelancepreprocesseddata!A111,worksheet!A:P,9,FALSE)</f>
        <v>AI</v>
      </c>
      <c r="H111" s="5">
        <f>VLOOKUP(globalfreelancepreprocesseddata!A111,worksheet!A:P,10,FALSE)</f>
        <v>9</v>
      </c>
      <c r="I111" s="6">
        <f>VLOOKUP(globalfreelancepreprocesseddata!A111,worksheet!A:P,12,FALSE)</f>
        <v>30</v>
      </c>
      <c r="J111" s="5">
        <f>VLOOKUP(globalfreelancepreprocesseddata!A111,worksheet!A:P,13,FALSE)</f>
        <v>3.5</v>
      </c>
      <c r="K111" s="5">
        <f>VLOOKUP(globalfreelancepreprocesseddata!A111,worksheet!A:P,14,FALSE)</f>
        <v>1</v>
      </c>
      <c r="L111" s="7">
        <f>VLOOKUP(globalfreelancepreprocesseddata!A111,worksheet!A:P,16,FALSE)</f>
        <v>0.72</v>
      </c>
    </row>
    <row r="112" spans="1:12" x14ac:dyDescent="0.35">
      <c r="A112" s="5" t="s">
        <v>298</v>
      </c>
      <c r="B112" s="5" t="str">
        <f>VLOOKUP(globalfreelancepreprocesseddata!A112,worksheet!A:P,3,FALSE)</f>
        <v>Tyler Warner</v>
      </c>
      <c r="C112" s="5" t="str">
        <f>VLOOKUP(globalfreelancepreprocesseddata!A112,worksheet!A:P,5,FALSE)</f>
        <v>Male</v>
      </c>
      <c r="D112" s="5">
        <f>VLOOKUP(globalfreelancepreprocesseddata!A112,worksheet!A:P,6,FALSE)</f>
        <v>27</v>
      </c>
      <c r="E112" s="5" t="str">
        <f>VLOOKUP(globalfreelancepreprocesseddata!A112,worksheet!A:P,7,FALSE)</f>
        <v>Argentina</v>
      </c>
      <c r="F112" s="5" t="str">
        <f>VLOOKUP(globalfreelancepreprocesseddata!A112,worksheet!A:P,8,FALSE)</f>
        <v>Spanish</v>
      </c>
      <c r="G112" s="5" t="str">
        <f>VLOOKUP(globalfreelancepreprocesseddata!A112,worksheet!A:P,9,FALSE)</f>
        <v>UI/UX Design</v>
      </c>
      <c r="H112" s="5">
        <f>VLOOKUP(globalfreelancepreprocesseddata!A112,worksheet!A:P,10,FALSE)</f>
        <v>5</v>
      </c>
      <c r="I112" s="6">
        <f>VLOOKUP(globalfreelancepreprocesseddata!A112,worksheet!A:P,12,FALSE)</f>
        <v>30</v>
      </c>
      <c r="J112" s="5">
        <f>VLOOKUP(globalfreelancepreprocesseddata!A112,worksheet!A:P,13,FALSE)</f>
        <v>3</v>
      </c>
      <c r="K112" s="5">
        <f>VLOOKUP(globalfreelancepreprocesseddata!A112,worksheet!A:P,14,FALSE)</f>
        <v>0</v>
      </c>
      <c r="L112" s="7">
        <f>VLOOKUP(globalfreelancepreprocesseddata!A112,worksheet!A:P,16,FALSE)</f>
        <v>0.92</v>
      </c>
    </row>
    <row r="113" spans="1:12" x14ac:dyDescent="0.35">
      <c r="A113" s="5" t="s">
        <v>300</v>
      </c>
      <c r="B113" s="5" t="str">
        <f>VLOOKUP(globalfreelancepreprocesseddata!A113,worksheet!A:P,3,FALSE)</f>
        <v>Jane Cox</v>
      </c>
      <c r="C113" s="5" t="str">
        <f>VLOOKUP(globalfreelancepreprocesseddata!A113,worksheet!A:P,5,FALSE)</f>
        <v>Female</v>
      </c>
      <c r="D113" s="5">
        <f>VLOOKUP(globalfreelancepreprocesseddata!A113,worksheet!A:P,6,FALSE)</f>
        <v>32</v>
      </c>
      <c r="E113" s="5" t="str">
        <f>VLOOKUP(globalfreelancepreprocesseddata!A113,worksheet!A:P,7,FALSE)</f>
        <v>United States</v>
      </c>
      <c r="F113" s="5" t="str">
        <f>VLOOKUP(globalfreelancepreprocesseddata!A113,worksheet!A:P,8,FALSE)</f>
        <v>English</v>
      </c>
      <c r="G113" s="5" t="str">
        <f>VLOOKUP(globalfreelancepreprocesseddata!A113,worksheet!A:P,9,FALSE)</f>
        <v>Machine Learning</v>
      </c>
      <c r="H113" s="5">
        <f>VLOOKUP(globalfreelancepreprocesseddata!A113,worksheet!A:P,10,FALSE)</f>
        <v>6</v>
      </c>
      <c r="I113" s="6" t="str">
        <f>VLOOKUP(globalfreelancepreprocesseddata!A113,worksheet!A:P,12,FALSE)</f>
        <v>$ 50</v>
      </c>
      <c r="J113" s="5">
        <f>VLOOKUP(globalfreelancepreprocesseddata!A113,worksheet!A:P,13,FALSE)</f>
        <v>3.4</v>
      </c>
      <c r="K113" s="5">
        <f>VLOOKUP(globalfreelancepreprocesseddata!A113,worksheet!A:P,14,FALSE)</f>
        <v>1</v>
      </c>
      <c r="L113" s="7">
        <f>VLOOKUP(globalfreelancepreprocesseddata!A113,worksheet!A:P,16,FALSE)</f>
        <v>0.16</v>
      </c>
    </row>
    <row r="114" spans="1:12" x14ac:dyDescent="0.35">
      <c r="A114" s="5" t="s">
        <v>302</v>
      </c>
      <c r="B114" s="5" t="str">
        <f>VLOOKUP(globalfreelancepreprocesseddata!A114,worksheet!A:P,3,FALSE)</f>
        <v>Leah Williams</v>
      </c>
      <c r="C114" s="5" t="str">
        <f>VLOOKUP(globalfreelancepreprocesseddata!A114,worksheet!A:P,5,FALSE)</f>
        <v>Female</v>
      </c>
      <c r="D114" s="5">
        <f>VLOOKUP(globalfreelancepreprocesseddata!A114,worksheet!A:P,6,FALSE)</f>
        <v>48</v>
      </c>
      <c r="E114" s="5" t="str">
        <f>VLOOKUP(globalfreelancepreprocesseddata!A114,worksheet!A:P,7,FALSE)</f>
        <v>Argentina</v>
      </c>
      <c r="F114" s="5" t="str">
        <f>VLOOKUP(globalfreelancepreprocesseddata!A114,worksheet!A:P,8,FALSE)</f>
        <v>Spanish</v>
      </c>
      <c r="G114" s="5" t="str">
        <f>VLOOKUP(globalfreelancepreprocesseddata!A114,worksheet!A:P,9,FALSE)</f>
        <v>Machine Learning</v>
      </c>
      <c r="H114" s="5">
        <f>VLOOKUP(globalfreelancepreprocesseddata!A114,worksheet!A:P,10,FALSE)</f>
        <v>6</v>
      </c>
      <c r="I114" s="6" t="str">
        <f>VLOOKUP(globalfreelancepreprocesseddata!A114,worksheet!A:P,12,FALSE)</f>
        <v>$ 75</v>
      </c>
      <c r="J114" s="5">
        <f>VLOOKUP(globalfreelancepreprocesseddata!A114,worksheet!A:P,13,FALSE)</f>
        <v>2.5</v>
      </c>
      <c r="K114" s="5">
        <f>VLOOKUP(globalfreelancepreprocesseddata!A114,worksheet!A:P,14,FALSE)</f>
        <v>1</v>
      </c>
      <c r="L114" s="7">
        <f>VLOOKUP(globalfreelancepreprocesseddata!A114,worksheet!A:P,16,FALSE)</f>
        <v>0.92</v>
      </c>
    </row>
    <row r="115" spans="1:12" x14ac:dyDescent="0.35">
      <c r="A115" s="5" t="s">
        <v>304</v>
      </c>
      <c r="B115" s="5" t="str">
        <f>VLOOKUP(globalfreelancepreprocesseddata!A115,worksheet!A:P,3,FALSE)</f>
        <v>Kevin Wong</v>
      </c>
      <c r="C115" s="5" t="str">
        <f>VLOOKUP(globalfreelancepreprocesseddata!A115,worksheet!A:P,5,FALSE)</f>
        <v>Male</v>
      </c>
      <c r="D115" s="5">
        <f>VLOOKUP(globalfreelancepreprocesseddata!A115,worksheet!A:P,6,FALSE)</f>
        <v>30</v>
      </c>
      <c r="E115" s="5" t="str">
        <f>VLOOKUP(globalfreelancepreprocesseddata!A115,worksheet!A:P,7,FALSE)</f>
        <v>Turkey</v>
      </c>
      <c r="F115" s="5" t="str">
        <f>VLOOKUP(globalfreelancepreprocesseddata!A115,worksheet!A:P,8,FALSE)</f>
        <v>Turkish</v>
      </c>
      <c r="G115" s="5" t="str">
        <f>VLOOKUP(globalfreelancepreprocesseddata!A115,worksheet!A:P,9,FALSE)</f>
        <v>Mobile Apps</v>
      </c>
      <c r="H115" s="5">
        <f>VLOOKUP(globalfreelancepreprocesseddata!A115,worksheet!A:P,10,FALSE)</f>
        <v>3</v>
      </c>
      <c r="I115" s="6">
        <f>VLOOKUP(globalfreelancepreprocesseddata!A115,worksheet!A:P,12,FALSE)</f>
        <v>30</v>
      </c>
      <c r="J115" s="5">
        <f>VLOOKUP(globalfreelancepreprocesseddata!A115,worksheet!A:P,13,FALSE)</f>
        <v>1.1000000000000001</v>
      </c>
      <c r="K115" s="5">
        <f>VLOOKUP(globalfreelancepreprocesseddata!A115,worksheet!A:P,14,FALSE)</f>
        <v>1</v>
      </c>
      <c r="L115" s="7">
        <f>VLOOKUP(globalfreelancepreprocesseddata!A115,worksheet!A:P,16,FALSE)</f>
        <v>0.16</v>
      </c>
    </row>
    <row r="116" spans="1:12" x14ac:dyDescent="0.35">
      <c r="A116" s="5" t="s">
        <v>306</v>
      </c>
      <c r="B116" s="5" t="str">
        <f>VLOOKUP(globalfreelancepreprocesseddata!A116,worksheet!A:P,3,FALSE)</f>
        <v>Robert Andrews</v>
      </c>
      <c r="C116" s="5" t="str">
        <f>VLOOKUP(globalfreelancepreprocesseddata!A116,worksheet!A:P,5,FALSE)</f>
        <v>Male</v>
      </c>
      <c r="D116" s="5">
        <f>VLOOKUP(globalfreelancepreprocesseddata!A116,worksheet!A:P,6,FALSE)</f>
        <v>59</v>
      </c>
      <c r="E116" s="5" t="str">
        <f>VLOOKUP(globalfreelancepreprocesseddata!A116,worksheet!A:P,7,FALSE)</f>
        <v>Turkey</v>
      </c>
      <c r="F116" s="5" t="str">
        <f>VLOOKUP(globalfreelancepreprocesseddata!A116,worksheet!A:P,8,FALSE)</f>
        <v>Turkish</v>
      </c>
      <c r="G116" s="5" t="str">
        <f>VLOOKUP(globalfreelancepreprocesseddata!A116,worksheet!A:P,9,FALSE)</f>
        <v>AI</v>
      </c>
      <c r="H116" s="5">
        <f>VLOOKUP(globalfreelancepreprocesseddata!A116,worksheet!A:P,10,FALSE)</f>
        <v>13</v>
      </c>
      <c r="I116" s="6" t="str">
        <f>VLOOKUP(globalfreelancepreprocesseddata!A116,worksheet!A:P,12,FALSE)</f>
        <v>$ 20</v>
      </c>
      <c r="J116" s="5">
        <f>VLOOKUP(globalfreelancepreprocesseddata!A116,worksheet!A:P,13,FALSE)</f>
        <v>4.8</v>
      </c>
      <c r="K116" s="5">
        <f>VLOOKUP(globalfreelancepreprocesseddata!A116,worksheet!A:P,14,FALSE)</f>
        <v>1</v>
      </c>
      <c r="L116" s="7">
        <f>VLOOKUP(globalfreelancepreprocesseddata!A116,worksheet!A:P,16,FALSE)</f>
        <v>0.16</v>
      </c>
    </row>
    <row r="117" spans="1:12" x14ac:dyDescent="0.35">
      <c r="A117" s="5" t="s">
        <v>309</v>
      </c>
      <c r="B117" s="5" t="str">
        <f>VLOOKUP(globalfreelancepreprocesseddata!A117,worksheet!A:P,3,FALSE)</f>
        <v>Jessica Torres</v>
      </c>
      <c r="C117" s="5" t="str">
        <f>VLOOKUP(globalfreelancepreprocesseddata!A117,worksheet!A:P,5,FALSE)</f>
        <v>Female</v>
      </c>
      <c r="D117" s="5">
        <f>VLOOKUP(globalfreelancepreprocesseddata!A117,worksheet!A:P,6,FALSE)</f>
        <v>32</v>
      </c>
      <c r="E117" s="5" t="str">
        <f>VLOOKUP(globalfreelancepreprocesseddata!A117,worksheet!A:P,7,FALSE)</f>
        <v>Mexico</v>
      </c>
      <c r="F117" s="5" t="str">
        <f>VLOOKUP(globalfreelancepreprocesseddata!A117,worksheet!A:P,8,FALSE)</f>
        <v>Spanish</v>
      </c>
      <c r="G117" s="5" t="str">
        <f>VLOOKUP(globalfreelancepreprocesseddata!A117,worksheet!A:P,9,FALSE)</f>
        <v>AI</v>
      </c>
      <c r="H117" s="5">
        <f>VLOOKUP(globalfreelancepreprocesseddata!A117,worksheet!A:P,10,FALSE)</f>
        <v>5</v>
      </c>
      <c r="I117" s="6">
        <f>VLOOKUP(globalfreelancepreprocesseddata!A117,worksheet!A:P,12,FALSE)</f>
        <v>30</v>
      </c>
      <c r="J117" s="5">
        <f>VLOOKUP(globalfreelancepreprocesseddata!A117,worksheet!A:P,13,FALSE)</f>
        <v>3</v>
      </c>
      <c r="K117" s="5">
        <f>VLOOKUP(globalfreelancepreprocesseddata!A117,worksheet!A:P,14,FALSE)</f>
        <v>0</v>
      </c>
      <c r="L117" s="7">
        <f>VLOOKUP(globalfreelancepreprocesseddata!A117,worksheet!A:P,16,FALSE)</f>
        <v>0.86</v>
      </c>
    </row>
    <row r="118" spans="1:12" x14ac:dyDescent="0.35">
      <c r="A118" s="5" t="s">
        <v>311</v>
      </c>
      <c r="B118" s="5" t="str">
        <f>VLOOKUP(globalfreelancepreprocesseddata!A118,worksheet!A:P,3,FALSE)</f>
        <v>Teresa Kim</v>
      </c>
      <c r="C118" s="5" t="str">
        <f>VLOOKUP(globalfreelancepreprocesseddata!A118,worksheet!A:P,5,FALSE)</f>
        <v>Female</v>
      </c>
      <c r="D118" s="5">
        <f>VLOOKUP(globalfreelancepreprocesseddata!A118,worksheet!A:P,6,FALSE)</f>
        <v>57</v>
      </c>
      <c r="E118" s="5" t="str">
        <f>VLOOKUP(globalfreelancepreprocesseddata!A118,worksheet!A:P,7,FALSE)</f>
        <v>Egypt</v>
      </c>
      <c r="F118" s="5" t="str">
        <f>VLOOKUP(globalfreelancepreprocesseddata!A118,worksheet!A:P,8,FALSE)</f>
        <v>Arabic</v>
      </c>
      <c r="G118" s="5" t="str">
        <f>VLOOKUP(globalfreelancepreprocesseddata!A118,worksheet!A:P,9,FALSE)</f>
        <v>UI/UX Design</v>
      </c>
      <c r="H118" s="5">
        <f>VLOOKUP(globalfreelancepreprocesseddata!A118,worksheet!A:P,10,FALSE)</f>
        <v>4</v>
      </c>
      <c r="I118" s="6" t="str">
        <f>VLOOKUP(globalfreelancepreprocesseddata!A118,worksheet!A:P,12,FALSE)</f>
        <v>$ 40</v>
      </c>
      <c r="J118" s="5">
        <f>VLOOKUP(globalfreelancepreprocesseddata!A118,worksheet!A:P,13,FALSE)</f>
        <v>3.4</v>
      </c>
      <c r="K118" s="5">
        <f>VLOOKUP(globalfreelancepreprocesseddata!A118,worksheet!A:P,14,FALSE)</f>
        <v>1</v>
      </c>
      <c r="L118" s="7">
        <f>VLOOKUP(globalfreelancepreprocesseddata!A118,worksheet!A:P,16,FALSE)</f>
        <v>0.68</v>
      </c>
    </row>
    <row r="119" spans="1:12" x14ac:dyDescent="0.35">
      <c r="A119" s="5" t="s">
        <v>313</v>
      </c>
      <c r="B119" s="5" t="str">
        <f>VLOOKUP(globalfreelancepreprocesseddata!A119,worksheet!A:P,3,FALSE)</f>
        <v>Jon Morgan</v>
      </c>
      <c r="C119" s="5" t="str">
        <f>VLOOKUP(globalfreelancepreprocesseddata!A119,worksheet!A:P,5,FALSE)</f>
        <v>Male</v>
      </c>
      <c r="D119" s="5">
        <f>VLOOKUP(globalfreelancepreprocesseddata!A119,worksheet!A:P,6,FALSE)</f>
        <v>27</v>
      </c>
      <c r="E119" s="5" t="str">
        <f>VLOOKUP(globalfreelancepreprocesseddata!A119,worksheet!A:P,7,FALSE)</f>
        <v>Australia</v>
      </c>
      <c r="F119" s="5" t="str">
        <f>VLOOKUP(globalfreelancepreprocesseddata!A119,worksheet!A:P,8,FALSE)</f>
        <v>English</v>
      </c>
      <c r="G119" s="5" t="str">
        <f>VLOOKUP(globalfreelancepreprocesseddata!A119,worksheet!A:P,9,FALSE)</f>
        <v>Machine Learning</v>
      </c>
      <c r="H119" s="5">
        <f>VLOOKUP(globalfreelancepreprocesseddata!A119,worksheet!A:P,10,FALSE)</f>
        <v>7</v>
      </c>
      <c r="I119" s="6" t="str">
        <f>VLOOKUP(globalfreelancepreprocesseddata!A119,worksheet!A:P,12,FALSE)</f>
        <v>$ 20</v>
      </c>
      <c r="J119" s="5">
        <f>VLOOKUP(globalfreelancepreprocesseddata!A119,worksheet!A:P,13,FALSE)</f>
        <v>3.2</v>
      </c>
      <c r="K119" s="5">
        <f>VLOOKUP(globalfreelancepreprocesseddata!A119,worksheet!A:P,14,FALSE)</f>
        <v>1</v>
      </c>
      <c r="L119" s="7">
        <f>VLOOKUP(globalfreelancepreprocesseddata!A119,worksheet!A:P,16,FALSE)</f>
        <v>0.62</v>
      </c>
    </row>
    <row r="120" spans="1:12" x14ac:dyDescent="0.35">
      <c r="A120" s="5" t="s">
        <v>315</v>
      </c>
      <c r="B120" s="5" t="str">
        <f>VLOOKUP(globalfreelancepreprocesseddata!A120,worksheet!A:P,3,FALSE)</f>
        <v>Gloria Chaney</v>
      </c>
      <c r="C120" s="5" t="str">
        <f>VLOOKUP(globalfreelancepreprocesseddata!A120,worksheet!A:P,5,FALSE)</f>
        <v>Female</v>
      </c>
      <c r="D120" s="5">
        <f>VLOOKUP(globalfreelancepreprocesseddata!A120,worksheet!A:P,6,FALSE)</f>
        <v>33</v>
      </c>
      <c r="E120" s="5" t="str">
        <f>VLOOKUP(globalfreelancepreprocesseddata!A120,worksheet!A:P,7,FALSE)</f>
        <v>Indonesia</v>
      </c>
      <c r="F120" s="5" t="str">
        <f>VLOOKUP(globalfreelancepreprocesseddata!A120,worksheet!A:P,8,FALSE)</f>
        <v>Indonesian</v>
      </c>
      <c r="G120" s="5" t="str">
        <f>VLOOKUP(globalfreelancepreprocesseddata!A120,worksheet!A:P,9,FALSE)</f>
        <v>Machine Learning</v>
      </c>
      <c r="H120" s="5">
        <f>VLOOKUP(globalfreelancepreprocesseddata!A120,worksheet!A:P,10,FALSE)</f>
        <v>13</v>
      </c>
      <c r="I120" s="6">
        <f>VLOOKUP(globalfreelancepreprocesseddata!A120,worksheet!A:P,12,FALSE)</f>
        <v>20</v>
      </c>
      <c r="J120" s="5">
        <f>VLOOKUP(globalfreelancepreprocesseddata!A120,worksheet!A:P,13,FALSE)</f>
        <v>3.2</v>
      </c>
      <c r="K120" s="5">
        <f>VLOOKUP(globalfreelancepreprocesseddata!A120,worksheet!A:P,14,FALSE)</f>
        <v>0</v>
      </c>
      <c r="L120" s="7">
        <f>VLOOKUP(globalfreelancepreprocesseddata!A120,worksheet!A:P,16,FALSE)</f>
        <v>0.16</v>
      </c>
    </row>
    <row r="121" spans="1:12" x14ac:dyDescent="0.35">
      <c r="A121" s="5" t="s">
        <v>317</v>
      </c>
      <c r="B121" s="5" t="str">
        <f>VLOOKUP(globalfreelancepreprocesseddata!A121,worksheet!A:P,3,FALSE)</f>
        <v>Jesse Campbell</v>
      </c>
      <c r="C121" s="5" t="str">
        <f>VLOOKUP(globalfreelancepreprocesseddata!A121,worksheet!A:P,5,FALSE)</f>
        <v>Male</v>
      </c>
      <c r="D121" s="5">
        <f>VLOOKUP(globalfreelancepreprocesseddata!A121,worksheet!A:P,6,FALSE)</f>
        <v>29</v>
      </c>
      <c r="E121" s="5" t="str">
        <f>VLOOKUP(globalfreelancepreprocesseddata!A121,worksheet!A:P,7,FALSE)</f>
        <v>South Korea</v>
      </c>
      <c r="F121" s="5" t="str">
        <f>VLOOKUP(globalfreelancepreprocesseddata!A121,worksheet!A:P,8,FALSE)</f>
        <v>Korean</v>
      </c>
      <c r="G121" s="5" t="str">
        <f>VLOOKUP(globalfreelancepreprocesseddata!A121,worksheet!A:P,9,FALSE)</f>
        <v>Data Analysis</v>
      </c>
      <c r="H121" s="5">
        <f>VLOOKUP(globalfreelancepreprocesseddata!A121,worksheet!A:P,10,FALSE)</f>
        <v>4</v>
      </c>
      <c r="I121" s="6">
        <f>VLOOKUP(globalfreelancepreprocesseddata!A121,worksheet!A:P,12,FALSE)</f>
        <v>30</v>
      </c>
      <c r="J121" s="5">
        <f>VLOOKUP(globalfreelancepreprocesseddata!A121,worksheet!A:P,13,FALSE)</f>
        <v>0</v>
      </c>
      <c r="K121" s="5">
        <f>VLOOKUP(globalfreelancepreprocesseddata!A121,worksheet!A:P,14,FALSE)</f>
        <v>1</v>
      </c>
      <c r="L121" s="7">
        <f>VLOOKUP(globalfreelancepreprocesseddata!A121,worksheet!A:P,16,FALSE)</f>
        <v>0.82</v>
      </c>
    </row>
    <row r="122" spans="1:12" x14ac:dyDescent="0.35">
      <c r="A122" s="5" t="s">
        <v>319</v>
      </c>
      <c r="B122" s="5" t="str">
        <f>VLOOKUP(globalfreelancepreprocesseddata!A122,worksheet!A:P,3,FALSE)</f>
        <v>Allison Tucker Md</v>
      </c>
      <c r="C122" s="5" t="str">
        <f>VLOOKUP(globalfreelancepreprocesseddata!A122,worksheet!A:P,5,FALSE)</f>
        <v>Female</v>
      </c>
      <c r="D122" s="5">
        <f>VLOOKUP(globalfreelancepreprocesseddata!A122,worksheet!A:P,6,FALSE)</f>
        <v>36</v>
      </c>
      <c r="E122" s="5" t="str">
        <f>VLOOKUP(globalfreelancepreprocesseddata!A122,worksheet!A:P,7,FALSE)</f>
        <v>Indonesia</v>
      </c>
      <c r="F122" s="5" t="str">
        <f>VLOOKUP(globalfreelancepreprocesseddata!A122,worksheet!A:P,8,FALSE)</f>
        <v>Indonesian</v>
      </c>
      <c r="G122" s="5" t="str">
        <f>VLOOKUP(globalfreelancepreprocesseddata!A122,worksheet!A:P,9,FALSE)</f>
        <v>UI/UX Design</v>
      </c>
      <c r="H122" s="5">
        <f>VLOOKUP(globalfreelancepreprocesseddata!A122,worksheet!A:P,10,FALSE)</f>
        <v>13</v>
      </c>
      <c r="I122" s="6">
        <f>VLOOKUP(globalfreelancepreprocesseddata!A122,worksheet!A:P,12,FALSE)</f>
        <v>75</v>
      </c>
      <c r="J122" s="5">
        <f>VLOOKUP(globalfreelancepreprocesseddata!A122,worksheet!A:P,13,FALSE)</f>
        <v>3</v>
      </c>
      <c r="K122" s="5">
        <f>VLOOKUP(globalfreelancepreprocesseddata!A122,worksheet!A:P,14,FALSE)</f>
        <v>1</v>
      </c>
      <c r="L122" s="7">
        <f>VLOOKUP(globalfreelancepreprocesseddata!A122,worksheet!A:P,16,FALSE)</f>
        <v>0.16</v>
      </c>
    </row>
    <row r="123" spans="1:12" x14ac:dyDescent="0.35">
      <c r="A123" s="5" t="s">
        <v>321</v>
      </c>
      <c r="B123" s="5" t="str">
        <f>VLOOKUP(globalfreelancepreprocesseddata!A123,worksheet!A:P,3,FALSE)</f>
        <v>Candice Petersen</v>
      </c>
      <c r="C123" s="5" t="str">
        <f>VLOOKUP(globalfreelancepreprocesseddata!A123,worksheet!A:P,5,FALSE)</f>
        <v>Female</v>
      </c>
      <c r="D123" s="5">
        <f>VLOOKUP(globalfreelancepreprocesseddata!A123,worksheet!A:P,6,FALSE)</f>
        <v>47</v>
      </c>
      <c r="E123" s="5" t="str">
        <f>VLOOKUP(globalfreelancepreprocesseddata!A123,worksheet!A:P,7,FALSE)</f>
        <v>Italy</v>
      </c>
      <c r="F123" s="5" t="str">
        <f>VLOOKUP(globalfreelancepreprocesseddata!A123,worksheet!A:P,8,FALSE)</f>
        <v>Italian</v>
      </c>
      <c r="G123" s="5" t="str">
        <f>VLOOKUP(globalfreelancepreprocesseddata!A123,worksheet!A:P,9,FALSE)</f>
        <v>DevOps</v>
      </c>
      <c r="H123" s="5">
        <f>VLOOKUP(globalfreelancepreprocesseddata!A123,worksheet!A:P,10,FALSE)</f>
        <v>5</v>
      </c>
      <c r="I123" s="6">
        <f>VLOOKUP(globalfreelancepreprocesseddata!A123,worksheet!A:P,12,FALSE)</f>
        <v>40</v>
      </c>
      <c r="J123" s="5">
        <f>VLOOKUP(globalfreelancepreprocesseddata!A123,worksheet!A:P,13,FALSE)</f>
        <v>3.7</v>
      </c>
      <c r="K123" s="5">
        <f>VLOOKUP(globalfreelancepreprocesseddata!A123,worksheet!A:P,14,FALSE)</f>
        <v>0</v>
      </c>
      <c r="L123" s="7">
        <f>VLOOKUP(globalfreelancepreprocesseddata!A123,worksheet!A:P,16,FALSE)</f>
        <v>0.93</v>
      </c>
    </row>
    <row r="124" spans="1:12" x14ac:dyDescent="0.35">
      <c r="A124" s="5" t="s">
        <v>323</v>
      </c>
      <c r="B124" s="5" t="str">
        <f>VLOOKUP(globalfreelancepreprocesseddata!A124,worksheet!A:P,3,FALSE)</f>
        <v>Christopher Nichols</v>
      </c>
      <c r="C124" s="5" t="str">
        <f>VLOOKUP(globalfreelancepreprocesseddata!A124,worksheet!A:P,5,FALSE)</f>
        <v>Male</v>
      </c>
      <c r="D124" s="5">
        <f>VLOOKUP(globalfreelancepreprocesseddata!A124,worksheet!A:P,6,FALSE)</f>
        <v>48</v>
      </c>
      <c r="E124" s="5" t="str">
        <f>VLOOKUP(globalfreelancepreprocesseddata!A124,worksheet!A:P,7,FALSE)</f>
        <v>Canada</v>
      </c>
      <c r="F124" s="5" t="str">
        <f>VLOOKUP(globalfreelancepreprocesseddata!A124,worksheet!A:P,8,FALSE)</f>
        <v>English</v>
      </c>
      <c r="G124" s="5" t="str">
        <f>VLOOKUP(globalfreelancepreprocesseddata!A124,worksheet!A:P,9,FALSE)</f>
        <v>Machine Learning</v>
      </c>
      <c r="H124" s="5">
        <f>VLOOKUP(globalfreelancepreprocesseddata!A124,worksheet!A:P,10,FALSE)</f>
        <v>15</v>
      </c>
      <c r="I124" s="6" t="str">
        <f>VLOOKUP(globalfreelancepreprocesseddata!A124,worksheet!A:P,12,FALSE)</f>
        <v>$ 50</v>
      </c>
      <c r="J124" s="5">
        <f>VLOOKUP(globalfreelancepreprocesseddata!A124,worksheet!A:P,13,FALSE)</f>
        <v>1</v>
      </c>
      <c r="K124" s="5">
        <f>VLOOKUP(globalfreelancepreprocesseddata!A124,worksheet!A:P,14,FALSE)</f>
        <v>1</v>
      </c>
      <c r="L124" s="7">
        <f>VLOOKUP(globalfreelancepreprocesseddata!A124,worksheet!A:P,16,FALSE)</f>
        <v>0.64</v>
      </c>
    </row>
    <row r="125" spans="1:12" x14ac:dyDescent="0.35">
      <c r="A125" s="5" t="s">
        <v>325</v>
      </c>
      <c r="B125" s="5" t="str">
        <f>VLOOKUP(globalfreelancepreprocesseddata!A125,worksheet!A:P,3,FALSE)</f>
        <v>Debra Garcia</v>
      </c>
      <c r="C125" s="5" t="str">
        <f>VLOOKUP(globalfreelancepreprocesseddata!A125,worksheet!A:P,5,FALSE)</f>
        <v>Female</v>
      </c>
      <c r="D125" s="5">
        <f>VLOOKUP(globalfreelancepreprocesseddata!A125,worksheet!A:P,6,FALSE)</f>
        <v>27</v>
      </c>
      <c r="E125" s="5" t="str">
        <f>VLOOKUP(globalfreelancepreprocesseddata!A125,worksheet!A:P,7,FALSE)</f>
        <v>China</v>
      </c>
      <c r="F125" s="5" t="str">
        <f>VLOOKUP(globalfreelancepreprocesseddata!A125,worksheet!A:P,8,FALSE)</f>
        <v>Mandarin</v>
      </c>
      <c r="G125" s="5" t="str">
        <f>VLOOKUP(globalfreelancepreprocesseddata!A125,worksheet!A:P,9,FALSE)</f>
        <v>UI/UX Design</v>
      </c>
      <c r="H125" s="5">
        <f>VLOOKUP(globalfreelancepreprocesseddata!A125,worksheet!A:P,10,FALSE)</f>
        <v>8</v>
      </c>
      <c r="I125" s="6">
        <f>VLOOKUP(globalfreelancepreprocesseddata!A125,worksheet!A:P,12,FALSE)</f>
        <v>50</v>
      </c>
      <c r="J125" s="5">
        <f>VLOOKUP(globalfreelancepreprocesseddata!A125,worksheet!A:P,13,FALSE)</f>
        <v>0</v>
      </c>
      <c r="K125" s="5">
        <f>VLOOKUP(globalfreelancepreprocesseddata!A125,worksheet!A:P,14,FALSE)</f>
        <v>1</v>
      </c>
      <c r="L125" s="7">
        <f>VLOOKUP(globalfreelancepreprocesseddata!A125,worksheet!A:P,16,FALSE)</f>
        <v>0.16</v>
      </c>
    </row>
    <row r="126" spans="1:12" x14ac:dyDescent="0.35">
      <c r="A126" s="5" t="s">
        <v>327</v>
      </c>
      <c r="B126" s="5" t="str">
        <f>VLOOKUP(globalfreelancepreprocesseddata!A126,worksheet!A:P,3,FALSE)</f>
        <v>Andrew Fuentes</v>
      </c>
      <c r="C126" s="5" t="str">
        <f>VLOOKUP(globalfreelancepreprocesseddata!A126,worksheet!A:P,5,FALSE)</f>
        <v>Male</v>
      </c>
      <c r="D126" s="5">
        <f>VLOOKUP(globalfreelancepreprocesseddata!A126,worksheet!A:P,6,FALSE)</f>
        <v>34</v>
      </c>
      <c r="E126" s="5" t="str">
        <f>VLOOKUP(globalfreelancepreprocesseddata!A126,worksheet!A:P,7,FALSE)</f>
        <v>Australia</v>
      </c>
      <c r="F126" s="5" t="str">
        <f>VLOOKUP(globalfreelancepreprocesseddata!A126,worksheet!A:P,8,FALSE)</f>
        <v>English</v>
      </c>
      <c r="G126" s="5" t="str">
        <f>VLOOKUP(globalfreelancepreprocesseddata!A126,worksheet!A:P,9,FALSE)</f>
        <v>Web Development</v>
      </c>
      <c r="H126" s="5">
        <f>VLOOKUP(globalfreelancepreprocesseddata!A126,worksheet!A:P,10,FALSE)</f>
        <v>10</v>
      </c>
      <c r="I126" s="6">
        <f>VLOOKUP(globalfreelancepreprocesseddata!A126,worksheet!A:P,12,FALSE)</f>
        <v>40</v>
      </c>
      <c r="J126" s="5">
        <f>VLOOKUP(globalfreelancepreprocesseddata!A126,worksheet!A:P,13,FALSE)</f>
        <v>1.7</v>
      </c>
      <c r="K126" s="5">
        <f>VLOOKUP(globalfreelancepreprocesseddata!A126,worksheet!A:P,14,FALSE)</f>
        <v>0</v>
      </c>
      <c r="L126" s="7">
        <f>VLOOKUP(globalfreelancepreprocesseddata!A126,worksheet!A:P,16,FALSE)</f>
        <v>0.96</v>
      </c>
    </row>
    <row r="127" spans="1:12" x14ac:dyDescent="0.35">
      <c r="A127" s="5" t="s">
        <v>329</v>
      </c>
      <c r="B127" s="5" t="str">
        <f>VLOOKUP(globalfreelancepreprocesseddata!A127,worksheet!A:P,3,FALSE)</f>
        <v>Jason Carter</v>
      </c>
      <c r="C127" s="5" t="str">
        <f>VLOOKUP(globalfreelancepreprocesseddata!A127,worksheet!A:P,5,FALSE)</f>
        <v>Male</v>
      </c>
      <c r="D127" s="5">
        <f>VLOOKUP(globalfreelancepreprocesseddata!A127,worksheet!A:P,6,FALSE)</f>
        <v>49</v>
      </c>
      <c r="E127" s="5" t="str">
        <f>VLOOKUP(globalfreelancepreprocesseddata!A127,worksheet!A:P,7,FALSE)</f>
        <v>South Korea</v>
      </c>
      <c r="F127" s="5" t="str">
        <f>VLOOKUP(globalfreelancepreprocesseddata!A127,worksheet!A:P,8,FALSE)</f>
        <v>Korean</v>
      </c>
      <c r="G127" s="5" t="str">
        <f>VLOOKUP(globalfreelancepreprocesseddata!A127,worksheet!A:P,9,FALSE)</f>
        <v>Data Analysis</v>
      </c>
      <c r="H127" s="5">
        <f>VLOOKUP(globalfreelancepreprocesseddata!A127,worksheet!A:P,10,FALSE)</f>
        <v>19</v>
      </c>
      <c r="I127" s="6">
        <f>VLOOKUP(globalfreelancepreprocesseddata!A127,worksheet!A:P,12,FALSE)</f>
        <v>40</v>
      </c>
      <c r="J127" s="5">
        <f>VLOOKUP(globalfreelancepreprocesseddata!A127,worksheet!A:P,13,FALSE)</f>
        <v>5</v>
      </c>
      <c r="K127" s="5">
        <f>VLOOKUP(globalfreelancepreprocesseddata!A127,worksheet!A:P,14,FALSE)</f>
        <v>1</v>
      </c>
      <c r="L127" s="7">
        <f>VLOOKUP(globalfreelancepreprocesseddata!A127,worksheet!A:P,16,FALSE)</f>
        <v>0.83</v>
      </c>
    </row>
    <row r="128" spans="1:12" x14ac:dyDescent="0.35">
      <c r="A128" s="5" t="s">
        <v>331</v>
      </c>
      <c r="B128" s="5" t="str">
        <f>VLOOKUP(globalfreelancepreprocesseddata!A128,worksheet!A:P,3,FALSE)</f>
        <v>Austin Romero</v>
      </c>
      <c r="C128" s="5" t="str">
        <f>VLOOKUP(globalfreelancepreprocesseddata!A128,worksheet!A:P,5,FALSE)</f>
        <v>Male</v>
      </c>
      <c r="D128" s="5">
        <f>VLOOKUP(globalfreelancepreprocesseddata!A128,worksheet!A:P,6,FALSE)</f>
        <v>30</v>
      </c>
      <c r="E128" s="5" t="str">
        <f>VLOOKUP(globalfreelancepreprocesseddata!A128,worksheet!A:P,7,FALSE)</f>
        <v>Brazil</v>
      </c>
      <c r="F128" s="5" t="str">
        <f>VLOOKUP(globalfreelancepreprocesseddata!A128,worksheet!A:P,8,FALSE)</f>
        <v>Portuguese</v>
      </c>
      <c r="G128" s="5" t="str">
        <f>VLOOKUP(globalfreelancepreprocesseddata!A128,worksheet!A:P,9,FALSE)</f>
        <v>Mobile Apps</v>
      </c>
      <c r="H128" s="5">
        <f>VLOOKUP(globalfreelancepreprocesseddata!A128,worksheet!A:P,10,FALSE)</f>
        <v>10</v>
      </c>
      <c r="I128" s="6">
        <f>VLOOKUP(globalfreelancepreprocesseddata!A128,worksheet!A:P,12,FALSE)</f>
        <v>100</v>
      </c>
      <c r="J128" s="5">
        <f>VLOOKUP(globalfreelancepreprocesseddata!A128,worksheet!A:P,13,FALSE)</f>
        <v>1.7</v>
      </c>
      <c r="K128" s="5">
        <f>VLOOKUP(globalfreelancepreprocesseddata!A128,worksheet!A:P,14,FALSE)</f>
        <v>1</v>
      </c>
      <c r="L128" s="7">
        <f>VLOOKUP(globalfreelancepreprocesseddata!A128,worksheet!A:P,16,FALSE)</f>
        <v>0.64</v>
      </c>
    </row>
    <row r="129" spans="1:12" x14ac:dyDescent="0.35">
      <c r="A129" s="5" t="s">
        <v>333</v>
      </c>
      <c r="B129" s="5" t="str">
        <f>VLOOKUP(globalfreelancepreprocesseddata!A129,worksheet!A:P,3,FALSE)</f>
        <v>Clayton Burns</v>
      </c>
      <c r="C129" s="5" t="str">
        <f>VLOOKUP(globalfreelancepreprocesseddata!A129,worksheet!A:P,5,FALSE)</f>
        <v>Male</v>
      </c>
      <c r="D129" s="5">
        <f>VLOOKUP(globalfreelancepreprocesseddata!A129,worksheet!A:P,6,FALSE)</f>
        <v>31</v>
      </c>
      <c r="E129" s="5" t="str">
        <f>VLOOKUP(globalfreelancepreprocesseddata!A129,worksheet!A:P,7,FALSE)</f>
        <v>Egypt</v>
      </c>
      <c r="F129" s="5" t="str">
        <f>VLOOKUP(globalfreelancepreprocesseddata!A129,worksheet!A:P,8,FALSE)</f>
        <v>Arabic</v>
      </c>
      <c r="G129" s="5" t="str">
        <f>VLOOKUP(globalfreelancepreprocesseddata!A129,worksheet!A:P,9,FALSE)</f>
        <v>Graphic Design</v>
      </c>
      <c r="H129" s="5">
        <f>VLOOKUP(globalfreelancepreprocesseddata!A129,worksheet!A:P,10,FALSE)</f>
        <v>8</v>
      </c>
      <c r="I129" s="6">
        <f>VLOOKUP(globalfreelancepreprocesseddata!A129,worksheet!A:P,12,FALSE)</f>
        <v>40</v>
      </c>
      <c r="J129" s="5">
        <f>VLOOKUP(globalfreelancepreprocesseddata!A129,worksheet!A:P,13,FALSE)</f>
        <v>4.4000000000000004</v>
      </c>
      <c r="K129" s="5">
        <f>VLOOKUP(globalfreelancepreprocesseddata!A129,worksheet!A:P,14,FALSE)</f>
        <v>0</v>
      </c>
      <c r="L129" s="7">
        <f>VLOOKUP(globalfreelancepreprocesseddata!A129,worksheet!A:P,16,FALSE)</f>
        <v>0.7</v>
      </c>
    </row>
    <row r="130" spans="1:12" x14ac:dyDescent="0.35">
      <c r="A130" s="5" t="s">
        <v>335</v>
      </c>
      <c r="B130" s="5" t="str">
        <f>VLOOKUP(globalfreelancepreprocesseddata!A130,worksheet!A:P,3,FALSE)</f>
        <v>Jonathan Clark</v>
      </c>
      <c r="C130" s="5" t="str">
        <f>VLOOKUP(globalfreelancepreprocesseddata!A130,worksheet!A:P,5,FALSE)</f>
        <v>Male</v>
      </c>
      <c r="D130" s="5">
        <f>VLOOKUP(globalfreelancepreprocesseddata!A130,worksheet!A:P,6,FALSE)</f>
        <v>58</v>
      </c>
      <c r="E130" s="5" t="str">
        <f>VLOOKUP(globalfreelancepreprocesseddata!A130,worksheet!A:P,7,FALSE)</f>
        <v>China</v>
      </c>
      <c r="F130" s="5" t="str">
        <f>VLOOKUP(globalfreelancepreprocesseddata!A130,worksheet!A:P,8,FALSE)</f>
        <v>Mandarin</v>
      </c>
      <c r="G130" s="5" t="str">
        <f>VLOOKUP(globalfreelancepreprocesseddata!A130,worksheet!A:P,9,FALSE)</f>
        <v>Machine Learning</v>
      </c>
      <c r="H130" s="5">
        <f>VLOOKUP(globalfreelancepreprocesseddata!A130,worksheet!A:P,10,FALSE)</f>
        <v>9</v>
      </c>
      <c r="I130" s="6">
        <f>VLOOKUP(globalfreelancepreprocesseddata!A130,worksheet!A:P,12,FALSE)</f>
        <v>20</v>
      </c>
      <c r="J130" s="5">
        <f>VLOOKUP(globalfreelancepreprocesseddata!A130,worksheet!A:P,13,FALSE)</f>
        <v>0</v>
      </c>
      <c r="K130" s="5">
        <f>VLOOKUP(globalfreelancepreprocesseddata!A130,worksheet!A:P,14,FALSE)</f>
        <v>0</v>
      </c>
      <c r="L130" s="7">
        <f>VLOOKUP(globalfreelancepreprocesseddata!A130,worksheet!A:P,16,FALSE)</f>
        <v>0.65</v>
      </c>
    </row>
    <row r="131" spans="1:12" x14ac:dyDescent="0.35">
      <c r="A131" s="5" t="s">
        <v>337</v>
      </c>
      <c r="B131" s="5" t="str">
        <f>VLOOKUP(globalfreelancepreprocesseddata!A131,worksheet!A:P,3,FALSE)</f>
        <v>Alexander Griffin</v>
      </c>
      <c r="C131" s="5" t="str">
        <f>VLOOKUP(globalfreelancepreprocesseddata!A131,worksheet!A:P,5,FALSE)</f>
        <v>Male</v>
      </c>
      <c r="D131" s="5">
        <f>VLOOKUP(globalfreelancepreprocesseddata!A131,worksheet!A:P,6,FALSE)</f>
        <v>47</v>
      </c>
      <c r="E131" s="5" t="str">
        <f>VLOOKUP(globalfreelancepreprocesseddata!A131,worksheet!A:P,7,FALSE)</f>
        <v>France</v>
      </c>
      <c r="F131" s="5" t="str">
        <f>VLOOKUP(globalfreelancepreprocesseddata!A131,worksheet!A:P,8,FALSE)</f>
        <v>French</v>
      </c>
      <c r="G131" s="5" t="str">
        <f>VLOOKUP(globalfreelancepreprocesseddata!A131,worksheet!A:P,9,FALSE)</f>
        <v>Machine Learning</v>
      </c>
      <c r="H131" s="5">
        <f>VLOOKUP(globalfreelancepreprocesseddata!A131,worksheet!A:P,10,FALSE)</f>
        <v>13</v>
      </c>
      <c r="I131" s="6">
        <f>VLOOKUP(globalfreelancepreprocesseddata!A131,worksheet!A:P,12,FALSE)</f>
        <v>40</v>
      </c>
      <c r="J131" s="5">
        <f>VLOOKUP(globalfreelancepreprocesseddata!A131,worksheet!A:P,13,FALSE)</f>
        <v>3.4</v>
      </c>
      <c r="K131" s="5">
        <f>VLOOKUP(globalfreelancepreprocesseddata!A131,worksheet!A:P,14,FALSE)</f>
        <v>1</v>
      </c>
      <c r="L131" s="7">
        <f>VLOOKUP(globalfreelancepreprocesseddata!A131,worksheet!A:P,16,FALSE)</f>
        <v>0.67</v>
      </c>
    </row>
    <row r="132" spans="1:12" x14ac:dyDescent="0.35">
      <c r="A132" s="5" t="s">
        <v>339</v>
      </c>
      <c r="B132" s="5" t="str">
        <f>VLOOKUP(globalfreelancepreprocesseddata!A132,worksheet!A:P,3,FALSE)</f>
        <v>Shelly Whitehead</v>
      </c>
      <c r="C132" s="5" t="str">
        <f>VLOOKUP(globalfreelancepreprocesseddata!A132,worksheet!A:P,5,FALSE)</f>
        <v>Female</v>
      </c>
      <c r="D132" s="5">
        <f>VLOOKUP(globalfreelancepreprocesseddata!A132,worksheet!A:P,6,FALSE)</f>
        <v>45</v>
      </c>
      <c r="E132" s="5" t="str">
        <f>VLOOKUP(globalfreelancepreprocesseddata!A132,worksheet!A:P,7,FALSE)</f>
        <v>United Kingdom</v>
      </c>
      <c r="F132" s="5" t="str">
        <f>VLOOKUP(globalfreelancepreprocesseddata!A132,worksheet!A:P,8,FALSE)</f>
        <v>English</v>
      </c>
      <c r="G132" s="5" t="str">
        <f>VLOOKUP(globalfreelancepreprocesseddata!A132,worksheet!A:P,9,FALSE)</f>
        <v>Cybersecurity</v>
      </c>
      <c r="H132" s="5">
        <f>VLOOKUP(globalfreelancepreprocesseddata!A132,worksheet!A:P,10,FALSE)</f>
        <v>14</v>
      </c>
      <c r="I132" s="6" t="str">
        <f>VLOOKUP(globalfreelancepreprocesseddata!A132,worksheet!A:P,12,FALSE)</f>
        <v>$ 100</v>
      </c>
      <c r="J132" s="5">
        <f>VLOOKUP(globalfreelancepreprocesseddata!A132,worksheet!A:P,13,FALSE)</f>
        <v>1.1000000000000001</v>
      </c>
      <c r="K132" s="5">
        <f>VLOOKUP(globalfreelancepreprocesseddata!A132,worksheet!A:P,14,FALSE)</f>
        <v>1</v>
      </c>
      <c r="L132" s="7">
        <f>VLOOKUP(globalfreelancepreprocesseddata!A132,worksheet!A:P,16,FALSE)</f>
        <v>0.93</v>
      </c>
    </row>
    <row r="133" spans="1:12" x14ac:dyDescent="0.35">
      <c r="A133" s="5" t="s">
        <v>341</v>
      </c>
      <c r="B133" s="5" t="str">
        <f>VLOOKUP(globalfreelancepreprocesseddata!A133,worksheet!A:P,3,FALSE)</f>
        <v>Kaitlyn Davis</v>
      </c>
      <c r="C133" s="5" t="str">
        <f>VLOOKUP(globalfreelancepreprocesseddata!A133,worksheet!A:P,5,FALSE)</f>
        <v>Female</v>
      </c>
      <c r="D133" s="5">
        <f>VLOOKUP(globalfreelancepreprocesseddata!A133,worksheet!A:P,6,FALSE)</f>
        <v>57</v>
      </c>
      <c r="E133" s="5" t="str">
        <f>VLOOKUP(globalfreelancepreprocesseddata!A133,worksheet!A:P,7,FALSE)</f>
        <v>France</v>
      </c>
      <c r="F133" s="5" t="str">
        <f>VLOOKUP(globalfreelancepreprocesseddata!A133,worksheet!A:P,8,FALSE)</f>
        <v>French</v>
      </c>
      <c r="G133" s="5" t="str">
        <f>VLOOKUP(globalfreelancepreprocesseddata!A133,worksheet!A:P,9,FALSE)</f>
        <v>Machine Learning</v>
      </c>
      <c r="H133" s="5">
        <f>VLOOKUP(globalfreelancepreprocesseddata!A133,worksheet!A:P,10,FALSE)</f>
        <v>11</v>
      </c>
      <c r="I133" s="6">
        <f>VLOOKUP(globalfreelancepreprocesseddata!A133,worksheet!A:P,12,FALSE)</f>
        <v>50</v>
      </c>
      <c r="J133" s="5">
        <f>VLOOKUP(globalfreelancepreprocesseddata!A133,worksheet!A:P,13,FALSE)</f>
        <v>1.6</v>
      </c>
      <c r="K133" s="5">
        <f>VLOOKUP(globalfreelancepreprocesseddata!A133,worksheet!A:P,14,FALSE)</f>
        <v>0</v>
      </c>
      <c r="L133" s="7">
        <f>VLOOKUP(globalfreelancepreprocesseddata!A133,worksheet!A:P,16,FALSE)</f>
        <v>0.6</v>
      </c>
    </row>
    <row r="134" spans="1:12" x14ac:dyDescent="0.35">
      <c r="A134" s="5" t="s">
        <v>343</v>
      </c>
      <c r="B134" s="5" t="str">
        <f>VLOOKUP(globalfreelancepreprocesseddata!A134,worksheet!A:P,3,FALSE)</f>
        <v>Christopher Jones</v>
      </c>
      <c r="C134" s="5" t="str">
        <f>VLOOKUP(globalfreelancepreprocesseddata!A134,worksheet!A:P,5,FALSE)</f>
        <v>Male</v>
      </c>
      <c r="D134" s="5">
        <f>VLOOKUP(globalfreelancepreprocesseddata!A134,worksheet!A:P,6,FALSE)</f>
        <v>50</v>
      </c>
      <c r="E134" s="5" t="str">
        <f>VLOOKUP(globalfreelancepreprocesseddata!A134,worksheet!A:P,7,FALSE)</f>
        <v>India</v>
      </c>
      <c r="F134" s="5" t="str">
        <f>VLOOKUP(globalfreelancepreprocesseddata!A134,worksheet!A:P,8,FALSE)</f>
        <v>Hindi</v>
      </c>
      <c r="G134" s="5" t="str">
        <f>VLOOKUP(globalfreelancepreprocesseddata!A134,worksheet!A:P,9,FALSE)</f>
        <v>Web Development</v>
      </c>
      <c r="H134" s="5">
        <f>VLOOKUP(globalfreelancepreprocesseddata!A134,worksheet!A:P,10,FALSE)</f>
        <v>22</v>
      </c>
      <c r="I134" s="6">
        <f>VLOOKUP(globalfreelancepreprocesseddata!A134,worksheet!A:P,12,FALSE)</f>
        <v>100</v>
      </c>
      <c r="J134" s="5">
        <f>VLOOKUP(globalfreelancepreprocesseddata!A134,worksheet!A:P,13,FALSE)</f>
        <v>4.0999999999999996</v>
      </c>
      <c r="K134" s="5">
        <f>VLOOKUP(globalfreelancepreprocesseddata!A134,worksheet!A:P,14,FALSE)</f>
        <v>0</v>
      </c>
      <c r="L134" s="7">
        <f>VLOOKUP(globalfreelancepreprocesseddata!A134,worksheet!A:P,16,FALSE)</f>
        <v>0.62</v>
      </c>
    </row>
    <row r="135" spans="1:12" x14ac:dyDescent="0.35">
      <c r="A135" s="5" t="s">
        <v>345</v>
      </c>
      <c r="B135" s="5" t="str">
        <f>VLOOKUP(globalfreelancepreprocesseddata!A135,worksheet!A:P,3,FALSE)</f>
        <v>Cindy Jacobs</v>
      </c>
      <c r="C135" s="5" t="str">
        <f>VLOOKUP(globalfreelancepreprocesseddata!A135,worksheet!A:P,5,FALSE)</f>
        <v>Female</v>
      </c>
      <c r="D135" s="5">
        <f>VLOOKUP(globalfreelancepreprocesseddata!A135,worksheet!A:P,6,FALSE)</f>
        <v>41</v>
      </c>
      <c r="E135" s="5" t="str">
        <f>VLOOKUP(globalfreelancepreprocesseddata!A135,worksheet!A:P,7,FALSE)</f>
        <v>Brazil</v>
      </c>
      <c r="F135" s="5" t="str">
        <f>VLOOKUP(globalfreelancepreprocesseddata!A135,worksheet!A:P,8,FALSE)</f>
        <v>Portuguese</v>
      </c>
      <c r="G135" s="5" t="str">
        <f>VLOOKUP(globalfreelancepreprocesseddata!A135,worksheet!A:P,9,FALSE)</f>
        <v>Machine Learning</v>
      </c>
      <c r="H135" s="5">
        <f>VLOOKUP(globalfreelancepreprocesseddata!A135,worksheet!A:P,10,FALSE)</f>
        <v>4</v>
      </c>
      <c r="I135" s="6">
        <f>VLOOKUP(globalfreelancepreprocesseddata!A135,worksheet!A:P,12,FALSE)</f>
        <v>40</v>
      </c>
      <c r="J135" s="5">
        <f>VLOOKUP(globalfreelancepreprocesseddata!A135,worksheet!A:P,13,FALSE)</f>
        <v>2.5</v>
      </c>
      <c r="K135" s="5">
        <f>VLOOKUP(globalfreelancepreprocesseddata!A135,worksheet!A:P,14,FALSE)</f>
        <v>1</v>
      </c>
      <c r="L135" s="7">
        <f>VLOOKUP(globalfreelancepreprocesseddata!A135,worksheet!A:P,16,FALSE)</f>
        <v>0.7</v>
      </c>
    </row>
    <row r="136" spans="1:12" x14ac:dyDescent="0.35">
      <c r="A136" s="5" t="s">
        <v>347</v>
      </c>
      <c r="B136" s="5" t="str">
        <f>VLOOKUP(globalfreelancepreprocesseddata!A136,worksheet!A:P,3,FALSE)</f>
        <v>Penny Day</v>
      </c>
      <c r="C136" s="5" t="str">
        <f>VLOOKUP(globalfreelancepreprocesseddata!A136,worksheet!A:P,5,FALSE)</f>
        <v>Female</v>
      </c>
      <c r="D136" s="5">
        <f>VLOOKUP(globalfreelancepreprocesseddata!A136,worksheet!A:P,6,FALSE)</f>
        <v>45</v>
      </c>
      <c r="E136" s="5" t="str">
        <f>VLOOKUP(globalfreelancepreprocesseddata!A136,worksheet!A:P,7,FALSE)</f>
        <v>Indonesia</v>
      </c>
      <c r="F136" s="5" t="str">
        <f>VLOOKUP(globalfreelancepreprocesseddata!A136,worksheet!A:P,8,FALSE)</f>
        <v>Indonesian</v>
      </c>
      <c r="G136" s="5" t="str">
        <f>VLOOKUP(globalfreelancepreprocesseddata!A136,worksheet!A:P,9,FALSE)</f>
        <v>Blockchain Development</v>
      </c>
      <c r="H136" s="5">
        <f>VLOOKUP(globalfreelancepreprocesseddata!A136,worksheet!A:P,10,FALSE)</f>
        <v>22</v>
      </c>
      <c r="I136" s="6">
        <f>VLOOKUP(globalfreelancepreprocesseddata!A136,worksheet!A:P,12,FALSE)</f>
        <v>100</v>
      </c>
      <c r="J136" s="5">
        <f>VLOOKUP(globalfreelancepreprocesseddata!A136,worksheet!A:P,13,FALSE)</f>
        <v>4</v>
      </c>
      <c r="K136" s="5">
        <f>VLOOKUP(globalfreelancepreprocesseddata!A136,worksheet!A:P,14,FALSE)</f>
        <v>1</v>
      </c>
      <c r="L136" s="7">
        <f>VLOOKUP(globalfreelancepreprocesseddata!A136,worksheet!A:P,16,FALSE)</f>
        <v>0.75</v>
      </c>
    </row>
    <row r="137" spans="1:12" x14ac:dyDescent="0.35">
      <c r="A137" s="5" t="s">
        <v>349</v>
      </c>
      <c r="B137" s="5" t="str">
        <f>VLOOKUP(globalfreelancepreprocesseddata!A137,worksheet!A:P,3,FALSE)</f>
        <v>Thomas Ingram</v>
      </c>
      <c r="C137" s="5" t="str">
        <f>VLOOKUP(globalfreelancepreprocesseddata!A137,worksheet!A:P,5,FALSE)</f>
        <v>Male</v>
      </c>
      <c r="D137" s="5">
        <f>VLOOKUP(globalfreelancepreprocesseddata!A137,worksheet!A:P,6,FALSE)</f>
        <v>60</v>
      </c>
      <c r="E137" s="5" t="str">
        <f>VLOOKUP(globalfreelancepreprocesseddata!A137,worksheet!A:P,7,FALSE)</f>
        <v>South Africa</v>
      </c>
      <c r="F137" s="5" t="str">
        <f>VLOOKUP(globalfreelancepreprocesseddata!A137,worksheet!A:P,8,FALSE)</f>
        <v>Afrikaans</v>
      </c>
      <c r="G137" s="5" t="str">
        <f>VLOOKUP(globalfreelancepreprocesseddata!A137,worksheet!A:P,9,FALSE)</f>
        <v>Cybersecurity</v>
      </c>
      <c r="H137" s="5">
        <f>VLOOKUP(globalfreelancepreprocesseddata!A137,worksheet!A:P,10,FALSE)</f>
        <v>39</v>
      </c>
      <c r="I137" s="6">
        <f>VLOOKUP(globalfreelancepreprocesseddata!A137,worksheet!A:P,12,FALSE)</f>
        <v>75</v>
      </c>
      <c r="J137" s="5">
        <f>VLOOKUP(globalfreelancepreprocesseddata!A137,worksheet!A:P,13,FALSE)</f>
        <v>1.4</v>
      </c>
      <c r="K137" s="5">
        <f>VLOOKUP(globalfreelancepreprocesseddata!A137,worksheet!A:P,14,FALSE)</f>
        <v>1</v>
      </c>
      <c r="L137" s="7">
        <f>VLOOKUP(globalfreelancepreprocesseddata!A137,worksheet!A:P,16,FALSE)</f>
        <v>0.7</v>
      </c>
    </row>
    <row r="138" spans="1:12" x14ac:dyDescent="0.35">
      <c r="A138" s="5" t="s">
        <v>351</v>
      </c>
      <c r="B138" s="5" t="str">
        <f>VLOOKUP(globalfreelancepreprocesseddata!A138,worksheet!A:P,3,FALSE)</f>
        <v>Donna Hansen</v>
      </c>
      <c r="C138" s="5" t="str">
        <f>VLOOKUP(globalfreelancepreprocesseddata!A138,worksheet!A:P,5,FALSE)</f>
        <v>Female</v>
      </c>
      <c r="D138" s="5">
        <f>VLOOKUP(globalfreelancepreprocesseddata!A138,worksheet!A:P,6,FALSE)</f>
        <v>43</v>
      </c>
      <c r="E138" s="5" t="str">
        <f>VLOOKUP(globalfreelancepreprocesseddata!A138,worksheet!A:P,7,FALSE)</f>
        <v>United Kingdom</v>
      </c>
      <c r="F138" s="5" t="str">
        <f>VLOOKUP(globalfreelancepreprocesseddata!A138,worksheet!A:P,8,FALSE)</f>
        <v>English</v>
      </c>
      <c r="G138" s="5" t="str">
        <f>VLOOKUP(globalfreelancepreprocesseddata!A138,worksheet!A:P,9,FALSE)</f>
        <v>Cybersecurity</v>
      </c>
      <c r="H138" s="5">
        <f>VLOOKUP(globalfreelancepreprocesseddata!A138,worksheet!A:P,10,FALSE)</f>
        <v>5</v>
      </c>
      <c r="I138" s="6" t="str">
        <f>VLOOKUP(globalfreelancepreprocesseddata!A138,worksheet!A:P,12,FALSE)</f>
        <v>$ 50</v>
      </c>
      <c r="J138" s="5">
        <f>VLOOKUP(globalfreelancepreprocesseddata!A138,worksheet!A:P,13,FALSE)</f>
        <v>3</v>
      </c>
      <c r="K138" s="5">
        <f>VLOOKUP(globalfreelancepreprocesseddata!A138,worksheet!A:P,14,FALSE)</f>
        <v>1</v>
      </c>
      <c r="L138" s="7">
        <f>VLOOKUP(globalfreelancepreprocesseddata!A138,worksheet!A:P,16,FALSE)</f>
        <v>0.84</v>
      </c>
    </row>
    <row r="139" spans="1:12" x14ac:dyDescent="0.35">
      <c r="A139" s="5" t="s">
        <v>353</v>
      </c>
      <c r="B139" s="5" t="str">
        <f>VLOOKUP(globalfreelancepreprocesseddata!A139,worksheet!A:P,3,FALSE)</f>
        <v>Donna Bailey</v>
      </c>
      <c r="C139" s="5" t="str">
        <f>VLOOKUP(globalfreelancepreprocesseddata!A139,worksheet!A:P,5,FALSE)</f>
        <v>Female</v>
      </c>
      <c r="D139" s="5">
        <f>VLOOKUP(globalfreelancepreprocesseddata!A139,worksheet!A:P,6,FALSE)</f>
        <v>39</v>
      </c>
      <c r="E139" s="5" t="str">
        <f>VLOOKUP(globalfreelancepreprocesseddata!A139,worksheet!A:P,7,FALSE)</f>
        <v>France</v>
      </c>
      <c r="F139" s="5" t="str">
        <f>VLOOKUP(globalfreelancepreprocesseddata!A139,worksheet!A:P,8,FALSE)</f>
        <v>French</v>
      </c>
      <c r="G139" s="5" t="str">
        <f>VLOOKUP(globalfreelancepreprocesseddata!A139,worksheet!A:P,9,FALSE)</f>
        <v>Cybersecurity</v>
      </c>
      <c r="H139" s="5">
        <f>VLOOKUP(globalfreelancepreprocesseddata!A139,worksheet!A:P,10,FALSE)</f>
        <v>5</v>
      </c>
      <c r="I139" s="6" t="str">
        <f>VLOOKUP(globalfreelancepreprocesseddata!A139,worksheet!A:P,12,FALSE)</f>
        <v>$ 40</v>
      </c>
      <c r="J139" s="5">
        <f>VLOOKUP(globalfreelancepreprocesseddata!A139,worksheet!A:P,13,FALSE)</f>
        <v>1.2</v>
      </c>
      <c r="K139" s="5">
        <f>VLOOKUP(globalfreelancepreprocesseddata!A139,worksheet!A:P,14,FALSE)</f>
        <v>0</v>
      </c>
      <c r="L139" s="7">
        <f>VLOOKUP(globalfreelancepreprocesseddata!A139,worksheet!A:P,16,FALSE)</f>
        <v>0.83</v>
      </c>
    </row>
    <row r="140" spans="1:12" x14ac:dyDescent="0.35">
      <c r="A140" s="5" t="s">
        <v>355</v>
      </c>
      <c r="B140" s="5" t="str">
        <f>VLOOKUP(globalfreelancepreprocesseddata!A140,worksheet!A:P,3,FALSE)</f>
        <v>Joshua Armstrong</v>
      </c>
      <c r="C140" s="5" t="str">
        <f>VLOOKUP(globalfreelancepreprocesseddata!A140,worksheet!A:P,5,FALSE)</f>
        <v>Male</v>
      </c>
      <c r="D140" s="5">
        <f>VLOOKUP(globalfreelancepreprocesseddata!A140,worksheet!A:P,6,FALSE)</f>
        <v>26</v>
      </c>
      <c r="E140" s="5" t="str">
        <f>VLOOKUP(globalfreelancepreprocesseddata!A140,worksheet!A:P,7,FALSE)</f>
        <v>Mexico</v>
      </c>
      <c r="F140" s="5" t="str">
        <f>VLOOKUP(globalfreelancepreprocesseddata!A140,worksheet!A:P,8,FALSE)</f>
        <v>Spanish</v>
      </c>
      <c r="G140" s="5" t="str">
        <f>VLOOKUP(globalfreelancepreprocesseddata!A140,worksheet!A:P,9,FALSE)</f>
        <v>UI/UX Design</v>
      </c>
      <c r="H140" s="5">
        <f>VLOOKUP(globalfreelancepreprocesseddata!A140,worksheet!A:P,10,FALSE)</f>
        <v>5</v>
      </c>
      <c r="I140" s="6">
        <f>VLOOKUP(globalfreelancepreprocesseddata!A140,worksheet!A:P,12,FALSE)</f>
        <v>50</v>
      </c>
      <c r="J140" s="5">
        <f>VLOOKUP(globalfreelancepreprocesseddata!A140,worksheet!A:P,13,FALSE)</f>
        <v>0</v>
      </c>
      <c r="K140" s="5">
        <f>VLOOKUP(globalfreelancepreprocesseddata!A140,worksheet!A:P,14,FALSE)</f>
        <v>0</v>
      </c>
      <c r="L140" s="7">
        <f>VLOOKUP(globalfreelancepreprocesseddata!A140,worksheet!A:P,16,FALSE)</f>
        <v>0.16</v>
      </c>
    </row>
    <row r="141" spans="1:12" x14ac:dyDescent="0.35">
      <c r="A141" s="5" t="s">
        <v>357</v>
      </c>
      <c r="B141" s="5" t="str">
        <f>VLOOKUP(globalfreelancepreprocesseddata!A141,worksheet!A:P,3,FALSE)</f>
        <v>Jonathan Garza</v>
      </c>
      <c r="C141" s="5" t="str">
        <f>VLOOKUP(globalfreelancepreprocesseddata!A141,worksheet!A:P,5,FALSE)</f>
        <v>Male</v>
      </c>
      <c r="D141" s="5">
        <f>VLOOKUP(globalfreelancepreprocesseddata!A141,worksheet!A:P,6,FALSE)</f>
        <v>31</v>
      </c>
      <c r="E141" s="5" t="str">
        <f>VLOOKUP(globalfreelancepreprocesseddata!A141,worksheet!A:P,7,FALSE)</f>
        <v>Germany</v>
      </c>
      <c r="F141" s="5" t="str">
        <f>VLOOKUP(globalfreelancepreprocesseddata!A141,worksheet!A:P,8,FALSE)</f>
        <v>German</v>
      </c>
      <c r="G141" s="5" t="str">
        <f>VLOOKUP(globalfreelancepreprocesseddata!A141,worksheet!A:P,9,FALSE)</f>
        <v>Cybersecurity</v>
      </c>
      <c r="H141" s="5">
        <f>VLOOKUP(globalfreelancepreprocesseddata!A141,worksheet!A:P,10,FALSE)</f>
        <v>11</v>
      </c>
      <c r="I141" s="6">
        <f>VLOOKUP(globalfreelancepreprocesseddata!A141,worksheet!A:P,12,FALSE)</f>
        <v>50</v>
      </c>
      <c r="J141" s="5">
        <f>VLOOKUP(globalfreelancepreprocesseddata!A141,worksheet!A:P,13,FALSE)</f>
        <v>3.1</v>
      </c>
      <c r="K141" s="5">
        <f>VLOOKUP(globalfreelancepreprocesseddata!A141,worksheet!A:P,14,FALSE)</f>
        <v>0</v>
      </c>
      <c r="L141" s="7">
        <f>VLOOKUP(globalfreelancepreprocesseddata!A141,worksheet!A:P,16,FALSE)</f>
        <v>0.88</v>
      </c>
    </row>
    <row r="142" spans="1:12" x14ac:dyDescent="0.35">
      <c r="A142" s="5" t="s">
        <v>359</v>
      </c>
      <c r="B142" s="5" t="str">
        <f>VLOOKUP(globalfreelancepreprocesseddata!A142,worksheet!A:P,3,FALSE)</f>
        <v>Charles Jones</v>
      </c>
      <c r="C142" s="5" t="str">
        <f>VLOOKUP(globalfreelancepreprocesseddata!A142,worksheet!A:P,5,FALSE)</f>
        <v>Male</v>
      </c>
      <c r="D142" s="5">
        <f>VLOOKUP(globalfreelancepreprocesseddata!A142,worksheet!A:P,6,FALSE)</f>
        <v>52</v>
      </c>
      <c r="E142" s="5" t="str">
        <f>VLOOKUP(globalfreelancepreprocesseddata!A142,worksheet!A:P,7,FALSE)</f>
        <v>France</v>
      </c>
      <c r="F142" s="5" t="str">
        <f>VLOOKUP(globalfreelancepreprocesseddata!A142,worksheet!A:P,8,FALSE)</f>
        <v>French</v>
      </c>
      <c r="G142" s="5" t="str">
        <f>VLOOKUP(globalfreelancepreprocesseddata!A142,worksheet!A:P,9,FALSE)</f>
        <v>UI/UX Design</v>
      </c>
      <c r="H142" s="5">
        <f>VLOOKUP(globalfreelancepreprocesseddata!A142,worksheet!A:P,10,FALSE)</f>
        <v>15</v>
      </c>
      <c r="I142" s="6">
        <f>VLOOKUP(globalfreelancepreprocesseddata!A142,worksheet!A:P,12,FALSE)</f>
        <v>50</v>
      </c>
      <c r="J142" s="5">
        <f>VLOOKUP(globalfreelancepreprocesseddata!A142,worksheet!A:P,13,FALSE)</f>
        <v>0</v>
      </c>
      <c r="K142" s="5">
        <f>VLOOKUP(globalfreelancepreprocesseddata!A142,worksheet!A:P,14,FALSE)</f>
        <v>1</v>
      </c>
      <c r="L142" s="7">
        <f>VLOOKUP(globalfreelancepreprocesseddata!A142,worksheet!A:P,16,FALSE)</f>
        <v>0.81</v>
      </c>
    </row>
    <row r="143" spans="1:12" x14ac:dyDescent="0.35">
      <c r="A143" s="5" t="s">
        <v>361</v>
      </c>
      <c r="B143" s="5" t="str">
        <f>VLOOKUP(globalfreelancepreprocesseddata!A143,worksheet!A:P,3,FALSE)</f>
        <v>Lindsey Miles</v>
      </c>
      <c r="C143" s="5" t="str">
        <f>VLOOKUP(globalfreelancepreprocesseddata!A143,worksheet!A:P,5,FALSE)</f>
        <v>Female</v>
      </c>
      <c r="D143" s="5">
        <f>VLOOKUP(globalfreelancepreprocesseddata!A143,worksheet!A:P,6,FALSE)</f>
        <v>34</v>
      </c>
      <c r="E143" s="5" t="str">
        <f>VLOOKUP(globalfreelancepreprocesseddata!A143,worksheet!A:P,7,FALSE)</f>
        <v>India</v>
      </c>
      <c r="F143" s="5" t="str">
        <f>VLOOKUP(globalfreelancepreprocesseddata!A143,worksheet!A:P,8,FALSE)</f>
        <v>Hindi</v>
      </c>
      <c r="G143" s="5" t="str">
        <f>VLOOKUP(globalfreelancepreprocesseddata!A143,worksheet!A:P,9,FALSE)</f>
        <v>Data Analysis</v>
      </c>
      <c r="H143" s="5">
        <f>VLOOKUP(globalfreelancepreprocesseddata!A143,worksheet!A:P,10,FALSE)</f>
        <v>5</v>
      </c>
      <c r="I143" s="6" t="str">
        <f>VLOOKUP(globalfreelancepreprocesseddata!A143,worksheet!A:P,12,FALSE)</f>
        <v>$ 20</v>
      </c>
      <c r="J143" s="5">
        <f>VLOOKUP(globalfreelancepreprocesseddata!A143,worksheet!A:P,13,FALSE)</f>
        <v>2.2000000000000002</v>
      </c>
      <c r="K143" s="5">
        <f>VLOOKUP(globalfreelancepreprocesseddata!A143,worksheet!A:P,14,FALSE)</f>
        <v>1</v>
      </c>
      <c r="L143" s="7">
        <f>VLOOKUP(globalfreelancepreprocesseddata!A143,worksheet!A:P,16,FALSE)</f>
        <v>0.8</v>
      </c>
    </row>
    <row r="144" spans="1:12" x14ac:dyDescent="0.35">
      <c r="A144" s="5" t="s">
        <v>363</v>
      </c>
      <c r="B144" s="5" t="str">
        <f>VLOOKUP(globalfreelancepreprocesseddata!A144,worksheet!A:P,3,FALSE)</f>
        <v>Eduardo Reed</v>
      </c>
      <c r="C144" s="5" t="str">
        <f>VLOOKUP(globalfreelancepreprocesseddata!A144,worksheet!A:P,5,FALSE)</f>
        <v>Male</v>
      </c>
      <c r="D144" s="5">
        <f>VLOOKUP(globalfreelancepreprocesseddata!A144,worksheet!A:P,6,FALSE)</f>
        <v>45</v>
      </c>
      <c r="E144" s="5" t="str">
        <f>VLOOKUP(globalfreelancepreprocesseddata!A144,worksheet!A:P,7,FALSE)</f>
        <v>United Kingdom</v>
      </c>
      <c r="F144" s="5" t="str">
        <f>VLOOKUP(globalfreelancepreprocesseddata!A144,worksheet!A:P,8,FALSE)</f>
        <v>English</v>
      </c>
      <c r="G144" s="5" t="str">
        <f>VLOOKUP(globalfreelancepreprocesseddata!A144,worksheet!A:P,9,FALSE)</f>
        <v>Web Development</v>
      </c>
      <c r="H144" s="5">
        <f>VLOOKUP(globalfreelancepreprocesseddata!A144,worksheet!A:P,10,FALSE)</f>
        <v>7</v>
      </c>
      <c r="I144" s="6">
        <f>VLOOKUP(globalfreelancepreprocesseddata!A144,worksheet!A:P,12,FALSE)</f>
        <v>75</v>
      </c>
      <c r="J144" s="5">
        <f>VLOOKUP(globalfreelancepreprocesseddata!A144,worksheet!A:P,13,FALSE)</f>
        <v>3</v>
      </c>
      <c r="K144" s="5">
        <f>VLOOKUP(globalfreelancepreprocesseddata!A144,worksheet!A:P,14,FALSE)</f>
        <v>1</v>
      </c>
      <c r="L144" s="7">
        <f>VLOOKUP(globalfreelancepreprocesseddata!A144,worksheet!A:P,16,FALSE)</f>
        <v>0.67</v>
      </c>
    </row>
    <row r="145" spans="1:12" x14ac:dyDescent="0.35">
      <c r="A145" s="5" t="s">
        <v>365</v>
      </c>
      <c r="B145" s="5" t="str">
        <f>VLOOKUP(globalfreelancepreprocesseddata!A145,worksheet!A:P,3,FALSE)</f>
        <v>Lee Fowler</v>
      </c>
      <c r="C145" s="5" t="str">
        <f>VLOOKUP(globalfreelancepreprocesseddata!A145,worksheet!A:P,5,FALSE)</f>
        <v>Male</v>
      </c>
      <c r="D145" s="5">
        <f>VLOOKUP(globalfreelancepreprocesseddata!A145,worksheet!A:P,6,FALSE)</f>
        <v>46</v>
      </c>
      <c r="E145" s="5" t="str">
        <f>VLOOKUP(globalfreelancepreprocesseddata!A145,worksheet!A:P,7,FALSE)</f>
        <v>United Kingdom</v>
      </c>
      <c r="F145" s="5" t="str">
        <f>VLOOKUP(globalfreelancepreprocesseddata!A145,worksheet!A:P,8,FALSE)</f>
        <v>English</v>
      </c>
      <c r="G145" s="5" t="str">
        <f>VLOOKUP(globalfreelancepreprocesseddata!A145,worksheet!A:P,9,FALSE)</f>
        <v>Cybersecurity</v>
      </c>
      <c r="H145" s="5">
        <f>VLOOKUP(globalfreelancepreprocesseddata!A145,worksheet!A:P,10,FALSE)</f>
        <v>9</v>
      </c>
      <c r="I145" s="6">
        <f>VLOOKUP(globalfreelancepreprocesseddata!A145,worksheet!A:P,12,FALSE)</f>
        <v>20</v>
      </c>
      <c r="J145" s="5">
        <f>VLOOKUP(globalfreelancepreprocesseddata!A145,worksheet!A:P,13,FALSE)</f>
        <v>0</v>
      </c>
      <c r="K145" s="5">
        <f>VLOOKUP(globalfreelancepreprocesseddata!A145,worksheet!A:P,14,FALSE)</f>
        <v>0</v>
      </c>
      <c r="L145" s="7">
        <f>VLOOKUP(globalfreelancepreprocesseddata!A145,worksheet!A:P,16,FALSE)</f>
        <v>0.82</v>
      </c>
    </row>
    <row r="146" spans="1:12" x14ac:dyDescent="0.35">
      <c r="A146" s="5" t="s">
        <v>367</v>
      </c>
      <c r="B146" s="5" t="str">
        <f>VLOOKUP(globalfreelancepreprocesseddata!A146,worksheet!A:P,3,FALSE)</f>
        <v>Steven Jones Jr.</v>
      </c>
      <c r="C146" s="5" t="str">
        <f>VLOOKUP(globalfreelancepreprocesseddata!A146,worksheet!A:P,5,FALSE)</f>
        <v>Male</v>
      </c>
      <c r="D146" s="5">
        <f>VLOOKUP(globalfreelancepreprocesseddata!A146,worksheet!A:P,6,FALSE)</f>
        <v>56</v>
      </c>
      <c r="E146" s="5" t="str">
        <f>VLOOKUP(globalfreelancepreprocesseddata!A146,worksheet!A:P,7,FALSE)</f>
        <v>France</v>
      </c>
      <c r="F146" s="5" t="str">
        <f>VLOOKUP(globalfreelancepreprocesseddata!A146,worksheet!A:P,8,FALSE)</f>
        <v>French</v>
      </c>
      <c r="G146" s="5" t="str">
        <f>VLOOKUP(globalfreelancepreprocesseddata!A146,worksheet!A:P,9,FALSE)</f>
        <v>UI/UX Design</v>
      </c>
      <c r="H146" s="5">
        <f>VLOOKUP(globalfreelancepreprocesseddata!A146,worksheet!A:P,10,FALSE)</f>
        <v>21</v>
      </c>
      <c r="I146" s="6" t="str">
        <f>VLOOKUP(globalfreelancepreprocesseddata!A146,worksheet!A:P,12,FALSE)</f>
        <v>$ 100</v>
      </c>
      <c r="J146" s="5">
        <f>VLOOKUP(globalfreelancepreprocesseddata!A146,worksheet!A:P,13,FALSE)</f>
        <v>0</v>
      </c>
      <c r="K146" s="5">
        <f>VLOOKUP(globalfreelancepreprocesseddata!A146,worksheet!A:P,14,FALSE)</f>
        <v>1</v>
      </c>
      <c r="L146" s="7">
        <f>VLOOKUP(globalfreelancepreprocesseddata!A146,worksheet!A:P,16,FALSE)</f>
        <v>0.78</v>
      </c>
    </row>
    <row r="147" spans="1:12" x14ac:dyDescent="0.35">
      <c r="A147" s="5" t="s">
        <v>369</v>
      </c>
      <c r="B147" s="5" t="str">
        <f>VLOOKUP(globalfreelancepreprocesseddata!A147,worksheet!A:P,3,FALSE)</f>
        <v>Ashley Chen</v>
      </c>
      <c r="C147" s="5" t="str">
        <f>VLOOKUP(globalfreelancepreprocesseddata!A147,worksheet!A:P,5,FALSE)</f>
        <v>Female</v>
      </c>
      <c r="D147" s="5">
        <f>VLOOKUP(globalfreelancepreprocesseddata!A147,worksheet!A:P,6,FALSE)</f>
        <v>59</v>
      </c>
      <c r="E147" s="5" t="str">
        <f>VLOOKUP(globalfreelancepreprocesseddata!A147,worksheet!A:P,7,FALSE)</f>
        <v>Germany</v>
      </c>
      <c r="F147" s="5" t="str">
        <f>VLOOKUP(globalfreelancepreprocesseddata!A147,worksheet!A:P,8,FALSE)</f>
        <v>German</v>
      </c>
      <c r="G147" s="5" t="str">
        <f>VLOOKUP(globalfreelancepreprocesseddata!A147,worksheet!A:P,9,FALSE)</f>
        <v>AI</v>
      </c>
      <c r="H147" s="5">
        <f>VLOOKUP(globalfreelancepreprocesseddata!A147,worksheet!A:P,10,FALSE)</f>
        <v>7</v>
      </c>
      <c r="I147" s="6">
        <f>VLOOKUP(globalfreelancepreprocesseddata!A147,worksheet!A:P,12,FALSE)</f>
        <v>40</v>
      </c>
      <c r="J147" s="5">
        <f>VLOOKUP(globalfreelancepreprocesseddata!A147,worksheet!A:P,13,FALSE)</f>
        <v>1.4</v>
      </c>
      <c r="K147" s="5">
        <f>VLOOKUP(globalfreelancepreprocesseddata!A147,worksheet!A:P,14,FALSE)</f>
        <v>0</v>
      </c>
      <c r="L147" s="7">
        <f>VLOOKUP(globalfreelancepreprocesseddata!A147,worksheet!A:P,16,FALSE)</f>
        <v>0.81</v>
      </c>
    </row>
    <row r="148" spans="1:12" x14ac:dyDescent="0.35">
      <c r="A148" s="5" t="s">
        <v>371</v>
      </c>
      <c r="B148" s="5" t="str">
        <f>VLOOKUP(globalfreelancepreprocesseddata!A148,worksheet!A:P,3,FALSE)</f>
        <v>Erica Davis</v>
      </c>
      <c r="C148" s="5" t="str">
        <f>VLOOKUP(globalfreelancepreprocesseddata!A148,worksheet!A:P,5,FALSE)</f>
        <v>Female</v>
      </c>
      <c r="D148" s="5">
        <f>VLOOKUP(globalfreelancepreprocesseddata!A148,worksheet!A:P,6,FALSE)</f>
        <v>54</v>
      </c>
      <c r="E148" s="5" t="str">
        <f>VLOOKUP(globalfreelancepreprocesseddata!A148,worksheet!A:P,7,FALSE)</f>
        <v>Egypt</v>
      </c>
      <c r="F148" s="5" t="str">
        <f>VLOOKUP(globalfreelancepreprocesseddata!A148,worksheet!A:P,8,FALSE)</f>
        <v>Arabic</v>
      </c>
      <c r="G148" s="5" t="str">
        <f>VLOOKUP(globalfreelancepreprocesseddata!A148,worksheet!A:P,9,FALSE)</f>
        <v>Blockchain Development</v>
      </c>
      <c r="H148" s="5">
        <f>VLOOKUP(globalfreelancepreprocesseddata!A148,worksheet!A:P,10,FALSE)</f>
        <v>4</v>
      </c>
      <c r="I148" s="6">
        <f>VLOOKUP(globalfreelancepreprocesseddata!A148,worksheet!A:P,12,FALSE)</f>
        <v>40</v>
      </c>
      <c r="J148" s="5">
        <f>VLOOKUP(globalfreelancepreprocesseddata!A148,worksheet!A:P,13,FALSE)</f>
        <v>1.4</v>
      </c>
      <c r="K148" s="5">
        <f>VLOOKUP(globalfreelancepreprocesseddata!A148,worksheet!A:P,14,FALSE)</f>
        <v>1</v>
      </c>
      <c r="L148" s="7">
        <f>VLOOKUP(globalfreelancepreprocesseddata!A148,worksheet!A:P,16,FALSE)</f>
        <v>0.74</v>
      </c>
    </row>
    <row r="149" spans="1:12" x14ac:dyDescent="0.35">
      <c r="A149" s="5" t="s">
        <v>373</v>
      </c>
      <c r="B149" s="5" t="str">
        <f>VLOOKUP(globalfreelancepreprocesseddata!A149,worksheet!A:P,3,FALSE)</f>
        <v>Wayne Gonzales</v>
      </c>
      <c r="C149" s="5" t="str">
        <f>VLOOKUP(globalfreelancepreprocesseddata!A149,worksheet!A:P,5,FALSE)</f>
        <v>Male</v>
      </c>
      <c r="D149" s="5">
        <f>VLOOKUP(globalfreelancepreprocesseddata!A149,worksheet!A:P,6,FALSE)</f>
        <v>36</v>
      </c>
      <c r="E149" s="5" t="str">
        <f>VLOOKUP(globalfreelancepreprocesseddata!A149,worksheet!A:P,7,FALSE)</f>
        <v>Germany</v>
      </c>
      <c r="F149" s="5" t="str">
        <f>VLOOKUP(globalfreelancepreprocesseddata!A149,worksheet!A:P,8,FALSE)</f>
        <v>German</v>
      </c>
      <c r="G149" s="5" t="str">
        <f>VLOOKUP(globalfreelancepreprocesseddata!A149,worksheet!A:P,9,FALSE)</f>
        <v>UI/UX Design</v>
      </c>
      <c r="H149" s="5">
        <f>VLOOKUP(globalfreelancepreprocesseddata!A149,worksheet!A:P,10,FALSE)</f>
        <v>7</v>
      </c>
      <c r="I149" s="6">
        <f>VLOOKUP(globalfreelancepreprocesseddata!A149,worksheet!A:P,12,FALSE)</f>
        <v>30</v>
      </c>
      <c r="J149" s="5">
        <f>VLOOKUP(globalfreelancepreprocesseddata!A149,worksheet!A:P,13,FALSE)</f>
        <v>0</v>
      </c>
      <c r="K149" s="5">
        <f>VLOOKUP(globalfreelancepreprocesseddata!A149,worksheet!A:P,14,FALSE)</f>
        <v>0</v>
      </c>
      <c r="L149" s="7">
        <f>VLOOKUP(globalfreelancepreprocesseddata!A149,worksheet!A:P,16,FALSE)</f>
        <v>0.88</v>
      </c>
    </row>
    <row r="150" spans="1:12" x14ac:dyDescent="0.35">
      <c r="A150" s="5" t="s">
        <v>375</v>
      </c>
      <c r="B150" s="5" t="str">
        <f>VLOOKUP(globalfreelancepreprocesseddata!A150,worksheet!A:P,3,FALSE)</f>
        <v>Gary Ballard</v>
      </c>
      <c r="C150" s="5" t="str">
        <f>VLOOKUP(globalfreelancepreprocesseddata!A150,worksheet!A:P,5,FALSE)</f>
        <v>Male</v>
      </c>
      <c r="D150" s="5">
        <f>VLOOKUP(globalfreelancepreprocesseddata!A150,worksheet!A:P,6,FALSE)</f>
        <v>25</v>
      </c>
      <c r="E150" s="5" t="str">
        <f>VLOOKUP(globalfreelancepreprocesseddata!A150,worksheet!A:P,7,FALSE)</f>
        <v>Mexico</v>
      </c>
      <c r="F150" s="5" t="str">
        <f>VLOOKUP(globalfreelancepreprocesseddata!A150,worksheet!A:P,8,FALSE)</f>
        <v>Spanish</v>
      </c>
      <c r="G150" s="5" t="str">
        <f>VLOOKUP(globalfreelancepreprocesseddata!A150,worksheet!A:P,9,FALSE)</f>
        <v>Data Analysis</v>
      </c>
      <c r="H150" s="5">
        <f>VLOOKUP(globalfreelancepreprocesseddata!A150,worksheet!A:P,10,FALSE)</f>
        <v>11</v>
      </c>
      <c r="I150" s="6">
        <f>VLOOKUP(globalfreelancepreprocesseddata!A150,worksheet!A:P,12,FALSE)</f>
        <v>40</v>
      </c>
      <c r="J150" s="5">
        <f>VLOOKUP(globalfreelancepreprocesseddata!A150,worksheet!A:P,13,FALSE)</f>
        <v>0</v>
      </c>
      <c r="K150" s="5">
        <f>VLOOKUP(globalfreelancepreprocesseddata!A150,worksheet!A:P,14,FALSE)</f>
        <v>0</v>
      </c>
      <c r="L150" s="7">
        <f>VLOOKUP(globalfreelancepreprocesseddata!A150,worksheet!A:P,16,FALSE)</f>
        <v>0.9</v>
      </c>
    </row>
    <row r="151" spans="1:12" x14ac:dyDescent="0.35">
      <c r="A151" s="5" t="s">
        <v>377</v>
      </c>
      <c r="B151" s="5" t="str">
        <f>VLOOKUP(globalfreelancepreprocesseddata!A151,worksheet!A:P,3,FALSE)</f>
        <v>Maria Mcguire</v>
      </c>
      <c r="C151" s="5" t="str">
        <f>VLOOKUP(globalfreelancepreprocesseddata!A151,worksheet!A:P,5,FALSE)</f>
        <v>Female</v>
      </c>
      <c r="D151" s="5">
        <f>VLOOKUP(globalfreelancepreprocesseddata!A151,worksheet!A:P,6,FALSE)</f>
        <v>37</v>
      </c>
      <c r="E151" s="5" t="str">
        <f>VLOOKUP(globalfreelancepreprocesseddata!A151,worksheet!A:P,7,FALSE)</f>
        <v>Russia</v>
      </c>
      <c r="F151" s="5" t="str">
        <f>VLOOKUP(globalfreelancepreprocesseddata!A151,worksheet!A:P,8,FALSE)</f>
        <v>Russian</v>
      </c>
      <c r="G151" s="5" t="str">
        <f>VLOOKUP(globalfreelancepreprocesseddata!A151,worksheet!A:P,9,FALSE)</f>
        <v>Data Analysis</v>
      </c>
      <c r="H151" s="5">
        <f>VLOOKUP(globalfreelancepreprocesseddata!A151,worksheet!A:P,10,FALSE)</f>
        <v>15</v>
      </c>
      <c r="I151" s="6">
        <f>VLOOKUP(globalfreelancepreprocesseddata!A151,worksheet!A:P,12,FALSE)</f>
        <v>40</v>
      </c>
      <c r="J151" s="5">
        <f>VLOOKUP(globalfreelancepreprocesseddata!A151,worksheet!A:P,13,FALSE)</f>
        <v>2.9</v>
      </c>
      <c r="K151" s="5">
        <f>VLOOKUP(globalfreelancepreprocesseddata!A151,worksheet!A:P,14,FALSE)</f>
        <v>0</v>
      </c>
      <c r="L151" s="7">
        <f>VLOOKUP(globalfreelancepreprocesseddata!A151,worksheet!A:P,16,FALSE)</f>
        <v>0.16</v>
      </c>
    </row>
    <row r="152" spans="1:12" x14ac:dyDescent="0.35">
      <c r="A152" s="5" t="s">
        <v>379</v>
      </c>
      <c r="B152" s="5" t="str">
        <f>VLOOKUP(globalfreelancepreprocesseddata!A152,worksheet!A:P,3,FALSE)</f>
        <v>Matthew Richards</v>
      </c>
      <c r="C152" s="5" t="str">
        <f>VLOOKUP(globalfreelancepreprocesseddata!A152,worksheet!A:P,5,FALSE)</f>
        <v>Male</v>
      </c>
      <c r="D152" s="5">
        <f>VLOOKUP(globalfreelancepreprocesseddata!A152,worksheet!A:P,6,FALSE)</f>
        <v>41</v>
      </c>
      <c r="E152" s="5" t="str">
        <f>VLOOKUP(globalfreelancepreprocesseddata!A152,worksheet!A:P,7,FALSE)</f>
        <v>Turkey</v>
      </c>
      <c r="F152" s="5" t="str">
        <f>VLOOKUP(globalfreelancepreprocesseddata!A152,worksheet!A:P,8,FALSE)</f>
        <v>Turkish</v>
      </c>
      <c r="G152" s="5" t="str">
        <f>VLOOKUP(globalfreelancepreprocesseddata!A152,worksheet!A:P,9,FALSE)</f>
        <v>Data Analysis</v>
      </c>
      <c r="H152" s="5">
        <f>VLOOKUP(globalfreelancepreprocesseddata!A152,worksheet!A:P,10,FALSE)</f>
        <v>10</v>
      </c>
      <c r="I152" s="6" t="str">
        <f>VLOOKUP(globalfreelancepreprocesseddata!A152,worksheet!A:P,12,FALSE)</f>
        <v>$ 40</v>
      </c>
      <c r="J152" s="5">
        <f>VLOOKUP(globalfreelancepreprocesseddata!A152,worksheet!A:P,13,FALSE)</f>
        <v>0</v>
      </c>
      <c r="K152" s="5">
        <f>VLOOKUP(globalfreelancepreprocesseddata!A152,worksheet!A:P,14,FALSE)</f>
        <v>1</v>
      </c>
      <c r="L152" s="7">
        <f>VLOOKUP(globalfreelancepreprocesseddata!A152,worksheet!A:P,16,FALSE)</f>
        <v>0.16</v>
      </c>
    </row>
    <row r="153" spans="1:12" x14ac:dyDescent="0.35">
      <c r="A153" s="5" t="s">
        <v>381</v>
      </c>
      <c r="B153" s="5" t="str">
        <f>VLOOKUP(globalfreelancepreprocesseddata!A153,worksheet!A:P,3,FALSE)</f>
        <v>Patrick Malone</v>
      </c>
      <c r="C153" s="5" t="str">
        <f>VLOOKUP(globalfreelancepreprocesseddata!A153,worksheet!A:P,5,FALSE)</f>
        <v>Male</v>
      </c>
      <c r="D153" s="5">
        <f>VLOOKUP(globalfreelancepreprocesseddata!A153,worksheet!A:P,6,FALSE)</f>
        <v>29</v>
      </c>
      <c r="E153" s="5" t="str">
        <f>VLOOKUP(globalfreelancepreprocesseddata!A153,worksheet!A:P,7,FALSE)</f>
        <v>Spain</v>
      </c>
      <c r="F153" s="5" t="str">
        <f>VLOOKUP(globalfreelancepreprocesseddata!A153,worksheet!A:P,8,FALSE)</f>
        <v>Spanish</v>
      </c>
      <c r="G153" s="5" t="str">
        <f>VLOOKUP(globalfreelancepreprocesseddata!A153,worksheet!A:P,9,FALSE)</f>
        <v>Data Analysis</v>
      </c>
      <c r="H153" s="5">
        <f>VLOOKUP(globalfreelancepreprocesseddata!A153,worksheet!A:P,10,FALSE)</f>
        <v>11</v>
      </c>
      <c r="I153" s="6">
        <f>VLOOKUP(globalfreelancepreprocesseddata!A153,worksheet!A:P,12,FALSE)</f>
        <v>20</v>
      </c>
      <c r="J153" s="5">
        <f>VLOOKUP(globalfreelancepreprocesseddata!A153,worksheet!A:P,13,FALSE)</f>
        <v>2.7</v>
      </c>
      <c r="K153" s="5">
        <f>VLOOKUP(globalfreelancepreprocesseddata!A153,worksheet!A:P,14,FALSE)</f>
        <v>1</v>
      </c>
      <c r="L153" s="7">
        <f>VLOOKUP(globalfreelancepreprocesseddata!A153,worksheet!A:P,16,FALSE)</f>
        <v>0.93</v>
      </c>
    </row>
    <row r="154" spans="1:12" x14ac:dyDescent="0.35">
      <c r="A154" s="5" t="s">
        <v>383</v>
      </c>
      <c r="B154" s="5" t="str">
        <f>VLOOKUP(globalfreelancepreprocesseddata!A154,worksheet!A:P,3,FALSE)</f>
        <v>Cindy Martin</v>
      </c>
      <c r="C154" s="5" t="str">
        <f>VLOOKUP(globalfreelancepreprocesseddata!A154,worksheet!A:P,5,FALSE)</f>
        <v>Female</v>
      </c>
      <c r="D154" s="5">
        <f>VLOOKUP(globalfreelancepreprocesseddata!A154,worksheet!A:P,6,FALSE)</f>
        <v>55</v>
      </c>
      <c r="E154" s="5" t="str">
        <f>VLOOKUP(globalfreelancepreprocesseddata!A154,worksheet!A:P,7,FALSE)</f>
        <v>Argentina</v>
      </c>
      <c r="F154" s="5" t="str">
        <f>VLOOKUP(globalfreelancepreprocesseddata!A154,worksheet!A:P,8,FALSE)</f>
        <v>Spanish</v>
      </c>
      <c r="G154" s="5" t="str">
        <f>VLOOKUP(globalfreelancepreprocesseddata!A154,worksheet!A:P,9,FALSE)</f>
        <v>Mobile Apps</v>
      </c>
      <c r="H154" s="5">
        <f>VLOOKUP(globalfreelancepreprocesseddata!A154,worksheet!A:P,10,FALSE)</f>
        <v>12</v>
      </c>
      <c r="I154" s="6">
        <f>VLOOKUP(globalfreelancepreprocesseddata!A154,worksheet!A:P,12,FALSE)</f>
        <v>100</v>
      </c>
      <c r="J154" s="5">
        <f>VLOOKUP(globalfreelancepreprocesseddata!A154,worksheet!A:P,13,FALSE)</f>
        <v>1.8</v>
      </c>
      <c r="K154" s="5">
        <f>VLOOKUP(globalfreelancepreprocesseddata!A154,worksheet!A:P,14,FALSE)</f>
        <v>1</v>
      </c>
      <c r="L154" s="7">
        <f>VLOOKUP(globalfreelancepreprocesseddata!A154,worksheet!A:P,16,FALSE)</f>
        <v>0.16</v>
      </c>
    </row>
    <row r="155" spans="1:12" x14ac:dyDescent="0.35">
      <c r="A155" s="5" t="s">
        <v>385</v>
      </c>
      <c r="B155" s="5" t="str">
        <f>VLOOKUP(globalfreelancepreprocesseddata!A155,worksheet!A:P,3,FALSE)</f>
        <v>Anne Edwards</v>
      </c>
      <c r="C155" s="5" t="str">
        <f>VLOOKUP(globalfreelancepreprocesseddata!A155,worksheet!A:P,5,FALSE)</f>
        <v>Female</v>
      </c>
      <c r="D155" s="5">
        <f>VLOOKUP(globalfreelancepreprocesseddata!A155,worksheet!A:P,6,FALSE)</f>
        <v>38</v>
      </c>
      <c r="E155" s="5" t="str">
        <f>VLOOKUP(globalfreelancepreprocesseddata!A155,worksheet!A:P,7,FALSE)</f>
        <v>Japan</v>
      </c>
      <c r="F155" s="5" t="str">
        <f>VLOOKUP(globalfreelancepreprocesseddata!A155,worksheet!A:P,8,FALSE)</f>
        <v>Japanese</v>
      </c>
      <c r="G155" s="5" t="str">
        <f>VLOOKUP(globalfreelancepreprocesseddata!A155,worksheet!A:P,9,FALSE)</f>
        <v>DevOps</v>
      </c>
      <c r="H155" s="5">
        <f>VLOOKUP(globalfreelancepreprocesseddata!A155,worksheet!A:P,10,FALSE)</f>
        <v>20</v>
      </c>
      <c r="I155" s="6">
        <f>VLOOKUP(globalfreelancepreprocesseddata!A155,worksheet!A:P,12,FALSE)</f>
        <v>75</v>
      </c>
      <c r="J155" s="5">
        <f>VLOOKUP(globalfreelancepreprocesseddata!A155,worksheet!A:P,13,FALSE)</f>
        <v>1.1000000000000001</v>
      </c>
      <c r="K155" s="5">
        <f>VLOOKUP(globalfreelancepreprocesseddata!A155,worksheet!A:P,14,FALSE)</f>
        <v>1</v>
      </c>
      <c r="L155" s="7">
        <f>VLOOKUP(globalfreelancepreprocesseddata!A155,worksheet!A:P,16,FALSE)</f>
        <v>0.71</v>
      </c>
    </row>
    <row r="156" spans="1:12" x14ac:dyDescent="0.35">
      <c r="A156" s="5" t="s">
        <v>387</v>
      </c>
      <c r="B156" s="5" t="str">
        <f>VLOOKUP(globalfreelancepreprocesseddata!A156,worksheet!A:P,3,FALSE)</f>
        <v>Mitchell Martin</v>
      </c>
      <c r="C156" s="5" t="str">
        <f>VLOOKUP(globalfreelancepreprocesseddata!A156,worksheet!A:P,5,FALSE)</f>
        <v>Male</v>
      </c>
      <c r="D156" s="5">
        <f>VLOOKUP(globalfreelancepreprocesseddata!A156,worksheet!A:P,6,FALSE)</f>
        <v>47</v>
      </c>
      <c r="E156" s="5" t="str">
        <f>VLOOKUP(globalfreelancepreprocesseddata!A156,worksheet!A:P,7,FALSE)</f>
        <v>South Korea</v>
      </c>
      <c r="F156" s="5" t="str">
        <f>VLOOKUP(globalfreelancepreprocesseddata!A156,worksheet!A:P,8,FALSE)</f>
        <v>Korean</v>
      </c>
      <c r="G156" s="5" t="str">
        <f>VLOOKUP(globalfreelancepreprocesseddata!A156,worksheet!A:P,9,FALSE)</f>
        <v>DevOps</v>
      </c>
      <c r="H156" s="5">
        <f>VLOOKUP(globalfreelancepreprocesseddata!A156,worksheet!A:P,10,FALSE)</f>
        <v>29</v>
      </c>
      <c r="I156" s="6">
        <f>VLOOKUP(globalfreelancepreprocesseddata!A156,worksheet!A:P,12,FALSE)</f>
        <v>40</v>
      </c>
      <c r="J156" s="5">
        <f>VLOOKUP(globalfreelancepreprocesseddata!A156,worksheet!A:P,13,FALSE)</f>
        <v>4.3</v>
      </c>
      <c r="K156" s="5">
        <f>VLOOKUP(globalfreelancepreprocesseddata!A156,worksheet!A:P,14,FALSE)</f>
        <v>1</v>
      </c>
      <c r="L156" s="7">
        <f>VLOOKUP(globalfreelancepreprocesseddata!A156,worksheet!A:P,16,FALSE)</f>
        <v>0.95</v>
      </c>
    </row>
    <row r="157" spans="1:12" x14ac:dyDescent="0.35">
      <c r="A157" s="5" t="s">
        <v>389</v>
      </c>
      <c r="B157" s="5" t="str">
        <f>VLOOKUP(globalfreelancepreprocesseddata!A157,worksheet!A:P,3,FALSE)</f>
        <v>Mitchell Patrick</v>
      </c>
      <c r="C157" s="5" t="str">
        <f>VLOOKUP(globalfreelancepreprocesseddata!A157,worksheet!A:P,5,FALSE)</f>
        <v>Male</v>
      </c>
      <c r="D157" s="5">
        <f>VLOOKUP(globalfreelancepreprocesseddata!A157,worksheet!A:P,6,FALSE)</f>
        <v>60</v>
      </c>
      <c r="E157" s="5" t="str">
        <f>VLOOKUP(globalfreelancepreprocesseddata!A157,worksheet!A:P,7,FALSE)</f>
        <v>Brazil</v>
      </c>
      <c r="F157" s="5" t="str">
        <f>VLOOKUP(globalfreelancepreprocesseddata!A157,worksheet!A:P,8,FALSE)</f>
        <v>Portuguese</v>
      </c>
      <c r="G157" s="5" t="str">
        <f>VLOOKUP(globalfreelancepreprocesseddata!A157,worksheet!A:P,9,FALSE)</f>
        <v>Web Development</v>
      </c>
      <c r="H157" s="5">
        <f>VLOOKUP(globalfreelancepreprocesseddata!A157,worksheet!A:P,10,FALSE)</f>
        <v>15</v>
      </c>
      <c r="I157" s="6">
        <f>VLOOKUP(globalfreelancepreprocesseddata!A157,worksheet!A:P,12,FALSE)</f>
        <v>100</v>
      </c>
      <c r="J157" s="5">
        <f>VLOOKUP(globalfreelancepreprocesseddata!A157,worksheet!A:P,13,FALSE)</f>
        <v>1.5</v>
      </c>
      <c r="K157" s="5">
        <f>VLOOKUP(globalfreelancepreprocesseddata!A157,worksheet!A:P,14,FALSE)</f>
        <v>0</v>
      </c>
      <c r="L157" s="7">
        <f>VLOOKUP(globalfreelancepreprocesseddata!A157,worksheet!A:P,16,FALSE)</f>
        <v>0.8</v>
      </c>
    </row>
    <row r="158" spans="1:12" x14ac:dyDescent="0.35">
      <c r="A158" s="5" t="s">
        <v>391</v>
      </c>
      <c r="B158" s="5" t="str">
        <f>VLOOKUP(globalfreelancepreprocesseddata!A158,worksheet!A:P,3,FALSE)</f>
        <v>Rebecca Lyons</v>
      </c>
      <c r="C158" s="5" t="str">
        <f>VLOOKUP(globalfreelancepreprocesseddata!A158,worksheet!A:P,5,FALSE)</f>
        <v>Female</v>
      </c>
      <c r="D158" s="5">
        <f>VLOOKUP(globalfreelancepreprocesseddata!A158,worksheet!A:P,6,FALSE)</f>
        <v>43</v>
      </c>
      <c r="E158" s="5" t="str">
        <f>VLOOKUP(globalfreelancepreprocesseddata!A158,worksheet!A:P,7,FALSE)</f>
        <v>Italy</v>
      </c>
      <c r="F158" s="5" t="str">
        <f>VLOOKUP(globalfreelancepreprocesseddata!A158,worksheet!A:P,8,FALSE)</f>
        <v>Italian</v>
      </c>
      <c r="G158" s="5" t="str">
        <f>VLOOKUP(globalfreelancepreprocesseddata!A158,worksheet!A:P,9,FALSE)</f>
        <v>Data Analysis</v>
      </c>
      <c r="H158" s="5">
        <f>VLOOKUP(globalfreelancepreprocesseddata!A158,worksheet!A:P,10,FALSE)</f>
        <v>9</v>
      </c>
      <c r="I158" s="6">
        <f>VLOOKUP(globalfreelancepreprocesseddata!A158,worksheet!A:P,12,FALSE)</f>
        <v>20</v>
      </c>
      <c r="J158" s="5">
        <f>VLOOKUP(globalfreelancepreprocesseddata!A158,worksheet!A:P,13,FALSE)</f>
        <v>2.2000000000000002</v>
      </c>
      <c r="K158" s="5">
        <f>VLOOKUP(globalfreelancepreprocesseddata!A158,worksheet!A:P,14,FALSE)</f>
        <v>0</v>
      </c>
      <c r="L158" s="7">
        <f>VLOOKUP(globalfreelancepreprocesseddata!A158,worksheet!A:P,16,FALSE)</f>
        <v>0.16</v>
      </c>
    </row>
    <row r="159" spans="1:12" x14ac:dyDescent="0.35">
      <c r="A159" s="5" t="s">
        <v>393</v>
      </c>
      <c r="B159" s="5" t="str">
        <f>VLOOKUP(globalfreelancepreprocesseddata!A159,worksheet!A:P,3,FALSE)</f>
        <v>Christian Lopez</v>
      </c>
      <c r="C159" s="5" t="str">
        <f>VLOOKUP(globalfreelancepreprocesseddata!A159,worksheet!A:P,5,FALSE)</f>
        <v>Male</v>
      </c>
      <c r="D159" s="5">
        <f>VLOOKUP(globalfreelancepreprocesseddata!A159,worksheet!A:P,6,FALSE)</f>
        <v>56</v>
      </c>
      <c r="E159" s="5" t="str">
        <f>VLOOKUP(globalfreelancepreprocesseddata!A159,worksheet!A:P,7,FALSE)</f>
        <v>South Africa</v>
      </c>
      <c r="F159" s="5" t="str">
        <f>VLOOKUP(globalfreelancepreprocesseddata!A159,worksheet!A:P,8,FALSE)</f>
        <v>Afrikaans</v>
      </c>
      <c r="G159" s="5" t="str">
        <f>VLOOKUP(globalfreelancepreprocesseddata!A159,worksheet!A:P,9,FALSE)</f>
        <v>Data Analysis</v>
      </c>
      <c r="H159" s="5">
        <f>VLOOKUP(globalfreelancepreprocesseddata!A159,worksheet!A:P,10,FALSE)</f>
        <v>11</v>
      </c>
      <c r="I159" s="6">
        <f>VLOOKUP(globalfreelancepreprocesseddata!A159,worksheet!A:P,12,FALSE)</f>
        <v>100</v>
      </c>
      <c r="J159" s="5">
        <f>VLOOKUP(globalfreelancepreprocesseddata!A159,worksheet!A:P,13,FALSE)</f>
        <v>3.2</v>
      </c>
      <c r="K159" s="5">
        <f>VLOOKUP(globalfreelancepreprocesseddata!A159,worksheet!A:P,14,FALSE)</f>
        <v>0</v>
      </c>
      <c r="L159" s="7">
        <f>VLOOKUP(globalfreelancepreprocesseddata!A159,worksheet!A:P,16,FALSE)</f>
        <v>0.62</v>
      </c>
    </row>
    <row r="160" spans="1:12" x14ac:dyDescent="0.35">
      <c r="A160" s="5" t="s">
        <v>395</v>
      </c>
      <c r="B160" s="5" t="str">
        <f>VLOOKUP(globalfreelancepreprocesseddata!A160,worksheet!A:P,3,FALSE)</f>
        <v>Nathan Blair</v>
      </c>
      <c r="C160" s="5" t="str">
        <f>VLOOKUP(globalfreelancepreprocesseddata!A160,worksheet!A:P,5,FALSE)</f>
        <v>Male</v>
      </c>
      <c r="D160" s="5">
        <f>VLOOKUP(globalfreelancepreprocesseddata!A160,worksheet!A:P,6,FALSE)</f>
        <v>42</v>
      </c>
      <c r="E160" s="5" t="str">
        <f>VLOOKUP(globalfreelancepreprocesseddata!A160,worksheet!A:P,7,FALSE)</f>
        <v>Russia</v>
      </c>
      <c r="F160" s="5" t="str">
        <f>VLOOKUP(globalfreelancepreprocesseddata!A160,worksheet!A:P,8,FALSE)</f>
        <v>Russian</v>
      </c>
      <c r="G160" s="5" t="str">
        <f>VLOOKUP(globalfreelancepreprocesseddata!A160,worksheet!A:P,9,FALSE)</f>
        <v>DevOps</v>
      </c>
      <c r="H160" s="5">
        <f>VLOOKUP(globalfreelancepreprocesseddata!A160,worksheet!A:P,10,FALSE)</f>
        <v>2</v>
      </c>
      <c r="I160" s="6">
        <f>VLOOKUP(globalfreelancepreprocesseddata!A160,worksheet!A:P,12,FALSE)</f>
        <v>50</v>
      </c>
      <c r="J160" s="5">
        <f>VLOOKUP(globalfreelancepreprocesseddata!A160,worksheet!A:P,13,FALSE)</f>
        <v>1.9</v>
      </c>
      <c r="K160" s="5">
        <f>VLOOKUP(globalfreelancepreprocesseddata!A160,worksheet!A:P,14,FALSE)</f>
        <v>0</v>
      </c>
      <c r="L160" s="7">
        <f>VLOOKUP(globalfreelancepreprocesseddata!A160,worksheet!A:P,16,FALSE)</f>
        <v>0.95</v>
      </c>
    </row>
    <row r="161" spans="1:12" x14ac:dyDescent="0.35">
      <c r="A161" s="5" t="s">
        <v>397</v>
      </c>
      <c r="B161" s="5" t="str">
        <f>VLOOKUP(globalfreelancepreprocesseddata!A161,worksheet!A:P,3,FALSE)</f>
        <v>Patricia Lopez</v>
      </c>
      <c r="C161" s="5" t="str">
        <f>VLOOKUP(globalfreelancepreprocesseddata!A161,worksheet!A:P,5,FALSE)</f>
        <v>Female</v>
      </c>
      <c r="D161" s="5">
        <f>VLOOKUP(globalfreelancepreprocesseddata!A161,worksheet!A:P,6,FALSE)</f>
        <v>20</v>
      </c>
      <c r="E161" s="5" t="str">
        <f>VLOOKUP(globalfreelancepreprocesseddata!A161,worksheet!A:P,7,FALSE)</f>
        <v>Spain</v>
      </c>
      <c r="F161" s="5" t="str">
        <f>VLOOKUP(globalfreelancepreprocesseddata!A161,worksheet!A:P,8,FALSE)</f>
        <v>Spanish</v>
      </c>
      <c r="G161" s="5" t="str">
        <f>VLOOKUP(globalfreelancepreprocesseddata!A161,worksheet!A:P,9,FALSE)</f>
        <v>Graphic Design</v>
      </c>
      <c r="H161" s="5">
        <f>VLOOKUP(globalfreelancepreprocesseddata!A161,worksheet!A:P,10,FALSE)</f>
        <v>11</v>
      </c>
      <c r="I161" s="6">
        <f>VLOOKUP(globalfreelancepreprocesseddata!A161,worksheet!A:P,12,FALSE)</f>
        <v>40</v>
      </c>
      <c r="J161" s="5">
        <f>VLOOKUP(globalfreelancepreprocesseddata!A161,worksheet!A:P,13,FALSE)</f>
        <v>2.5</v>
      </c>
      <c r="K161" s="5">
        <f>VLOOKUP(globalfreelancepreprocesseddata!A161,worksheet!A:P,14,FALSE)</f>
        <v>0</v>
      </c>
      <c r="L161" s="7">
        <f>VLOOKUP(globalfreelancepreprocesseddata!A161,worksheet!A:P,16,FALSE)</f>
        <v>0.79</v>
      </c>
    </row>
    <row r="162" spans="1:12" x14ac:dyDescent="0.35">
      <c r="A162" s="5" t="s">
        <v>399</v>
      </c>
      <c r="B162" s="5" t="str">
        <f>VLOOKUP(globalfreelancepreprocesseddata!A162,worksheet!A:P,3,FALSE)</f>
        <v>Michelle Wu</v>
      </c>
      <c r="C162" s="5" t="str">
        <f>VLOOKUP(globalfreelancepreprocesseddata!A162,worksheet!A:P,5,FALSE)</f>
        <v>Female</v>
      </c>
      <c r="D162" s="5">
        <f>VLOOKUP(globalfreelancepreprocesseddata!A162,worksheet!A:P,6,FALSE)</f>
        <v>47</v>
      </c>
      <c r="E162" s="5" t="str">
        <f>VLOOKUP(globalfreelancepreprocesseddata!A162,worksheet!A:P,7,FALSE)</f>
        <v>Indonesia</v>
      </c>
      <c r="F162" s="5" t="str">
        <f>VLOOKUP(globalfreelancepreprocesseddata!A162,worksheet!A:P,8,FALSE)</f>
        <v>Indonesian</v>
      </c>
      <c r="G162" s="5" t="str">
        <f>VLOOKUP(globalfreelancepreprocesseddata!A162,worksheet!A:P,9,FALSE)</f>
        <v>UI/UX Design</v>
      </c>
      <c r="H162" s="5">
        <f>VLOOKUP(globalfreelancepreprocesseddata!A162,worksheet!A:P,10,FALSE)</f>
        <v>12</v>
      </c>
      <c r="I162" s="6">
        <f>VLOOKUP(globalfreelancepreprocesseddata!A162,worksheet!A:P,12,FALSE)</f>
        <v>40</v>
      </c>
      <c r="J162" s="5">
        <f>VLOOKUP(globalfreelancepreprocesseddata!A162,worksheet!A:P,13,FALSE)</f>
        <v>4.5</v>
      </c>
      <c r="K162" s="5">
        <f>VLOOKUP(globalfreelancepreprocesseddata!A162,worksheet!A:P,14,FALSE)</f>
        <v>1</v>
      </c>
      <c r="L162" s="7">
        <f>VLOOKUP(globalfreelancepreprocesseddata!A162,worksheet!A:P,16,FALSE)</f>
        <v>0.62</v>
      </c>
    </row>
    <row r="163" spans="1:12" x14ac:dyDescent="0.35">
      <c r="A163" s="5" t="s">
        <v>401</v>
      </c>
      <c r="B163" s="5" t="str">
        <f>VLOOKUP(globalfreelancepreprocesseddata!A163,worksheet!A:P,3,FALSE)</f>
        <v>Donald Mitchell</v>
      </c>
      <c r="C163" s="5" t="str">
        <f>VLOOKUP(globalfreelancepreprocesseddata!A163,worksheet!A:P,5,FALSE)</f>
        <v>Male</v>
      </c>
      <c r="D163" s="5">
        <f>VLOOKUP(globalfreelancepreprocesseddata!A163,worksheet!A:P,6,FALSE)</f>
        <v>41</v>
      </c>
      <c r="E163" s="5" t="str">
        <f>VLOOKUP(globalfreelancepreprocesseddata!A163,worksheet!A:P,7,FALSE)</f>
        <v>Argentina</v>
      </c>
      <c r="F163" s="5" t="str">
        <f>VLOOKUP(globalfreelancepreprocesseddata!A163,worksheet!A:P,8,FALSE)</f>
        <v>Spanish</v>
      </c>
      <c r="G163" s="5" t="str">
        <f>VLOOKUP(globalfreelancepreprocesseddata!A163,worksheet!A:P,9,FALSE)</f>
        <v>Data Analysis</v>
      </c>
      <c r="H163" s="5">
        <f>VLOOKUP(globalfreelancepreprocesseddata!A163,worksheet!A:P,10,FALSE)</f>
        <v>12</v>
      </c>
      <c r="I163" s="6">
        <f>VLOOKUP(globalfreelancepreprocesseddata!A163,worksheet!A:P,12,FALSE)</f>
        <v>30</v>
      </c>
      <c r="J163" s="5">
        <f>VLOOKUP(globalfreelancepreprocesseddata!A163,worksheet!A:P,13,FALSE)</f>
        <v>4.0999999999999996</v>
      </c>
      <c r="K163" s="5">
        <f>VLOOKUP(globalfreelancepreprocesseddata!A163,worksheet!A:P,14,FALSE)</f>
        <v>1</v>
      </c>
      <c r="L163" s="7">
        <f>VLOOKUP(globalfreelancepreprocesseddata!A163,worksheet!A:P,16,FALSE)</f>
        <v>0.68</v>
      </c>
    </row>
    <row r="164" spans="1:12" x14ac:dyDescent="0.35">
      <c r="A164" s="5" t="s">
        <v>403</v>
      </c>
      <c r="B164" s="5" t="str">
        <f>VLOOKUP(globalfreelancepreprocesseddata!A164,worksheet!A:P,3,FALSE)</f>
        <v>Sean Gordon</v>
      </c>
      <c r="C164" s="5" t="str">
        <f>VLOOKUP(globalfreelancepreprocesseddata!A164,worksheet!A:P,5,FALSE)</f>
        <v>Male</v>
      </c>
      <c r="D164" s="5">
        <f>VLOOKUP(globalfreelancepreprocesseddata!A164,worksheet!A:P,6,FALSE)</f>
        <v>56</v>
      </c>
      <c r="E164" s="5" t="str">
        <f>VLOOKUP(globalfreelancepreprocesseddata!A164,worksheet!A:P,7,FALSE)</f>
        <v>Indonesia</v>
      </c>
      <c r="F164" s="5" t="str">
        <f>VLOOKUP(globalfreelancepreprocesseddata!A164,worksheet!A:P,8,FALSE)</f>
        <v>Indonesian</v>
      </c>
      <c r="G164" s="5" t="str">
        <f>VLOOKUP(globalfreelancepreprocesseddata!A164,worksheet!A:P,9,FALSE)</f>
        <v>DevOps</v>
      </c>
      <c r="H164" s="5">
        <f>VLOOKUP(globalfreelancepreprocesseddata!A164,worksheet!A:P,10,FALSE)</f>
        <v>15</v>
      </c>
      <c r="I164" s="6" t="str">
        <f>VLOOKUP(globalfreelancepreprocesseddata!A164,worksheet!A:P,12,FALSE)</f>
        <v>$ 75</v>
      </c>
      <c r="J164" s="5">
        <f>VLOOKUP(globalfreelancepreprocesseddata!A164,worksheet!A:P,13,FALSE)</f>
        <v>0</v>
      </c>
      <c r="K164" s="5">
        <f>VLOOKUP(globalfreelancepreprocesseddata!A164,worksheet!A:P,14,FALSE)</f>
        <v>1</v>
      </c>
      <c r="L164" s="7">
        <f>VLOOKUP(globalfreelancepreprocesseddata!A164,worksheet!A:P,16,FALSE)</f>
        <v>0.16</v>
      </c>
    </row>
    <row r="165" spans="1:12" x14ac:dyDescent="0.35">
      <c r="A165" s="5" t="s">
        <v>405</v>
      </c>
      <c r="B165" s="5" t="str">
        <f>VLOOKUP(globalfreelancepreprocesseddata!A165,worksheet!A:P,3,FALSE)</f>
        <v>Gregory Clarke</v>
      </c>
      <c r="C165" s="5" t="str">
        <f>VLOOKUP(globalfreelancepreprocesseddata!A165,worksheet!A:P,5,FALSE)</f>
        <v>Male</v>
      </c>
      <c r="D165" s="5">
        <f>VLOOKUP(globalfreelancepreprocesseddata!A165,worksheet!A:P,6,FALSE)</f>
        <v>59</v>
      </c>
      <c r="E165" s="5" t="str">
        <f>VLOOKUP(globalfreelancepreprocesseddata!A165,worksheet!A:P,7,FALSE)</f>
        <v>United Kingdom</v>
      </c>
      <c r="F165" s="5" t="str">
        <f>VLOOKUP(globalfreelancepreprocesseddata!A165,worksheet!A:P,8,FALSE)</f>
        <v>English</v>
      </c>
      <c r="G165" s="5" t="str">
        <f>VLOOKUP(globalfreelancepreprocesseddata!A165,worksheet!A:P,9,FALSE)</f>
        <v>DevOps</v>
      </c>
      <c r="H165" s="5">
        <f>VLOOKUP(globalfreelancepreprocesseddata!A165,worksheet!A:P,10,FALSE)</f>
        <v>29</v>
      </c>
      <c r="I165" s="6" t="str">
        <f>VLOOKUP(globalfreelancepreprocesseddata!A165,worksheet!A:P,12,FALSE)</f>
        <v>$ 75</v>
      </c>
      <c r="J165" s="5">
        <f>VLOOKUP(globalfreelancepreprocesseddata!A165,worksheet!A:P,13,FALSE)</f>
        <v>3</v>
      </c>
      <c r="K165" s="5">
        <f>VLOOKUP(globalfreelancepreprocesseddata!A165,worksheet!A:P,14,FALSE)</f>
        <v>0</v>
      </c>
      <c r="L165" s="7">
        <f>VLOOKUP(globalfreelancepreprocesseddata!A165,worksheet!A:P,16,FALSE)</f>
        <v>0.8</v>
      </c>
    </row>
    <row r="166" spans="1:12" x14ac:dyDescent="0.35">
      <c r="A166" s="5" t="s">
        <v>407</v>
      </c>
      <c r="B166" s="5" t="str">
        <f>VLOOKUP(globalfreelancepreprocesseddata!A166,worksheet!A:P,3,FALSE)</f>
        <v>Steven Whitney</v>
      </c>
      <c r="C166" s="5" t="str">
        <f>VLOOKUP(globalfreelancepreprocesseddata!A166,worksheet!A:P,5,FALSE)</f>
        <v>Male</v>
      </c>
      <c r="D166" s="5">
        <f>VLOOKUP(globalfreelancepreprocesseddata!A166,worksheet!A:P,6,FALSE)</f>
        <v>56</v>
      </c>
      <c r="E166" s="5" t="str">
        <f>VLOOKUP(globalfreelancepreprocesseddata!A166,worksheet!A:P,7,FALSE)</f>
        <v>Japan</v>
      </c>
      <c r="F166" s="5" t="str">
        <f>VLOOKUP(globalfreelancepreprocesseddata!A166,worksheet!A:P,8,FALSE)</f>
        <v>Japanese</v>
      </c>
      <c r="G166" s="5" t="str">
        <f>VLOOKUP(globalfreelancepreprocesseddata!A166,worksheet!A:P,9,FALSE)</f>
        <v>Cybersecurity</v>
      </c>
      <c r="H166" s="5">
        <f>VLOOKUP(globalfreelancepreprocesseddata!A166,worksheet!A:P,10,FALSE)</f>
        <v>15</v>
      </c>
      <c r="I166" s="6">
        <f>VLOOKUP(globalfreelancepreprocesseddata!A166,worksheet!A:P,12,FALSE)</f>
        <v>40</v>
      </c>
      <c r="J166" s="5">
        <f>VLOOKUP(globalfreelancepreprocesseddata!A166,worksheet!A:P,13,FALSE)</f>
        <v>3.7</v>
      </c>
      <c r="K166" s="5">
        <f>VLOOKUP(globalfreelancepreprocesseddata!A166,worksheet!A:P,14,FALSE)</f>
        <v>1</v>
      </c>
      <c r="L166" s="7">
        <f>VLOOKUP(globalfreelancepreprocesseddata!A166,worksheet!A:P,16,FALSE)</f>
        <v>0.92</v>
      </c>
    </row>
    <row r="167" spans="1:12" x14ac:dyDescent="0.35">
      <c r="A167" s="5" t="s">
        <v>409</v>
      </c>
      <c r="B167" s="5" t="str">
        <f>VLOOKUP(globalfreelancepreprocesseddata!A167,worksheet!A:P,3,FALSE)</f>
        <v>Robin Acosta</v>
      </c>
      <c r="C167" s="5" t="str">
        <f>VLOOKUP(globalfreelancepreprocesseddata!A167,worksheet!A:P,5,FALSE)</f>
        <v>Female</v>
      </c>
      <c r="D167" s="5">
        <f>VLOOKUP(globalfreelancepreprocesseddata!A167,worksheet!A:P,6,FALSE)</f>
        <v>31</v>
      </c>
      <c r="E167" s="5" t="str">
        <f>VLOOKUP(globalfreelancepreprocesseddata!A167,worksheet!A:P,7,FALSE)</f>
        <v>South Africa</v>
      </c>
      <c r="F167" s="5" t="str">
        <f>VLOOKUP(globalfreelancepreprocesseddata!A167,worksheet!A:P,8,FALSE)</f>
        <v>Afrikaans</v>
      </c>
      <c r="G167" s="5" t="str">
        <f>VLOOKUP(globalfreelancepreprocesseddata!A167,worksheet!A:P,9,FALSE)</f>
        <v>Web Development</v>
      </c>
      <c r="H167" s="5">
        <f>VLOOKUP(globalfreelancepreprocesseddata!A167,worksheet!A:P,10,FALSE)</f>
        <v>11</v>
      </c>
      <c r="I167" s="6" t="str">
        <f>VLOOKUP(globalfreelancepreprocesseddata!A167,worksheet!A:P,12,FALSE)</f>
        <v>$ 75</v>
      </c>
      <c r="J167" s="5">
        <f>VLOOKUP(globalfreelancepreprocesseddata!A167,worksheet!A:P,13,FALSE)</f>
        <v>1.3</v>
      </c>
      <c r="K167" s="5">
        <f>VLOOKUP(globalfreelancepreprocesseddata!A167,worksheet!A:P,14,FALSE)</f>
        <v>1</v>
      </c>
      <c r="L167" s="7">
        <f>VLOOKUP(globalfreelancepreprocesseddata!A167,worksheet!A:P,16,FALSE)</f>
        <v>0.65</v>
      </c>
    </row>
    <row r="168" spans="1:12" x14ac:dyDescent="0.35">
      <c r="A168" s="5" t="s">
        <v>411</v>
      </c>
      <c r="B168" s="5" t="str">
        <f>VLOOKUP(globalfreelancepreprocesseddata!A168,worksheet!A:P,3,FALSE)</f>
        <v>John Smith</v>
      </c>
      <c r="C168" s="5" t="str">
        <f>VLOOKUP(globalfreelancepreprocesseddata!A168,worksheet!A:P,5,FALSE)</f>
        <v>Male</v>
      </c>
      <c r="D168" s="5">
        <f>VLOOKUP(globalfreelancepreprocesseddata!A168,worksheet!A:P,6,FALSE)</f>
        <v>60</v>
      </c>
      <c r="E168" s="5" t="str">
        <f>VLOOKUP(globalfreelancepreprocesseddata!A168,worksheet!A:P,7,FALSE)</f>
        <v>South Korea</v>
      </c>
      <c r="F168" s="5" t="str">
        <f>VLOOKUP(globalfreelancepreprocesseddata!A168,worksheet!A:P,8,FALSE)</f>
        <v>Korean</v>
      </c>
      <c r="G168" s="5" t="str">
        <f>VLOOKUP(globalfreelancepreprocesseddata!A168,worksheet!A:P,9,FALSE)</f>
        <v>Mobile Apps</v>
      </c>
      <c r="H168" s="5">
        <f>VLOOKUP(globalfreelancepreprocesseddata!A168,worksheet!A:P,10,FALSE)</f>
        <v>33</v>
      </c>
      <c r="I168" s="6">
        <f>VLOOKUP(globalfreelancepreprocesseddata!A168,worksheet!A:P,12,FALSE)</f>
        <v>40</v>
      </c>
      <c r="J168" s="5">
        <f>VLOOKUP(globalfreelancepreprocesseddata!A168,worksheet!A:P,13,FALSE)</f>
        <v>3.6</v>
      </c>
      <c r="K168" s="5">
        <f>VLOOKUP(globalfreelancepreprocesseddata!A168,worksheet!A:P,14,FALSE)</f>
        <v>1</v>
      </c>
      <c r="L168" s="7">
        <f>VLOOKUP(globalfreelancepreprocesseddata!A168,worksheet!A:P,16,FALSE)</f>
        <v>0.87</v>
      </c>
    </row>
    <row r="169" spans="1:12" x14ac:dyDescent="0.35">
      <c r="A169" s="5" t="s">
        <v>413</v>
      </c>
      <c r="B169" s="5" t="str">
        <f>VLOOKUP(globalfreelancepreprocesseddata!A169,worksheet!A:P,3,FALSE)</f>
        <v>Susan Baker</v>
      </c>
      <c r="C169" s="5" t="str">
        <f>VLOOKUP(globalfreelancepreprocesseddata!A169,worksheet!A:P,5,FALSE)</f>
        <v>Female</v>
      </c>
      <c r="D169" s="5">
        <f>VLOOKUP(globalfreelancepreprocesseddata!A169,worksheet!A:P,6,FALSE)</f>
        <v>31</v>
      </c>
      <c r="E169" s="5" t="str">
        <f>VLOOKUP(globalfreelancepreprocesseddata!A169,worksheet!A:P,7,FALSE)</f>
        <v>Canada</v>
      </c>
      <c r="F169" s="5" t="str">
        <f>VLOOKUP(globalfreelancepreprocesseddata!A169,worksheet!A:P,8,FALSE)</f>
        <v>English</v>
      </c>
      <c r="G169" s="5" t="str">
        <f>VLOOKUP(globalfreelancepreprocesseddata!A169,worksheet!A:P,9,FALSE)</f>
        <v>Web Development</v>
      </c>
      <c r="H169" s="5">
        <f>VLOOKUP(globalfreelancepreprocesseddata!A169,worksheet!A:P,10,FALSE)</f>
        <v>10</v>
      </c>
      <c r="I169" s="6">
        <f>VLOOKUP(globalfreelancepreprocesseddata!A169,worksheet!A:P,12,FALSE)</f>
        <v>75</v>
      </c>
      <c r="J169" s="5">
        <f>VLOOKUP(globalfreelancepreprocesseddata!A169,worksheet!A:P,13,FALSE)</f>
        <v>0</v>
      </c>
      <c r="K169" s="5">
        <f>VLOOKUP(globalfreelancepreprocesseddata!A169,worksheet!A:P,14,FALSE)</f>
        <v>1</v>
      </c>
      <c r="L169" s="7">
        <f>VLOOKUP(globalfreelancepreprocesseddata!A169,worksheet!A:P,16,FALSE)</f>
        <v>0.7</v>
      </c>
    </row>
    <row r="170" spans="1:12" x14ac:dyDescent="0.35">
      <c r="A170" s="5" t="s">
        <v>415</v>
      </c>
      <c r="B170" s="5" t="str">
        <f>VLOOKUP(globalfreelancepreprocesseddata!A170,worksheet!A:P,3,FALSE)</f>
        <v>Anthony Larsen</v>
      </c>
      <c r="C170" s="5" t="str">
        <f>VLOOKUP(globalfreelancepreprocesseddata!A170,worksheet!A:P,5,FALSE)</f>
        <v>Male</v>
      </c>
      <c r="D170" s="5">
        <f>VLOOKUP(globalfreelancepreprocesseddata!A170,worksheet!A:P,6,FALSE)</f>
        <v>60</v>
      </c>
      <c r="E170" s="5" t="str">
        <f>VLOOKUP(globalfreelancepreprocesseddata!A170,worksheet!A:P,7,FALSE)</f>
        <v>Argentina</v>
      </c>
      <c r="F170" s="5" t="str">
        <f>VLOOKUP(globalfreelancepreprocesseddata!A170,worksheet!A:P,8,FALSE)</f>
        <v>Spanish</v>
      </c>
      <c r="G170" s="5" t="str">
        <f>VLOOKUP(globalfreelancepreprocesseddata!A170,worksheet!A:P,9,FALSE)</f>
        <v>Cybersecurity</v>
      </c>
      <c r="H170" s="5">
        <f>VLOOKUP(globalfreelancepreprocesseddata!A170,worksheet!A:P,10,FALSE)</f>
        <v>20</v>
      </c>
      <c r="I170" s="6">
        <f>VLOOKUP(globalfreelancepreprocesseddata!A170,worksheet!A:P,12,FALSE)</f>
        <v>40</v>
      </c>
      <c r="J170" s="5">
        <f>VLOOKUP(globalfreelancepreprocesseddata!A170,worksheet!A:P,13,FALSE)</f>
        <v>1.4</v>
      </c>
      <c r="K170" s="5">
        <f>VLOOKUP(globalfreelancepreprocesseddata!A170,worksheet!A:P,14,FALSE)</f>
        <v>1</v>
      </c>
      <c r="L170" s="7">
        <f>VLOOKUP(globalfreelancepreprocesseddata!A170,worksheet!A:P,16,FALSE)</f>
        <v>0.87</v>
      </c>
    </row>
    <row r="171" spans="1:12" x14ac:dyDescent="0.35">
      <c r="A171" s="5" t="s">
        <v>417</v>
      </c>
      <c r="B171" s="5" t="str">
        <f>VLOOKUP(globalfreelancepreprocesseddata!A171,worksheet!A:P,3,FALSE)</f>
        <v>Nicholas Carpenter</v>
      </c>
      <c r="C171" s="5" t="str">
        <f>VLOOKUP(globalfreelancepreprocesseddata!A171,worksheet!A:P,5,FALSE)</f>
        <v>Male</v>
      </c>
      <c r="D171" s="5">
        <f>VLOOKUP(globalfreelancepreprocesseddata!A171,worksheet!A:P,6,FALSE)</f>
        <v>46</v>
      </c>
      <c r="E171" s="5" t="str">
        <f>VLOOKUP(globalfreelancepreprocesseddata!A171,worksheet!A:P,7,FALSE)</f>
        <v>France</v>
      </c>
      <c r="F171" s="5" t="str">
        <f>VLOOKUP(globalfreelancepreprocesseddata!A171,worksheet!A:P,8,FALSE)</f>
        <v>French</v>
      </c>
      <c r="G171" s="5" t="str">
        <f>VLOOKUP(globalfreelancepreprocesseddata!A171,worksheet!A:P,9,FALSE)</f>
        <v>DevOps</v>
      </c>
      <c r="H171" s="5">
        <f>VLOOKUP(globalfreelancepreprocesseddata!A171,worksheet!A:P,10,FALSE)</f>
        <v>23</v>
      </c>
      <c r="I171" s="6">
        <f>VLOOKUP(globalfreelancepreprocesseddata!A171,worksheet!A:P,12,FALSE)</f>
        <v>20</v>
      </c>
      <c r="J171" s="5">
        <f>VLOOKUP(globalfreelancepreprocesseddata!A171,worksheet!A:P,13,FALSE)</f>
        <v>2.9</v>
      </c>
      <c r="K171" s="5">
        <f>VLOOKUP(globalfreelancepreprocesseddata!A171,worksheet!A:P,14,FALSE)</f>
        <v>0</v>
      </c>
      <c r="L171" s="7">
        <f>VLOOKUP(globalfreelancepreprocesseddata!A171,worksheet!A:P,16,FALSE)</f>
        <v>0.72</v>
      </c>
    </row>
    <row r="172" spans="1:12" x14ac:dyDescent="0.35">
      <c r="A172" s="5" t="s">
        <v>419</v>
      </c>
      <c r="B172" s="5" t="str">
        <f>VLOOKUP(globalfreelancepreprocesseddata!A172,worksheet!A:P,3,FALSE)</f>
        <v>Debra Salazar</v>
      </c>
      <c r="C172" s="5" t="str">
        <f>VLOOKUP(globalfreelancepreprocesseddata!A172,worksheet!A:P,5,FALSE)</f>
        <v>Female</v>
      </c>
      <c r="D172" s="5">
        <f>VLOOKUP(globalfreelancepreprocesseddata!A172,worksheet!A:P,6,FALSE)</f>
        <v>41</v>
      </c>
      <c r="E172" s="5" t="str">
        <f>VLOOKUP(globalfreelancepreprocesseddata!A172,worksheet!A:P,7,FALSE)</f>
        <v>Netherlands</v>
      </c>
      <c r="F172" s="5" t="str">
        <f>VLOOKUP(globalfreelancepreprocesseddata!A172,worksheet!A:P,8,FALSE)</f>
        <v>Dutch</v>
      </c>
      <c r="G172" s="5" t="str">
        <f>VLOOKUP(globalfreelancepreprocesseddata!A172,worksheet!A:P,9,FALSE)</f>
        <v>Blockchain Development</v>
      </c>
      <c r="H172" s="5">
        <f>VLOOKUP(globalfreelancepreprocesseddata!A172,worksheet!A:P,10,FALSE)</f>
        <v>11</v>
      </c>
      <c r="I172" s="6">
        <f>VLOOKUP(globalfreelancepreprocesseddata!A172,worksheet!A:P,12,FALSE)</f>
        <v>40</v>
      </c>
      <c r="J172" s="5">
        <f>VLOOKUP(globalfreelancepreprocesseddata!A172,worksheet!A:P,13,FALSE)</f>
        <v>2.8</v>
      </c>
      <c r="K172" s="5">
        <f>VLOOKUP(globalfreelancepreprocesseddata!A172,worksheet!A:P,14,FALSE)</f>
        <v>0</v>
      </c>
      <c r="L172" s="7">
        <f>VLOOKUP(globalfreelancepreprocesseddata!A172,worksheet!A:P,16,FALSE)</f>
        <v>0.8</v>
      </c>
    </row>
    <row r="173" spans="1:12" x14ac:dyDescent="0.35">
      <c r="A173" s="5" t="s">
        <v>421</v>
      </c>
      <c r="B173" s="5" t="str">
        <f>VLOOKUP(globalfreelancepreprocesseddata!A173,worksheet!A:P,3,FALSE)</f>
        <v>William Smith</v>
      </c>
      <c r="C173" s="5" t="str">
        <f>VLOOKUP(globalfreelancepreprocesseddata!A173,worksheet!A:P,5,FALSE)</f>
        <v>Male</v>
      </c>
      <c r="D173" s="5">
        <f>VLOOKUP(globalfreelancepreprocesseddata!A173,worksheet!A:P,6,FALSE)</f>
        <v>34</v>
      </c>
      <c r="E173" s="5" t="str">
        <f>VLOOKUP(globalfreelancepreprocesseddata!A173,worksheet!A:P,7,FALSE)</f>
        <v>Japan</v>
      </c>
      <c r="F173" s="5" t="str">
        <f>VLOOKUP(globalfreelancepreprocesseddata!A173,worksheet!A:P,8,FALSE)</f>
        <v>Japanese</v>
      </c>
      <c r="G173" s="5" t="str">
        <f>VLOOKUP(globalfreelancepreprocesseddata!A173,worksheet!A:P,9,FALSE)</f>
        <v>UI/UX Design</v>
      </c>
      <c r="H173" s="5">
        <f>VLOOKUP(globalfreelancepreprocesseddata!A173,worksheet!A:P,10,FALSE)</f>
        <v>11</v>
      </c>
      <c r="I173" s="6">
        <f>VLOOKUP(globalfreelancepreprocesseddata!A173,worksheet!A:P,12,FALSE)</f>
        <v>20</v>
      </c>
      <c r="J173" s="5">
        <f>VLOOKUP(globalfreelancepreprocesseddata!A173,worksheet!A:P,13,FALSE)</f>
        <v>1.7</v>
      </c>
      <c r="K173" s="5">
        <f>VLOOKUP(globalfreelancepreprocesseddata!A173,worksheet!A:P,14,FALSE)</f>
        <v>0</v>
      </c>
      <c r="L173" s="7">
        <f>VLOOKUP(globalfreelancepreprocesseddata!A173,worksheet!A:P,16,FALSE)</f>
        <v>0.66</v>
      </c>
    </row>
    <row r="174" spans="1:12" x14ac:dyDescent="0.35">
      <c r="A174" s="5" t="s">
        <v>423</v>
      </c>
      <c r="B174" s="5" t="str">
        <f>VLOOKUP(globalfreelancepreprocesseddata!A174,worksheet!A:P,3,FALSE)</f>
        <v>Caroline Gross</v>
      </c>
      <c r="C174" s="5" t="str">
        <f>VLOOKUP(globalfreelancepreprocesseddata!A174,worksheet!A:P,5,FALSE)</f>
        <v>Female</v>
      </c>
      <c r="D174" s="5">
        <f>VLOOKUP(globalfreelancepreprocesseddata!A174,worksheet!A:P,6,FALSE)</f>
        <v>42</v>
      </c>
      <c r="E174" s="5" t="str">
        <f>VLOOKUP(globalfreelancepreprocesseddata!A174,worksheet!A:P,7,FALSE)</f>
        <v>Netherlands</v>
      </c>
      <c r="F174" s="5" t="str">
        <f>VLOOKUP(globalfreelancepreprocesseddata!A174,worksheet!A:P,8,FALSE)</f>
        <v>Dutch</v>
      </c>
      <c r="G174" s="5" t="str">
        <f>VLOOKUP(globalfreelancepreprocesseddata!A174,worksheet!A:P,9,FALSE)</f>
        <v>Graphic Design</v>
      </c>
      <c r="H174" s="5">
        <f>VLOOKUP(globalfreelancepreprocesseddata!A174,worksheet!A:P,10,FALSE)</f>
        <v>7</v>
      </c>
      <c r="I174" s="6" t="str">
        <f>VLOOKUP(globalfreelancepreprocesseddata!A174,worksheet!A:P,12,FALSE)</f>
        <v>$ 40</v>
      </c>
      <c r="J174" s="5">
        <f>VLOOKUP(globalfreelancepreprocesseddata!A174,worksheet!A:P,13,FALSE)</f>
        <v>0</v>
      </c>
      <c r="K174" s="5">
        <f>VLOOKUP(globalfreelancepreprocesseddata!A174,worksheet!A:P,14,FALSE)</f>
        <v>1</v>
      </c>
      <c r="L174" s="7">
        <f>VLOOKUP(globalfreelancepreprocesseddata!A174,worksheet!A:P,16,FALSE)</f>
        <v>0.16</v>
      </c>
    </row>
    <row r="175" spans="1:12" x14ac:dyDescent="0.35">
      <c r="A175" s="5" t="s">
        <v>425</v>
      </c>
      <c r="B175" s="5" t="str">
        <f>VLOOKUP(globalfreelancepreprocesseddata!A175,worksheet!A:P,3,FALSE)</f>
        <v>Jeremy Sawyer</v>
      </c>
      <c r="C175" s="5" t="str">
        <f>VLOOKUP(globalfreelancepreprocesseddata!A175,worksheet!A:P,5,FALSE)</f>
        <v>Male</v>
      </c>
      <c r="D175" s="5">
        <f>VLOOKUP(globalfreelancepreprocesseddata!A175,worksheet!A:P,6,FALSE)</f>
        <v>31</v>
      </c>
      <c r="E175" s="5" t="str">
        <f>VLOOKUP(globalfreelancepreprocesseddata!A175,worksheet!A:P,7,FALSE)</f>
        <v>United Kingdom</v>
      </c>
      <c r="F175" s="5" t="str">
        <f>VLOOKUP(globalfreelancepreprocesseddata!A175,worksheet!A:P,8,FALSE)</f>
        <v>English</v>
      </c>
      <c r="G175" s="5" t="str">
        <f>VLOOKUP(globalfreelancepreprocesseddata!A175,worksheet!A:P,9,FALSE)</f>
        <v>Data Analysis</v>
      </c>
      <c r="H175" s="5">
        <f>VLOOKUP(globalfreelancepreprocesseddata!A175,worksheet!A:P,10,FALSE)</f>
        <v>4</v>
      </c>
      <c r="I175" s="6" t="str">
        <f>VLOOKUP(globalfreelancepreprocesseddata!A175,worksheet!A:P,12,FALSE)</f>
        <v>$ 75</v>
      </c>
      <c r="J175" s="5">
        <f>VLOOKUP(globalfreelancepreprocesseddata!A175,worksheet!A:P,13,FALSE)</f>
        <v>1.1000000000000001</v>
      </c>
      <c r="K175" s="5">
        <f>VLOOKUP(globalfreelancepreprocesseddata!A175,worksheet!A:P,14,FALSE)</f>
        <v>1</v>
      </c>
      <c r="L175" s="7">
        <f>VLOOKUP(globalfreelancepreprocesseddata!A175,worksheet!A:P,16,FALSE)</f>
        <v>0.64</v>
      </c>
    </row>
    <row r="176" spans="1:12" x14ac:dyDescent="0.35">
      <c r="A176" s="5" t="s">
        <v>427</v>
      </c>
      <c r="B176" s="5" t="str">
        <f>VLOOKUP(globalfreelancepreprocesseddata!A176,worksheet!A:P,3,FALSE)</f>
        <v>Eduardo Burns</v>
      </c>
      <c r="C176" s="5" t="str">
        <f>VLOOKUP(globalfreelancepreprocesseddata!A176,worksheet!A:P,5,FALSE)</f>
        <v>Male</v>
      </c>
      <c r="D176" s="5">
        <f>VLOOKUP(globalfreelancepreprocesseddata!A176,worksheet!A:P,6,FALSE)</f>
        <v>29</v>
      </c>
      <c r="E176" s="5" t="str">
        <f>VLOOKUP(globalfreelancepreprocesseddata!A176,worksheet!A:P,7,FALSE)</f>
        <v>Brazil</v>
      </c>
      <c r="F176" s="5" t="str">
        <f>VLOOKUP(globalfreelancepreprocesseddata!A176,worksheet!A:P,8,FALSE)</f>
        <v>Portuguese</v>
      </c>
      <c r="G176" s="5" t="str">
        <f>VLOOKUP(globalfreelancepreprocesseddata!A176,worksheet!A:P,9,FALSE)</f>
        <v>UI/UX Design</v>
      </c>
      <c r="H176" s="5">
        <f>VLOOKUP(globalfreelancepreprocesseddata!A176,worksheet!A:P,10,FALSE)</f>
        <v>9</v>
      </c>
      <c r="I176" s="6">
        <f>VLOOKUP(globalfreelancepreprocesseddata!A176,worksheet!A:P,12,FALSE)</f>
        <v>20</v>
      </c>
      <c r="J176" s="5">
        <f>VLOOKUP(globalfreelancepreprocesseddata!A176,worksheet!A:P,13,FALSE)</f>
        <v>3</v>
      </c>
      <c r="K176" s="5">
        <f>VLOOKUP(globalfreelancepreprocesseddata!A176,worksheet!A:P,14,FALSE)</f>
        <v>1</v>
      </c>
      <c r="L176" s="7">
        <f>VLOOKUP(globalfreelancepreprocesseddata!A176,worksheet!A:P,16,FALSE)</f>
        <v>0.68</v>
      </c>
    </row>
    <row r="177" spans="1:12" x14ac:dyDescent="0.35">
      <c r="A177" s="5" t="s">
        <v>429</v>
      </c>
      <c r="B177" s="5" t="str">
        <f>VLOOKUP(globalfreelancepreprocesseddata!A177,worksheet!A:P,3,FALSE)</f>
        <v>Amanda Jones</v>
      </c>
      <c r="C177" s="5" t="str">
        <f>VLOOKUP(globalfreelancepreprocesseddata!A177,worksheet!A:P,5,FALSE)</f>
        <v>Female</v>
      </c>
      <c r="D177" s="5">
        <f>VLOOKUP(globalfreelancepreprocesseddata!A177,worksheet!A:P,6,FALSE)</f>
        <v>57</v>
      </c>
      <c r="E177" s="5" t="str">
        <f>VLOOKUP(globalfreelancepreprocesseddata!A177,worksheet!A:P,7,FALSE)</f>
        <v>Australia</v>
      </c>
      <c r="F177" s="5" t="str">
        <f>VLOOKUP(globalfreelancepreprocesseddata!A177,worksheet!A:P,8,FALSE)</f>
        <v>English</v>
      </c>
      <c r="G177" s="5" t="str">
        <f>VLOOKUP(globalfreelancepreprocesseddata!A177,worksheet!A:P,9,FALSE)</f>
        <v>Graphic Design</v>
      </c>
      <c r="H177" s="5">
        <f>VLOOKUP(globalfreelancepreprocesseddata!A177,worksheet!A:P,10,FALSE)</f>
        <v>17</v>
      </c>
      <c r="I177" s="6">
        <f>VLOOKUP(globalfreelancepreprocesseddata!A177,worksheet!A:P,12,FALSE)</f>
        <v>20</v>
      </c>
      <c r="J177" s="5">
        <f>VLOOKUP(globalfreelancepreprocesseddata!A177,worksheet!A:P,13,FALSE)</f>
        <v>3.6</v>
      </c>
      <c r="K177" s="5">
        <f>VLOOKUP(globalfreelancepreprocesseddata!A177,worksheet!A:P,14,FALSE)</f>
        <v>0</v>
      </c>
      <c r="L177" s="7">
        <f>VLOOKUP(globalfreelancepreprocesseddata!A177,worksheet!A:P,16,FALSE)</f>
        <v>0.63</v>
      </c>
    </row>
    <row r="178" spans="1:12" x14ac:dyDescent="0.35">
      <c r="A178" s="5" t="s">
        <v>431</v>
      </c>
      <c r="B178" s="5" t="str">
        <f>VLOOKUP(globalfreelancepreprocesseddata!A178,worksheet!A:P,3,FALSE)</f>
        <v>Frederick Ware</v>
      </c>
      <c r="C178" s="5" t="str">
        <f>VLOOKUP(globalfreelancepreprocesseddata!A178,worksheet!A:P,5,FALSE)</f>
        <v>Male</v>
      </c>
      <c r="D178" s="5">
        <f>VLOOKUP(globalfreelancepreprocesseddata!A178,worksheet!A:P,6,FALSE)</f>
        <v>47</v>
      </c>
      <c r="E178" s="5" t="str">
        <f>VLOOKUP(globalfreelancepreprocesseddata!A178,worksheet!A:P,7,FALSE)</f>
        <v>India</v>
      </c>
      <c r="F178" s="5" t="str">
        <f>VLOOKUP(globalfreelancepreprocesseddata!A178,worksheet!A:P,8,FALSE)</f>
        <v>Hindi</v>
      </c>
      <c r="G178" s="5" t="str">
        <f>VLOOKUP(globalfreelancepreprocesseddata!A178,worksheet!A:P,9,FALSE)</f>
        <v>DevOps</v>
      </c>
      <c r="H178" s="5">
        <f>VLOOKUP(globalfreelancepreprocesseddata!A178,worksheet!A:P,10,FALSE)</f>
        <v>8</v>
      </c>
      <c r="I178" s="6">
        <f>VLOOKUP(globalfreelancepreprocesseddata!A178,worksheet!A:P,12,FALSE)</f>
        <v>20</v>
      </c>
      <c r="J178" s="5">
        <f>VLOOKUP(globalfreelancepreprocesseddata!A178,worksheet!A:P,13,FALSE)</f>
        <v>4.5</v>
      </c>
      <c r="K178" s="5">
        <f>VLOOKUP(globalfreelancepreprocesseddata!A178,worksheet!A:P,14,FALSE)</f>
        <v>1</v>
      </c>
      <c r="L178" s="7">
        <f>VLOOKUP(globalfreelancepreprocesseddata!A178,worksheet!A:P,16,FALSE)</f>
        <v>0.72</v>
      </c>
    </row>
    <row r="179" spans="1:12" x14ac:dyDescent="0.35">
      <c r="A179" s="5" t="s">
        <v>433</v>
      </c>
      <c r="B179" s="5" t="str">
        <f>VLOOKUP(globalfreelancepreprocesseddata!A179,worksheet!A:P,3,FALSE)</f>
        <v>Michael Black</v>
      </c>
      <c r="C179" s="5" t="str">
        <f>VLOOKUP(globalfreelancepreprocesseddata!A179,worksheet!A:P,5,FALSE)</f>
        <v>Male</v>
      </c>
      <c r="D179" s="5">
        <f>VLOOKUP(globalfreelancepreprocesseddata!A179,worksheet!A:P,6,FALSE)</f>
        <v>47</v>
      </c>
      <c r="E179" s="5" t="str">
        <f>VLOOKUP(globalfreelancepreprocesseddata!A179,worksheet!A:P,7,FALSE)</f>
        <v>South Africa</v>
      </c>
      <c r="F179" s="5" t="str">
        <f>VLOOKUP(globalfreelancepreprocesseddata!A179,worksheet!A:P,8,FALSE)</f>
        <v>Afrikaans</v>
      </c>
      <c r="G179" s="5" t="str">
        <f>VLOOKUP(globalfreelancepreprocesseddata!A179,worksheet!A:P,9,FALSE)</f>
        <v>AI</v>
      </c>
      <c r="H179" s="5">
        <f>VLOOKUP(globalfreelancepreprocesseddata!A179,worksheet!A:P,10,FALSE)</f>
        <v>14</v>
      </c>
      <c r="I179" s="6">
        <f>VLOOKUP(globalfreelancepreprocesseddata!A179,worksheet!A:P,12,FALSE)</f>
        <v>30</v>
      </c>
      <c r="J179" s="5">
        <f>VLOOKUP(globalfreelancepreprocesseddata!A179,worksheet!A:P,13,FALSE)</f>
        <v>0</v>
      </c>
      <c r="K179" s="5">
        <f>VLOOKUP(globalfreelancepreprocesseddata!A179,worksheet!A:P,14,FALSE)</f>
        <v>1</v>
      </c>
      <c r="L179" s="7">
        <f>VLOOKUP(globalfreelancepreprocesseddata!A179,worksheet!A:P,16,FALSE)</f>
        <v>0.86</v>
      </c>
    </row>
    <row r="180" spans="1:12" x14ac:dyDescent="0.35">
      <c r="A180" s="5" t="s">
        <v>435</v>
      </c>
      <c r="B180" s="5" t="str">
        <f>VLOOKUP(globalfreelancepreprocesseddata!A180,worksheet!A:P,3,FALSE)</f>
        <v>Patricia Sanders</v>
      </c>
      <c r="C180" s="5" t="str">
        <f>VLOOKUP(globalfreelancepreprocesseddata!A180,worksheet!A:P,5,FALSE)</f>
        <v>Female</v>
      </c>
      <c r="D180" s="5">
        <f>VLOOKUP(globalfreelancepreprocesseddata!A180,worksheet!A:P,6,FALSE)</f>
        <v>45</v>
      </c>
      <c r="E180" s="5" t="str">
        <f>VLOOKUP(globalfreelancepreprocesseddata!A180,worksheet!A:P,7,FALSE)</f>
        <v>France</v>
      </c>
      <c r="F180" s="5" t="str">
        <f>VLOOKUP(globalfreelancepreprocesseddata!A180,worksheet!A:P,8,FALSE)</f>
        <v>French</v>
      </c>
      <c r="G180" s="5" t="str">
        <f>VLOOKUP(globalfreelancepreprocesseddata!A180,worksheet!A:P,9,FALSE)</f>
        <v>Graphic Design</v>
      </c>
      <c r="H180" s="5">
        <f>VLOOKUP(globalfreelancepreprocesseddata!A180,worksheet!A:P,10,FALSE)</f>
        <v>21</v>
      </c>
      <c r="I180" s="6" t="str">
        <f>VLOOKUP(globalfreelancepreprocesseddata!A180,worksheet!A:P,12,FALSE)</f>
        <v>$ 30</v>
      </c>
      <c r="J180" s="5">
        <f>VLOOKUP(globalfreelancepreprocesseddata!A180,worksheet!A:P,13,FALSE)</f>
        <v>1.5</v>
      </c>
      <c r="K180" s="5">
        <f>VLOOKUP(globalfreelancepreprocesseddata!A180,worksheet!A:P,14,FALSE)</f>
        <v>1</v>
      </c>
      <c r="L180" s="7">
        <f>VLOOKUP(globalfreelancepreprocesseddata!A180,worksheet!A:P,16,FALSE)</f>
        <v>0.73</v>
      </c>
    </row>
    <row r="181" spans="1:12" x14ac:dyDescent="0.35">
      <c r="A181" s="5" t="s">
        <v>437</v>
      </c>
      <c r="B181" s="5" t="str">
        <f>VLOOKUP(globalfreelancepreprocesseddata!A181,worksheet!A:P,3,FALSE)</f>
        <v>Marc Joseph</v>
      </c>
      <c r="C181" s="5" t="str">
        <f>VLOOKUP(globalfreelancepreprocesseddata!A181,worksheet!A:P,5,FALSE)</f>
        <v>Male</v>
      </c>
      <c r="D181" s="5">
        <f>VLOOKUP(globalfreelancepreprocesseddata!A181,worksheet!A:P,6,FALSE)</f>
        <v>24</v>
      </c>
      <c r="E181" s="5" t="str">
        <f>VLOOKUP(globalfreelancepreprocesseddata!A181,worksheet!A:P,7,FALSE)</f>
        <v>Turkey</v>
      </c>
      <c r="F181" s="5" t="str">
        <f>VLOOKUP(globalfreelancepreprocesseddata!A181,worksheet!A:P,8,FALSE)</f>
        <v>Turkish</v>
      </c>
      <c r="G181" s="5" t="str">
        <f>VLOOKUP(globalfreelancepreprocesseddata!A181,worksheet!A:P,9,FALSE)</f>
        <v>Machine Learning</v>
      </c>
      <c r="H181" s="5">
        <f>VLOOKUP(globalfreelancepreprocesseddata!A181,worksheet!A:P,10,FALSE)</f>
        <v>1</v>
      </c>
      <c r="I181" s="6">
        <f>VLOOKUP(globalfreelancepreprocesseddata!A181,worksheet!A:P,12,FALSE)</f>
        <v>30</v>
      </c>
      <c r="J181" s="5">
        <f>VLOOKUP(globalfreelancepreprocesseddata!A181,worksheet!A:P,13,FALSE)</f>
        <v>3.7</v>
      </c>
      <c r="K181" s="5">
        <f>VLOOKUP(globalfreelancepreprocesseddata!A181,worksheet!A:P,14,FALSE)</f>
        <v>1</v>
      </c>
      <c r="L181" s="7">
        <f>VLOOKUP(globalfreelancepreprocesseddata!A181,worksheet!A:P,16,FALSE)</f>
        <v>0.95</v>
      </c>
    </row>
    <row r="182" spans="1:12" x14ac:dyDescent="0.35">
      <c r="A182" s="5" t="s">
        <v>439</v>
      </c>
      <c r="B182" s="5" t="str">
        <f>VLOOKUP(globalfreelancepreprocesseddata!A182,worksheet!A:P,3,FALSE)</f>
        <v>Vanessa White</v>
      </c>
      <c r="C182" s="5" t="str">
        <f>VLOOKUP(globalfreelancepreprocesseddata!A182,worksheet!A:P,5,FALSE)</f>
        <v>Female</v>
      </c>
      <c r="D182" s="5">
        <f>VLOOKUP(globalfreelancepreprocesseddata!A182,worksheet!A:P,6,FALSE)</f>
        <v>31</v>
      </c>
      <c r="E182" s="5" t="str">
        <f>VLOOKUP(globalfreelancepreprocesseddata!A182,worksheet!A:P,7,FALSE)</f>
        <v>Argentina</v>
      </c>
      <c r="F182" s="5" t="str">
        <f>VLOOKUP(globalfreelancepreprocesseddata!A182,worksheet!A:P,8,FALSE)</f>
        <v>Spanish</v>
      </c>
      <c r="G182" s="5" t="str">
        <f>VLOOKUP(globalfreelancepreprocesseddata!A182,worksheet!A:P,9,FALSE)</f>
        <v>Mobile Apps</v>
      </c>
      <c r="H182" s="5">
        <f>VLOOKUP(globalfreelancepreprocesseddata!A182,worksheet!A:P,10,FALSE)</f>
        <v>12</v>
      </c>
      <c r="I182" s="6">
        <f>VLOOKUP(globalfreelancepreprocesseddata!A182,worksheet!A:P,12,FALSE)</f>
        <v>20</v>
      </c>
      <c r="J182" s="5">
        <f>VLOOKUP(globalfreelancepreprocesseddata!A182,worksheet!A:P,13,FALSE)</f>
        <v>2.2999999999999998</v>
      </c>
      <c r="K182" s="5">
        <f>VLOOKUP(globalfreelancepreprocesseddata!A182,worksheet!A:P,14,FALSE)</f>
        <v>0</v>
      </c>
      <c r="L182" s="7">
        <f>VLOOKUP(globalfreelancepreprocesseddata!A182,worksheet!A:P,16,FALSE)</f>
        <v>0.9</v>
      </c>
    </row>
    <row r="183" spans="1:12" x14ac:dyDescent="0.35">
      <c r="A183" s="5" t="s">
        <v>441</v>
      </c>
      <c r="B183" s="5" t="str">
        <f>VLOOKUP(globalfreelancepreprocesseddata!A183,worksheet!A:P,3,FALSE)</f>
        <v>Jennifer Garcia</v>
      </c>
      <c r="C183" s="5" t="str">
        <f>VLOOKUP(globalfreelancepreprocesseddata!A183,worksheet!A:P,5,FALSE)</f>
        <v>Female</v>
      </c>
      <c r="D183" s="5">
        <f>VLOOKUP(globalfreelancepreprocesseddata!A183,worksheet!A:P,6,FALSE)</f>
        <v>20</v>
      </c>
      <c r="E183" s="5" t="str">
        <f>VLOOKUP(globalfreelancepreprocesseddata!A183,worksheet!A:P,7,FALSE)</f>
        <v>Mexico</v>
      </c>
      <c r="F183" s="5" t="str">
        <f>VLOOKUP(globalfreelancepreprocesseddata!A183,worksheet!A:P,8,FALSE)</f>
        <v>Spanish</v>
      </c>
      <c r="G183" s="5" t="str">
        <f>VLOOKUP(globalfreelancepreprocesseddata!A183,worksheet!A:P,9,FALSE)</f>
        <v>Graphic Design</v>
      </c>
      <c r="H183" s="5">
        <f>VLOOKUP(globalfreelancepreprocesseddata!A183,worksheet!A:P,10,FALSE)</f>
        <v>2</v>
      </c>
      <c r="I183" s="6">
        <f>VLOOKUP(globalfreelancepreprocesseddata!A183,worksheet!A:P,12,FALSE)</f>
        <v>20</v>
      </c>
      <c r="J183" s="5">
        <f>VLOOKUP(globalfreelancepreprocesseddata!A183,worksheet!A:P,13,FALSE)</f>
        <v>2.8</v>
      </c>
      <c r="K183" s="5">
        <f>VLOOKUP(globalfreelancepreprocesseddata!A183,worksheet!A:P,14,FALSE)</f>
        <v>0</v>
      </c>
      <c r="L183" s="7">
        <f>VLOOKUP(globalfreelancepreprocesseddata!A183,worksheet!A:P,16,FALSE)</f>
        <v>0.78</v>
      </c>
    </row>
    <row r="184" spans="1:12" x14ac:dyDescent="0.35">
      <c r="A184" s="5" t="s">
        <v>443</v>
      </c>
      <c r="B184" s="5" t="str">
        <f>VLOOKUP(globalfreelancepreprocesseddata!A184,worksheet!A:P,3,FALSE)</f>
        <v>Michael Zavala</v>
      </c>
      <c r="C184" s="5" t="str">
        <f>VLOOKUP(globalfreelancepreprocesseddata!A184,worksheet!A:P,5,FALSE)</f>
        <v>Male</v>
      </c>
      <c r="D184" s="5">
        <f>VLOOKUP(globalfreelancepreprocesseddata!A184,worksheet!A:P,6,FALSE)</f>
        <v>38</v>
      </c>
      <c r="E184" s="5" t="str">
        <f>VLOOKUP(globalfreelancepreprocesseddata!A184,worksheet!A:P,7,FALSE)</f>
        <v>Japan</v>
      </c>
      <c r="F184" s="5" t="str">
        <f>VLOOKUP(globalfreelancepreprocesseddata!A184,worksheet!A:P,8,FALSE)</f>
        <v>Japanese</v>
      </c>
      <c r="G184" s="5" t="str">
        <f>VLOOKUP(globalfreelancepreprocesseddata!A184,worksheet!A:P,9,FALSE)</f>
        <v>Web Development</v>
      </c>
      <c r="H184" s="5">
        <f>VLOOKUP(globalfreelancepreprocesseddata!A184,worksheet!A:P,10,FALSE)</f>
        <v>3</v>
      </c>
      <c r="I184" s="6">
        <f>VLOOKUP(globalfreelancepreprocesseddata!A184,worksheet!A:P,12,FALSE)</f>
        <v>30</v>
      </c>
      <c r="J184" s="5">
        <f>VLOOKUP(globalfreelancepreprocesseddata!A184,worksheet!A:P,13,FALSE)</f>
        <v>3.5</v>
      </c>
      <c r="K184" s="5">
        <f>VLOOKUP(globalfreelancepreprocesseddata!A184,worksheet!A:P,14,FALSE)</f>
        <v>1</v>
      </c>
      <c r="L184" s="7">
        <f>VLOOKUP(globalfreelancepreprocesseddata!A184,worksheet!A:P,16,FALSE)</f>
        <v>0.97</v>
      </c>
    </row>
    <row r="185" spans="1:12" x14ac:dyDescent="0.35">
      <c r="A185" s="5" t="s">
        <v>445</v>
      </c>
      <c r="B185" s="5" t="str">
        <f>VLOOKUP(globalfreelancepreprocesseddata!A185,worksheet!A:P,3,FALSE)</f>
        <v>Kimberly Williams</v>
      </c>
      <c r="C185" s="5" t="str">
        <f>VLOOKUP(globalfreelancepreprocesseddata!A185,worksheet!A:P,5,FALSE)</f>
        <v>Female</v>
      </c>
      <c r="D185" s="5">
        <f>VLOOKUP(globalfreelancepreprocesseddata!A185,worksheet!A:P,6,FALSE)</f>
        <v>33</v>
      </c>
      <c r="E185" s="5" t="str">
        <f>VLOOKUP(globalfreelancepreprocesseddata!A185,worksheet!A:P,7,FALSE)</f>
        <v>Germany</v>
      </c>
      <c r="F185" s="5" t="str">
        <f>VLOOKUP(globalfreelancepreprocesseddata!A185,worksheet!A:P,8,FALSE)</f>
        <v>German</v>
      </c>
      <c r="G185" s="5" t="str">
        <f>VLOOKUP(globalfreelancepreprocesseddata!A185,worksheet!A:P,9,FALSE)</f>
        <v>UI/UX Design</v>
      </c>
      <c r="H185" s="5">
        <f>VLOOKUP(globalfreelancepreprocesseddata!A185,worksheet!A:P,10,FALSE)</f>
        <v>11</v>
      </c>
      <c r="I185" s="6">
        <f>VLOOKUP(globalfreelancepreprocesseddata!A185,worksheet!A:P,12,FALSE)</f>
        <v>40</v>
      </c>
      <c r="J185" s="5">
        <f>VLOOKUP(globalfreelancepreprocesseddata!A185,worksheet!A:P,13,FALSE)</f>
        <v>0</v>
      </c>
      <c r="K185" s="5">
        <f>VLOOKUP(globalfreelancepreprocesseddata!A185,worksheet!A:P,14,FALSE)</f>
        <v>1</v>
      </c>
      <c r="L185" s="7">
        <f>VLOOKUP(globalfreelancepreprocesseddata!A185,worksheet!A:P,16,FALSE)</f>
        <v>0.65</v>
      </c>
    </row>
    <row r="186" spans="1:12" x14ac:dyDescent="0.35">
      <c r="A186" s="5" t="s">
        <v>447</v>
      </c>
      <c r="B186" s="5" t="str">
        <f>VLOOKUP(globalfreelancepreprocesseddata!A186,worksheet!A:P,3,FALSE)</f>
        <v>Elizabeth Jenkins</v>
      </c>
      <c r="C186" s="5" t="str">
        <f>VLOOKUP(globalfreelancepreprocesseddata!A186,worksheet!A:P,5,FALSE)</f>
        <v>Female</v>
      </c>
      <c r="D186" s="5">
        <f>VLOOKUP(globalfreelancepreprocesseddata!A186,worksheet!A:P,6,FALSE)</f>
        <v>31</v>
      </c>
      <c r="E186" s="5" t="str">
        <f>VLOOKUP(globalfreelancepreprocesseddata!A186,worksheet!A:P,7,FALSE)</f>
        <v>Australia</v>
      </c>
      <c r="F186" s="5" t="str">
        <f>VLOOKUP(globalfreelancepreprocesseddata!A186,worksheet!A:P,8,FALSE)</f>
        <v>English</v>
      </c>
      <c r="G186" s="5" t="str">
        <f>VLOOKUP(globalfreelancepreprocesseddata!A186,worksheet!A:P,9,FALSE)</f>
        <v>Web Development</v>
      </c>
      <c r="H186" s="5">
        <f>VLOOKUP(globalfreelancepreprocesseddata!A186,worksheet!A:P,10,FALSE)</f>
        <v>4</v>
      </c>
      <c r="I186" s="6">
        <f>VLOOKUP(globalfreelancepreprocesseddata!A186,worksheet!A:P,12,FALSE)</f>
        <v>40</v>
      </c>
      <c r="J186" s="5">
        <f>VLOOKUP(globalfreelancepreprocesseddata!A186,worksheet!A:P,13,FALSE)</f>
        <v>3.2</v>
      </c>
      <c r="K186" s="5">
        <f>VLOOKUP(globalfreelancepreprocesseddata!A186,worksheet!A:P,14,FALSE)</f>
        <v>1</v>
      </c>
      <c r="L186" s="7">
        <f>VLOOKUP(globalfreelancepreprocesseddata!A186,worksheet!A:P,16,FALSE)</f>
        <v>0.78</v>
      </c>
    </row>
    <row r="187" spans="1:12" x14ac:dyDescent="0.35">
      <c r="A187" s="5" t="s">
        <v>449</v>
      </c>
      <c r="B187" s="5" t="str">
        <f>VLOOKUP(globalfreelancepreprocesseddata!A187,worksheet!A:P,3,FALSE)</f>
        <v>Brandon Ford</v>
      </c>
      <c r="C187" s="5" t="str">
        <f>VLOOKUP(globalfreelancepreprocesseddata!A187,worksheet!A:P,5,FALSE)</f>
        <v>Male</v>
      </c>
      <c r="D187" s="5">
        <f>VLOOKUP(globalfreelancepreprocesseddata!A187,worksheet!A:P,6,FALSE)</f>
        <v>41</v>
      </c>
      <c r="E187" s="5" t="str">
        <f>VLOOKUP(globalfreelancepreprocesseddata!A187,worksheet!A:P,7,FALSE)</f>
        <v>Spain</v>
      </c>
      <c r="F187" s="5" t="str">
        <f>VLOOKUP(globalfreelancepreprocesseddata!A187,worksheet!A:P,8,FALSE)</f>
        <v>Spanish</v>
      </c>
      <c r="G187" s="5" t="str">
        <f>VLOOKUP(globalfreelancepreprocesseddata!A187,worksheet!A:P,9,FALSE)</f>
        <v>Machine Learning</v>
      </c>
      <c r="H187" s="5">
        <f>VLOOKUP(globalfreelancepreprocesseddata!A187,worksheet!A:P,10,FALSE)</f>
        <v>21</v>
      </c>
      <c r="I187" s="6">
        <f>VLOOKUP(globalfreelancepreprocesseddata!A187,worksheet!A:P,12,FALSE)</f>
        <v>50</v>
      </c>
      <c r="J187" s="5">
        <f>VLOOKUP(globalfreelancepreprocesseddata!A187,worksheet!A:P,13,FALSE)</f>
        <v>3.3</v>
      </c>
      <c r="K187" s="5">
        <f>VLOOKUP(globalfreelancepreprocesseddata!A187,worksheet!A:P,14,FALSE)</f>
        <v>1</v>
      </c>
      <c r="L187" s="7">
        <f>VLOOKUP(globalfreelancepreprocesseddata!A187,worksheet!A:P,16,FALSE)</f>
        <v>0.65</v>
      </c>
    </row>
    <row r="188" spans="1:12" x14ac:dyDescent="0.35">
      <c r="A188" s="5" t="s">
        <v>451</v>
      </c>
      <c r="B188" s="5" t="str">
        <f>VLOOKUP(globalfreelancepreprocesseddata!A188,worksheet!A:P,3,FALSE)</f>
        <v>Justin House</v>
      </c>
      <c r="C188" s="5" t="str">
        <f>VLOOKUP(globalfreelancepreprocesseddata!A188,worksheet!A:P,5,FALSE)</f>
        <v>Male</v>
      </c>
      <c r="D188" s="5">
        <f>VLOOKUP(globalfreelancepreprocesseddata!A188,worksheet!A:P,6,FALSE)</f>
        <v>54</v>
      </c>
      <c r="E188" s="5" t="str">
        <f>VLOOKUP(globalfreelancepreprocesseddata!A188,worksheet!A:P,7,FALSE)</f>
        <v>Turkey</v>
      </c>
      <c r="F188" s="5" t="str">
        <f>VLOOKUP(globalfreelancepreprocesseddata!A188,worksheet!A:P,8,FALSE)</f>
        <v>Turkish</v>
      </c>
      <c r="G188" s="5" t="str">
        <f>VLOOKUP(globalfreelancepreprocesseddata!A188,worksheet!A:P,9,FALSE)</f>
        <v>Web Development</v>
      </c>
      <c r="H188" s="5">
        <f>VLOOKUP(globalfreelancepreprocesseddata!A188,worksheet!A:P,10,FALSE)</f>
        <v>11</v>
      </c>
      <c r="I188" s="6">
        <f>VLOOKUP(globalfreelancepreprocesseddata!A188,worksheet!A:P,12,FALSE)</f>
        <v>20</v>
      </c>
      <c r="J188" s="5">
        <f>VLOOKUP(globalfreelancepreprocesseddata!A188,worksheet!A:P,13,FALSE)</f>
        <v>4.9000000000000004</v>
      </c>
      <c r="K188" s="5">
        <f>VLOOKUP(globalfreelancepreprocesseddata!A188,worksheet!A:P,14,FALSE)</f>
        <v>1</v>
      </c>
      <c r="L188" s="7">
        <f>VLOOKUP(globalfreelancepreprocesseddata!A188,worksheet!A:P,16,FALSE)</f>
        <v>0.16</v>
      </c>
    </row>
    <row r="189" spans="1:12" x14ac:dyDescent="0.35">
      <c r="A189" s="5" t="s">
        <v>453</v>
      </c>
      <c r="B189" s="5" t="str">
        <f>VLOOKUP(globalfreelancepreprocesseddata!A189,worksheet!A:P,3,FALSE)</f>
        <v>Henry Mullen</v>
      </c>
      <c r="C189" s="5" t="str">
        <f>VLOOKUP(globalfreelancepreprocesseddata!A189,worksheet!A:P,5,FALSE)</f>
        <v>Male</v>
      </c>
      <c r="D189" s="5">
        <f>VLOOKUP(globalfreelancepreprocesseddata!A189,worksheet!A:P,6,FALSE)</f>
        <v>50</v>
      </c>
      <c r="E189" s="5" t="str">
        <f>VLOOKUP(globalfreelancepreprocesseddata!A189,worksheet!A:P,7,FALSE)</f>
        <v>Mexico</v>
      </c>
      <c r="F189" s="5" t="str">
        <f>VLOOKUP(globalfreelancepreprocesseddata!A189,worksheet!A:P,8,FALSE)</f>
        <v>Spanish</v>
      </c>
      <c r="G189" s="5" t="str">
        <f>VLOOKUP(globalfreelancepreprocesseddata!A189,worksheet!A:P,9,FALSE)</f>
        <v>Data Analysis</v>
      </c>
      <c r="H189" s="5">
        <f>VLOOKUP(globalfreelancepreprocesseddata!A189,worksheet!A:P,10,FALSE)</f>
        <v>6</v>
      </c>
      <c r="I189" s="6">
        <f>VLOOKUP(globalfreelancepreprocesseddata!A189,worksheet!A:P,12,FALSE)</f>
        <v>30</v>
      </c>
      <c r="J189" s="5">
        <f>VLOOKUP(globalfreelancepreprocesseddata!A189,worksheet!A:P,13,FALSE)</f>
        <v>2.2000000000000002</v>
      </c>
      <c r="K189" s="5">
        <f>VLOOKUP(globalfreelancepreprocesseddata!A189,worksheet!A:P,14,FALSE)</f>
        <v>1</v>
      </c>
      <c r="L189" s="7">
        <f>VLOOKUP(globalfreelancepreprocesseddata!A189,worksheet!A:P,16,FALSE)</f>
        <v>0.95</v>
      </c>
    </row>
    <row r="190" spans="1:12" x14ac:dyDescent="0.35">
      <c r="A190" s="5" t="s">
        <v>455</v>
      </c>
      <c r="B190" s="5" t="str">
        <f>VLOOKUP(globalfreelancepreprocesseddata!A190,worksheet!A:P,3,FALSE)</f>
        <v>Jesse Cochran</v>
      </c>
      <c r="C190" s="5" t="str">
        <f>VLOOKUP(globalfreelancepreprocesseddata!A190,worksheet!A:P,5,FALSE)</f>
        <v>Male</v>
      </c>
      <c r="D190" s="5">
        <f>VLOOKUP(globalfreelancepreprocesseddata!A190,worksheet!A:P,6,FALSE)</f>
        <v>48</v>
      </c>
      <c r="E190" s="5" t="str">
        <f>VLOOKUP(globalfreelancepreprocesseddata!A190,worksheet!A:P,7,FALSE)</f>
        <v>Brazil</v>
      </c>
      <c r="F190" s="5" t="str">
        <f>VLOOKUP(globalfreelancepreprocesseddata!A190,worksheet!A:P,8,FALSE)</f>
        <v>Portuguese</v>
      </c>
      <c r="G190" s="5" t="str">
        <f>VLOOKUP(globalfreelancepreprocesseddata!A190,worksheet!A:P,9,FALSE)</f>
        <v>Machine Learning</v>
      </c>
      <c r="H190" s="5">
        <f>VLOOKUP(globalfreelancepreprocesseddata!A190,worksheet!A:P,10,FALSE)</f>
        <v>18</v>
      </c>
      <c r="I190" s="6" t="str">
        <f>VLOOKUP(globalfreelancepreprocesseddata!A190,worksheet!A:P,12,FALSE)</f>
        <v>$ 40</v>
      </c>
      <c r="J190" s="5">
        <f>VLOOKUP(globalfreelancepreprocesseddata!A190,worksheet!A:P,13,FALSE)</f>
        <v>3</v>
      </c>
      <c r="K190" s="5">
        <f>VLOOKUP(globalfreelancepreprocesseddata!A190,worksheet!A:P,14,FALSE)</f>
        <v>1</v>
      </c>
      <c r="L190" s="7">
        <f>VLOOKUP(globalfreelancepreprocesseddata!A190,worksheet!A:P,16,FALSE)</f>
        <v>0.88</v>
      </c>
    </row>
    <row r="191" spans="1:12" x14ac:dyDescent="0.35">
      <c r="A191" s="5" t="s">
        <v>457</v>
      </c>
      <c r="B191" s="5" t="str">
        <f>VLOOKUP(globalfreelancepreprocesseddata!A191,worksheet!A:P,3,FALSE)</f>
        <v>Melissa Rich</v>
      </c>
      <c r="C191" s="5" t="str">
        <f>VLOOKUP(globalfreelancepreprocesseddata!A191,worksheet!A:P,5,FALSE)</f>
        <v>Female</v>
      </c>
      <c r="D191" s="5">
        <f>VLOOKUP(globalfreelancepreprocesseddata!A191,worksheet!A:P,6,FALSE)</f>
        <v>49</v>
      </c>
      <c r="E191" s="5" t="str">
        <f>VLOOKUP(globalfreelancepreprocesseddata!A191,worksheet!A:P,7,FALSE)</f>
        <v>Mexico</v>
      </c>
      <c r="F191" s="5" t="str">
        <f>VLOOKUP(globalfreelancepreprocesseddata!A191,worksheet!A:P,8,FALSE)</f>
        <v>Spanish</v>
      </c>
      <c r="G191" s="5" t="str">
        <f>VLOOKUP(globalfreelancepreprocesseddata!A191,worksheet!A:P,9,FALSE)</f>
        <v>Graphic Design</v>
      </c>
      <c r="H191" s="5">
        <f>VLOOKUP(globalfreelancepreprocesseddata!A191,worksheet!A:P,10,FALSE)</f>
        <v>11</v>
      </c>
      <c r="I191" s="6">
        <f>VLOOKUP(globalfreelancepreprocesseddata!A191,worksheet!A:P,12,FALSE)</f>
        <v>40</v>
      </c>
      <c r="J191" s="5">
        <f>VLOOKUP(globalfreelancepreprocesseddata!A191,worksheet!A:P,13,FALSE)</f>
        <v>1.8</v>
      </c>
      <c r="K191" s="5">
        <f>VLOOKUP(globalfreelancepreprocesseddata!A191,worksheet!A:P,14,FALSE)</f>
        <v>0</v>
      </c>
      <c r="L191" s="7">
        <f>VLOOKUP(globalfreelancepreprocesseddata!A191,worksheet!A:P,16,FALSE)</f>
        <v>0.16</v>
      </c>
    </row>
    <row r="192" spans="1:12" x14ac:dyDescent="0.35">
      <c r="A192" s="5" t="s">
        <v>459</v>
      </c>
      <c r="B192" s="5" t="str">
        <f>VLOOKUP(globalfreelancepreprocesseddata!A192,worksheet!A:P,3,FALSE)</f>
        <v>Patrick Dunlap</v>
      </c>
      <c r="C192" s="5" t="str">
        <f>VLOOKUP(globalfreelancepreprocesseddata!A192,worksheet!A:P,5,FALSE)</f>
        <v>Male</v>
      </c>
      <c r="D192" s="5">
        <f>VLOOKUP(globalfreelancepreprocesseddata!A192,worksheet!A:P,6,FALSE)</f>
        <v>21</v>
      </c>
      <c r="E192" s="5" t="str">
        <f>VLOOKUP(globalfreelancepreprocesseddata!A192,worksheet!A:P,7,FALSE)</f>
        <v>South Korea</v>
      </c>
      <c r="F192" s="5" t="str">
        <f>VLOOKUP(globalfreelancepreprocesseddata!A192,worksheet!A:P,8,FALSE)</f>
        <v>Korean</v>
      </c>
      <c r="G192" s="5" t="str">
        <f>VLOOKUP(globalfreelancepreprocesseddata!A192,worksheet!A:P,9,FALSE)</f>
        <v>Graphic Design</v>
      </c>
      <c r="H192" s="5">
        <f>VLOOKUP(globalfreelancepreprocesseddata!A192,worksheet!A:P,10,FALSE)</f>
        <v>1</v>
      </c>
      <c r="I192" s="6">
        <f>VLOOKUP(globalfreelancepreprocesseddata!A192,worksheet!A:P,12,FALSE)</f>
        <v>75</v>
      </c>
      <c r="J192" s="5">
        <f>VLOOKUP(globalfreelancepreprocesseddata!A192,worksheet!A:P,13,FALSE)</f>
        <v>4.5999999999999996</v>
      </c>
      <c r="K192" s="5">
        <f>VLOOKUP(globalfreelancepreprocesseddata!A192,worksheet!A:P,14,FALSE)</f>
        <v>0</v>
      </c>
      <c r="L192" s="7">
        <f>VLOOKUP(globalfreelancepreprocesseddata!A192,worksheet!A:P,16,FALSE)</f>
        <v>0.92</v>
      </c>
    </row>
    <row r="193" spans="1:12" x14ac:dyDescent="0.35">
      <c r="A193" s="5" t="s">
        <v>461</v>
      </c>
      <c r="B193" s="5" t="str">
        <f>VLOOKUP(globalfreelancepreprocesseddata!A193,worksheet!A:P,3,FALSE)</f>
        <v>Troy Carson</v>
      </c>
      <c r="C193" s="5" t="str">
        <f>VLOOKUP(globalfreelancepreprocesseddata!A193,worksheet!A:P,5,FALSE)</f>
        <v>Male</v>
      </c>
      <c r="D193" s="5">
        <f>VLOOKUP(globalfreelancepreprocesseddata!A193,worksheet!A:P,6,FALSE)</f>
        <v>58</v>
      </c>
      <c r="E193" s="5" t="str">
        <f>VLOOKUP(globalfreelancepreprocesseddata!A193,worksheet!A:P,7,FALSE)</f>
        <v>Australia</v>
      </c>
      <c r="F193" s="5" t="str">
        <f>VLOOKUP(globalfreelancepreprocesseddata!A193,worksheet!A:P,8,FALSE)</f>
        <v>English</v>
      </c>
      <c r="G193" s="5" t="str">
        <f>VLOOKUP(globalfreelancepreprocesseddata!A193,worksheet!A:P,9,FALSE)</f>
        <v>Graphic Design</v>
      </c>
      <c r="H193" s="5">
        <f>VLOOKUP(globalfreelancepreprocesseddata!A193,worksheet!A:P,10,FALSE)</f>
        <v>20</v>
      </c>
      <c r="I193" s="6">
        <f>VLOOKUP(globalfreelancepreprocesseddata!A193,worksheet!A:P,12,FALSE)</f>
        <v>75</v>
      </c>
      <c r="J193" s="5">
        <f>VLOOKUP(globalfreelancepreprocesseddata!A193,worksheet!A:P,13,FALSE)</f>
        <v>2.8</v>
      </c>
      <c r="K193" s="5">
        <f>VLOOKUP(globalfreelancepreprocesseddata!A193,worksheet!A:P,14,FALSE)</f>
        <v>1</v>
      </c>
      <c r="L193" s="7">
        <f>VLOOKUP(globalfreelancepreprocesseddata!A193,worksheet!A:P,16,FALSE)</f>
        <v>0.75</v>
      </c>
    </row>
    <row r="194" spans="1:12" x14ac:dyDescent="0.35">
      <c r="A194" s="5" t="s">
        <v>463</v>
      </c>
      <c r="B194" s="5" t="str">
        <f>VLOOKUP(globalfreelancepreprocesseddata!A194,worksheet!A:P,3,FALSE)</f>
        <v>Matthew Smith</v>
      </c>
      <c r="C194" s="5" t="str">
        <f>VLOOKUP(globalfreelancepreprocesseddata!A194,worksheet!A:P,5,FALSE)</f>
        <v>Male</v>
      </c>
      <c r="D194" s="5">
        <f>VLOOKUP(globalfreelancepreprocesseddata!A194,worksheet!A:P,6,FALSE)</f>
        <v>41</v>
      </c>
      <c r="E194" s="5" t="str">
        <f>VLOOKUP(globalfreelancepreprocesseddata!A194,worksheet!A:P,7,FALSE)</f>
        <v>Italy</v>
      </c>
      <c r="F194" s="5" t="str">
        <f>VLOOKUP(globalfreelancepreprocesseddata!A194,worksheet!A:P,8,FALSE)</f>
        <v>Italian</v>
      </c>
      <c r="G194" s="5" t="str">
        <f>VLOOKUP(globalfreelancepreprocesseddata!A194,worksheet!A:P,9,FALSE)</f>
        <v>DevOps</v>
      </c>
      <c r="H194" s="5">
        <f>VLOOKUP(globalfreelancepreprocesseddata!A194,worksheet!A:P,10,FALSE)</f>
        <v>11</v>
      </c>
      <c r="I194" s="6">
        <f>VLOOKUP(globalfreelancepreprocesseddata!A194,worksheet!A:P,12,FALSE)</f>
        <v>30</v>
      </c>
      <c r="J194" s="5">
        <f>VLOOKUP(globalfreelancepreprocesseddata!A194,worksheet!A:P,13,FALSE)</f>
        <v>1.4</v>
      </c>
      <c r="K194" s="5">
        <f>VLOOKUP(globalfreelancepreprocesseddata!A194,worksheet!A:P,14,FALSE)</f>
        <v>0</v>
      </c>
      <c r="L194" s="7">
        <f>VLOOKUP(globalfreelancepreprocesseddata!A194,worksheet!A:P,16,FALSE)</f>
        <v>0.74</v>
      </c>
    </row>
    <row r="195" spans="1:12" x14ac:dyDescent="0.35">
      <c r="A195" s="5" t="s">
        <v>464</v>
      </c>
      <c r="B195" s="5" t="str">
        <f>VLOOKUP(globalfreelancepreprocesseddata!A195,worksheet!A:P,3,FALSE)</f>
        <v>Jennifer Cherry</v>
      </c>
      <c r="C195" s="5" t="str">
        <f>VLOOKUP(globalfreelancepreprocesseddata!A195,worksheet!A:P,5,FALSE)</f>
        <v>Female</v>
      </c>
      <c r="D195" s="5">
        <f>VLOOKUP(globalfreelancepreprocesseddata!A195,worksheet!A:P,6,FALSE)</f>
        <v>58</v>
      </c>
      <c r="E195" s="5" t="str">
        <f>VLOOKUP(globalfreelancepreprocesseddata!A195,worksheet!A:P,7,FALSE)</f>
        <v>Russia</v>
      </c>
      <c r="F195" s="5" t="str">
        <f>VLOOKUP(globalfreelancepreprocesseddata!A195,worksheet!A:P,8,FALSE)</f>
        <v>Russian</v>
      </c>
      <c r="G195" s="5" t="str">
        <f>VLOOKUP(globalfreelancepreprocesseddata!A195,worksheet!A:P,9,FALSE)</f>
        <v>Blockchain Development</v>
      </c>
      <c r="H195" s="5">
        <f>VLOOKUP(globalfreelancepreprocesseddata!A195,worksheet!A:P,10,FALSE)</f>
        <v>25</v>
      </c>
      <c r="I195" s="6">
        <f>VLOOKUP(globalfreelancepreprocesseddata!A195,worksheet!A:P,12,FALSE)</f>
        <v>30</v>
      </c>
      <c r="J195" s="5">
        <f>VLOOKUP(globalfreelancepreprocesseddata!A195,worksheet!A:P,13,FALSE)</f>
        <v>4.2</v>
      </c>
      <c r="K195" s="5">
        <f>VLOOKUP(globalfreelancepreprocesseddata!A195,worksheet!A:P,14,FALSE)</f>
        <v>1</v>
      </c>
      <c r="L195" s="7">
        <f>VLOOKUP(globalfreelancepreprocesseddata!A195,worksheet!A:P,16,FALSE)</f>
        <v>0.71</v>
      </c>
    </row>
    <row r="196" spans="1:12" x14ac:dyDescent="0.35">
      <c r="A196" s="5" t="s">
        <v>466</v>
      </c>
      <c r="B196" s="5" t="str">
        <f>VLOOKUP(globalfreelancepreprocesseddata!A196,worksheet!A:P,3,FALSE)</f>
        <v>Brandi Tucker</v>
      </c>
      <c r="C196" s="5" t="str">
        <f>VLOOKUP(globalfreelancepreprocesseddata!A196,worksheet!A:P,5,FALSE)</f>
        <v>Female</v>
      </c>
      <c r="D196" s="5">
        <f>VLOOKUP(globalfreelancepreprocesseddata!A196,worksheet!A:P,6,FALSE)</f>
        <v>50</v>
      </c>
      <c r="E196" s="5" t="str">
        <f>VLOOKUP(globalfreelancepreprocesseddata!A196,worksheet!A:P,7,FALSE)</f>
        <v>South Africa</v>
      </c>
      <c r="F196" s="5" t="str">
        <f>VLOOKUP(globalfreelancepreprocesseddata!A196,worksheet!A:P,8,FALSE)</f>
        <v>Afrikaans</v>
      </c>
      <c r="G196" s="5" t="str">
        <f>VLOOKUP(globalfreelancepreprocesseddata!A196,worksheet!A:P,9,FALSE)</f>
        <v>Graphic Design</v>
      </c>
      <c r="H196" s="5">
        <f>VLOOKUP(globalfreelancepreprocesseddata!A196,worksheet!A:P,10,FALSE)</f>
        <v>20</v>
      </c>
      <c r="I196" s="6" t="str">
        <f>VLOOKUP(globalfreelancepreprocesseddata!A196,worksheet!A:P,12,FALSE)</f>
        <v>$ 40</v>
      </c>
      <c r="J196" s="5">
        <f>VLOOKUP(globalfreelancepreprocesseddata!A196,worksheet!A:P,13,FALSE)</f>
        <v>3.6</v>
      </c>
      <c r="K196" s="5">
        <f>VLOOKUP(globalfreelancepreprocesseddata!A196,worksheet!A:P,14,FALSE)</f>
        <v>1</v>
      </c>
      <c r="L196" s="7">
        <f>VLOOKUP(globalfreelancepreprocesseddata!A196,worksheet!A:P,16,FALSE)</f>
        <v>0.89</v>
      </c>
    </row>
    <row r="197" spans="1:12" x14ac:dyDescent="0.35">
      <c r="A197" s="5" t="s">
        <v>468</v>
      </c>
      <c r="B197" s="5" t="str">
        <f>VLOOKUP(globalfreelancepreprocesseddata!A197,worksheet!A:P,3,FALSE)</f>
        <v>Zachary Burke</v>
      </c>
      <c r="C197" s="5" t="str">
        <f>VLOOKUP(globalfreelancepreprocesseddata!A197,worksheet!A:P,5,FALSE)</f>
        <v>Male</v>
      </c>
      <c r="D197" s="5">
        <f>VLOOKUP(globalfreelancepreprocesseddata!A197,worksheet!A:P,6,FALSE)</f>
        <v>52</v>
      </c>
      <c r="E197" s="5" t="str">
        <f>VLOOKUP(globalfreelancepreprocesseddata!A197,worksheet!A:P,7,FALSE)</f>
        <v>Indonesia</v>
      </c>
      <c r="F197" s="5" t="str">
        <f>VLOOKUP(globalfreelancepreprocesseddata!A197,worksheet!A:P,8,FALSE)</f>
        <v>Indonesian</v>
      </c>
      <c r="G197" s="5" t="str">
        <f>VLOOKUP(globalfreelancepreprocesseddata!A197,worksheet!A:P,9,FALSE)</f>
        <v>Web Development</v>
      </c>
      <c r="H197" s="5">
        <f>VLOOKUP(globalfreelancepreprocesseddata!A197,worksheet!A:P,10,FALSE)</f>
        <v>33</v>
      </c>
      <c r="I197" s="6">
        <f>VLOOKUP(globalfreelancepreprocesseddata!A197,worksheet!A:P,12,FALSE)</f>
        <v>100</v>
      </c>
      <c r="J197" s="5">
        <f>VLOOKUP(globalfreelancepreprocesseddata!A197,worksheet!A:P,13,FALSE)</f>
        <v>1.6</v>
      </c>
      <c r="K197" s="5">
        <f>VLOOKUP(globalfreelancepreprocesseddata!A197,worksheet!A:P,14,FALSE)</f>
        <v>1</v>
      </c>
      <c r="L197" s="7">
        <f>VLOOKUP(globalfreelancepreprocesseddata!A197,worksheet!A:P,16,FALSE)</f>
        <v>0.66</v>
      </c>
    </row>
    <row r="198" spans="1:12" x14ac:dyDescent="0.35">
      <c r="A198" s="5" t="s">
        <v>470</v>
      </c>
      <c r="B198" s="5" t="str">
        <f>VLOOKUP(globalfreelancepreprocesseddata!A198,worksheet!A:P,3,FALSE)</f>
        <v>Thomas Jones</v>
      </c>
      <c r="C198" s="5" t="str">
        <f>VLOOKUP(globalfreelancepreprocesseddata!A198,worksheet!A:P,5,FALSE)</f>
        <v>Male</v>
      </c>
      <c r="D198" s="5">
        <f>VLOOKUP(globalfreelancepreprocesseddata!A198,worksheet!A:P,6,FALSE)</f>
        <v>34</v>
      </c>
      <c r="E198" s="5" t="str">
        <f>VLOOKUP(globalfreelancepreprocesseddata!A198,worksheet!A:P,7,FALSE)</f>
        <v>Netherlands</v>
      </c>
      <c r="F198" s="5" t="str">
        <f>VLOOKUP(globalfreelancepreprocesseddata!A198,worksheet!A:P,8,FALSE)</f>
        <v>Dutch</v>
      </c>
      <c r="G198" s="5" t="str">
        <f>VLOOKUP(globalfreelancepreprocesseddata!A198,worksheet!A:P,9,FALSE)</f>
        <v>Data Analysis</v>
      </c>
      <c r="H198" s="5">
        <f>VLOOKUP(globalfreelancepreprocesseddata!A198,worksheet!A:P,10,FALSE)</f>
        <v>6</v>
      </c>
      <c r="I198" s="6">
        <f>VLOOKUP(globalfreelancepreprocesseddata!A198,worksheet!A:P,12,FALSE)</f>
        <v>100</v>
      </c>
      <c r="J198" s="5">
        <f>VLOOKUP(globalfreelancepreprocesseddata!A198,worksheet!A:P,13,FALSE)</f>
        <v>2</v>
      </c>
      <c r="K198" s="5">
        <f>VLOOKUP(globalfreelancepreprocesseddata!A198,worksheet!A:P,14,FALSE)</f>
        <v>1</v>
      </c>
      <c r="L198" s="7">
        <f>VLOOKUP(globalfreelancepreprocesseddata!A198,worksheet!A:P,16,FALSE)</f>
        <v>0.16</v>
      </c>
    </row>
    <row r="199" spans="1:12" x14ac:dyDescent="0.35">
      <c r="A199" s="5" t="s">
        <v>472</v>
      </c>
      <c r="B199" s="5" t="str">
        <f>VLOOKUP(globalfreelancepreprocesseddata!A199,worksheet!A:P,3,FALSE)</f>
        <v>Brian Dunn</v>
      </c>
      <c r="C199" s="5" t="str">
        <f>VLOOKUP(globalfreelancepreprocesseddata!A199,worksheet!A:P,5,FALSE)</f>
        <v>Male</v>
      </c>
      <c r="D199" s="5">
        <f>VLOOKUP(globalfreelancepreprocesseddata!A199,worksheet!A:P,6,FALSE)</f>
        <v>32</v>
      </c>
      <c r="E199" s="5" t="str">
        <f>VLOOKUP(globalfreelancepreprocesseddata!A199,worksheet!A:P,7,FALSE)</f>
        <v>France</v>
      </c>
      <c r="F199" s="5" t="str">
        <f>VLOOKUP(globalfreelancepreprocesseddata!A199,worksheet!A:P,8,FALSE)</f>
        <v>French</v>
      </c>
      <c r="G199" s="5" t="str">
        <f>VLOOKUP(globalfreelancepreprocesseddata!A199,worksheet!A:P,9,FALSE)</f>
        <v>Machine Learning</v>
      </c>
      <c r="H199" s="5">
        <f>VLOOKUP(globalfreelancepreprocesseddata!A199,worksheet!A:P,10,FALSE)</f>
        <v>11</v>
      </c>
      <c r="I199" s="6">
        <f>VLOOKUP(globalfreelancepreprocesseddata!A199,worksheet!A:P,12,FALSE)</f>
        <v>40</v>
      </c>
      <c r="J199" s="5">
        <f>VLOOKUP(globalfreelancepreprocesseddata!A199,worksheet!A:P,13,FALSE)</f>
        <v>4.3</v>
      </c>
      <c r="K199" s="5">
        <f>VLOOKUP(globalfreelancepreprocesseddata!A199,worksheet!A:P,14,FALSE)</f>
        <v>1</v>
      </c>
      <c r="L199" s="7">
        <f>VLOOKUP(globalfreelancepreprocesseddata!A199,worksheet!A:P,16,FALSE)</f>
        <v>0.86</v>
      </c>
    </row>
    <row r="200" spans="1:12" x14ac:dyDescent="0.35">
      <c r="A200" s="5" t="s">
        <v>474</v>
      </c>
      <c r="B200" s="5" t="str">
        <f>VLOOKUP(globalfreelancepreprocesseddata!A200,worksheet!A:P,3,FALSE)</f>
        <v>Shirley Strickland</v>
      </c>
      <c r="C200" s="5" t="str">
        <f>VLOOKUP(globalfreelancepreprocesseddata!A200,worksheet!A:P,5,FALSE)</f>
        <v>Female</v>
      </c>
      <c r="D200" s="5">
        <f>VLOOKUP(globalfreelancepreprocesseddata!A200,worksheet!A:P,6,FALSE)</f>
        <v>50</v>
      </c>
      <c r="E200" s="5" t="str">
        <f>VLOOKUP(globalfreelancepreprocesseddata!A200,worksheet!A:P,7,FALSE)</f>
        <v>India</v>
      </c>
      <c r="F200" s="5" t="str">
        <f>VLOOKUP(globalfreelancepreprocesseddata!A200,worksheet!A:P,8,FALSE)</f>
        <v>Hindi</v>
      </c>
      <c r="G200" s="5" t="str">
        <f>VLOOKUP(globalfreelancepreprocesseddata!A200,worksheet!A:P,9,FALSE)</f>
        <v>Graphic Design</v>
      </c>
      <c r="H200" s="5">
        <f>VLOOKUP(globalfreelancepreprocesseddata!A200,worksheet!A:P,10,FALSE)</f>
        <v>28</v>
      </c>
      <c r="I200" s="6">
        <f>VLOOKUP(globalfreelancepreprocesseddata!A200,worksheet!A:P,12,FALSE)</f>
        <v>100</v>
      </c>
      <c r="J200" s="5">
        <f>VLOOKUP(globalfreelancepreprocesseddata!A200,worksheet!A:P,13,FALSE)</f>
        <v>4.9000000000000004</v>
      </c>
      <c r="K200" s="5">
        <f>VLOOKUP(globalfreelancepreprocesseddata!A200,worksheet!A:P,14,FALSE)</f>
        <v>1</v>
      </c>
      <c r="L200" s="7">
        <f>VLOOKUP(globalfreelancepreprocesseddata!A200,worksheet!A:P,16,FALSE)</f>
        <v>0.86</v>
      </c>
    </row>
    <row r="201" spans="1:12" x14ac:dyDescent="0.35">
      <c r="A201" s="5" t="s">
        <v>476</v>
      </c>
      <c r="B201" s="5" t="str">
        <f>VLOOKUP(globalfreelancepreprocesseddata!A201,worksheet!A:P,3,FALSE)</f>
        <v>Nicole Meyers</v>
      </c>
      <c r="C201" s="5" t="str">
        <f>VLOOKUP(globalfreelancepreprocesseddata!A201,worksheet!A:P,5,FALSE)</f>
        <v>Female</v>
      </c>
      <c r="D201" s="5">
        <f>VLOOKUP(globalfreelancepreprocesseddata!A201,worksheet!A:P,6,FALSE)</f>
        <v>39</v>
      </c>
      <c r="E201" s="5" t="str">
        <f>VLOOKUP(globalfreelancepreprocesseddata!A201,worksheet!A:P,7,FALSE)</f>
        <v>Argentina</v>
      </c>
      <c r="F201" s="5" t="str">
        <f>VLOOKUP(globalfreelancepreprocesseddata!A201,worksheet!A:P,8,FALSE)</f>
        <v>Spanish</v>
      </c>
      <c r="G201" s="5" t="str">
        <f>VLOOKUP(globalfreelancepreprocesseddata!A201,worksheet!A:P,9,FALSE)</f>
        <v>Data Analysis</v>
      </c>
      <c r="H201" s="5">
        <f>VLOOKUP(globalfreelancepreprocesseddata!A201,worksheet!A:P,10,FALSE)</f>
        <v>11</v>
      </c>
      <c r="I201" s="6">
        <f>VLOOKUP(globalfreelancepreprocesseddata!A201,worksheet!A:P,12,FALSE)</f>
        <v>100</v>
      </c>
      <c r="J201" s="5">
        <f>VLOOKUP(globalfreelancepreprocesseddata!A201,worksheet!A:P,13,FALSE)</f>
        <v>3.5</v>
      </c>
      <c r="K201" s="5">
        <f>VLOOKUP(globalfreelancepreprocesseddata!A201,worksheet!A:P,14,FALSE)</f>
        <v>1</v>
      </c>
      <c r="L201" s="7">
        <f>VLOOKUP(globalfreelancepreprocesseddata!A201,worksheet!A:P,16,FALSE)</f>
        <v>0.82</v>
      </c>
    </row>
    <row r="202" spans="1:12" x14ac:dyDescent="0.35">
      <c r="A202" s="5" t="s">
        <v>478</v>
      </c>
      <c r="B202" s="5" t="str">
        <f>VLOOKUP(globalfreelancepreprocesseddata!A202,worksheet!A:P,3,FALSE)</f>
        <v>Jill Stephens</v>
      </c>
      <c r="C202" s="5" t="str">
        <f>VLOOKUP(globalfreelancepreprocesseddata!A202,worksheet!A:P,5,FALSE)</f>
        <v>Female</v>
      </c>
      <c r="D202" s="5">
        <f>VLOOKUP(globalfreelancepreprocesseddata!A202,worksheet!A:P,6,FALSE)</f>
        <v>25</v>
      </c>
      <c r="E202" s="5" t="str">
        <f>VLOOKUP(globalfreelancepreprocesseddata!A202,worksheet!A:P,7,FALSE)</f>
        <v>Spain</v>
      </c>
      <c r="F202" s="5" t="str">
        <f>VLOOKUP(globalfreelancepreprocesseddata!A202,worksheet!A:P,8,FALSE)</f>
        <v>Spanish</v>
      </c>
      <c r="G202" s="5" t="str">
        <f>VLOOKUP(globalfreelancepreprocesseddata!A202,worksheet!A:P,9,FALSE)</f>
        <v>AI</v>
      </c>
      <c r="H202" s="5">
        <f>VLOOKUP(globalfreelancepreprocesseddata!A202,worksheet!A:P,10,FALSE)</f>
        <v>2</v>
      </c>
      <c r="I202" s="6">
        <f>VLOOKUP(globalfreelancepreprocesseddata!A202,worksheet!A:P,12,FALSE)</f>
        <v>100</v>
      </c>
      <c r="J202" s="5">
        <f>VLOOKUP(globalfreelancepreprocesseddata!A202,worksheet!A:P,13,FALSE)</f>
        <v>2.5</v>
      </c>
      <c r="K202" s="5">
        <f>VLOOKUP(globalfreelancepreprocesseddata!A202,worksheet!A:P,14,FALSE)</f>
        <v>1</v>
      </c>
      <c r="L202" s="7">
        <f>VLOOKUP(globalfreelancepreprocesseddata!A202,worksheet!A:P,16,FALSE)</f>
        <v>0.87</v>
      </c>
    </row>
    <row r="203" spans="1:12" x14ac:dyDescent="0.35">
      <c r="A203" s="5" t="s">
        <v>480</v>
      </c>
      <c r="B203" s="5" t="str">
        <f>VLOOKUP(globalfreelancepreprocesseddata!A203,worksheet!A:P,3,FALSE)</f>
        <v>Heidi Miranda</v>
      </c>
      <c r="C203" s="5" t="str">
        <f>VLOOKUP(globalfreelancepreprocesseddata!A203,worksheet!A:P,5,FALSE)</f>
        <v>Female</v>
      </c>
      <c r="D203" s="5">
        <f>VLOOKUP(globalfreelancepreprocesseddata!A203,worksheet!A:P,6,FALSE)</f>
        <v>55</v>
      </c>
      <c r="E203" s="5" t="str">
        <f>VLOOKUP(globalfreelancepreprocesseddata!A203,worksheet!A:P,7,FALSE)</f>
        <v>China</v>
      </c>
      <c r="F203" s="5" t="str">
        <f>VLOOKUP(globalfreelancepreprocesseddata!A203,worksheet!A:P,8,FALSE)</f>
        <v>Mandarin</v>
      </c>
      <c r="G203" s="5" t="str">
        <f>VLOOKUP(globalfreelancepreprocesseddata!A203,worksheet!A:P,9,FALSE)</f>
        <v>Machine Learning</v>
      </c>
      <c r="H203" s="5">
        <f>VLOOKUP(globalfreelancepreprocesseddata!A203,worksheet!A:P,10,FALSE)</f>
        <v>7</v>
      </c>
      <c r="I203" s="6">
        <f>VLOOKUP(globalfreelancepreprocesseddata!A203,worksheet!A:P,12,FALSE)</f>
        <v>100</v>
      </c>
      <c r="J203" s="5">
        <f>VLOOKUP(globalfreelancepreprocesseddata!A203,worksheet!A:P,13,FALSE)</f>
        <v>1.7</v>
      </c>
      <c r="K203" s="5">
        <f>VLOOKUP(globalfreelancepreprocesseddata!A203,worksheet!A:P,14,FALSE)</f>
        <v>1</v>
      </c>
      <c r="L203" s="7">
        <f>VLOOKUP(globalfreelancepreprocesseddata!A203,worksheet!A:P,16,FALSE)</f>
        <v>0.8</v>
      </c>
    </row>
    <row r="204" spans="1:12" x14ac:dyDescent="0.35">
      <c r="A204" s="5" t="s">
        <v>482</v>
      </c>
      <c r="B204" s="5" t="str">
        <f>VLOOKUP(globalfreelancepreprocesseddata!A204,worksheet!A:P,3,FALSE)</f>
        <v>Jesus Martinez</v>
      </c>
      <c r="C204" s="5" t="str">
        <f>VLOOKUP(globalfreelancepreprocesseddata!A204,worksheet!A:P,5,FALSE)</f>
        <v>Male</v>
      </c>
      <c r="D204" s="5">
        <f>VLOOKUP(globalfreelancepreprocesseddata!A204,worksheet!A:P,6,FALSE)</f>
        <v>42</v>
      </c>
      <c r="E204" s="5" t="str">
        <f>VLOOKUP(globalfreelancepreprocesseddata!A204,worksheet!A:P,7,FALSE)</f>
        <v>Italy</v>
      </c>
      <c r="F204" s="5" t="str">
        <f>VLOOKUP(globalfreelancepreprocesseddata!A204,worksheet!A:P,8,FALSE)</f>
        <v>Italian</v>
      </c>
      <c r="G204" s="5" t="str">
        <f>VLOOKUP(globalfreelancepreprocesseddata!A204,worksheet!A:P,9,FALSE)</f>
        <v>DevOps</v>
      </c>
      <c r="H204" s="5">
        <f>VLOOKUP(globalfreelancepreprocesseddata!A204,worksheet!A:P,10,FALSE)</f>
        <v>10</v>
      </c>
      <c r="I204" s="6" t="str">
        <f>VLOOKUP(globalfreelancepreprocesseddata!A204,worksheet!A:P,12,FALSE)</f>
        <v>$ 100</v>
      </c>
      <c r="J204" s="5">
        <f>VLOOKUP(globalfreelancepreprocesseddata!A204,worksheet!A:P,13,FALSE)</f>
        <v>4.5999999999999996</v>
      </c>
      <c r="K204" s="5">
        <f>VLOOKUP(globalfreelancepreprocesseddata!A204,worksheet!A:P,14,FALSE)</f>
        <v>1</v>
      </c>
      <c r="L204" s="7">
        <f>VLOOKUP(globalfreelancepreprocesseddata!A204,worksheet!A:P,16,FALSE)</f>
        <v>0.71</v>
      </c>
    </row>
    <row r="205" spans="1:12" x14ac:dyDescent="0.35">
      <c r="A205" s="5" t="s">
        <v>484</v>
      </c>
      <c r="B205" s="5" t="str">
        <f>VLOOKUP(globalfreelancepreprocesseddata!A205,worksheet!A:P,3,FALSE)</f>
        <v>Adam Payne</v>
      </c>
      <c r="C205" s="5" t="str">
        <f>VLOOKUP(globalfreelancepreprocesseddata!A205,worksheet!A:P,5,FALSE)</f>
        <v>Male</v>
      </c>
      <c r="D205" s="5">
        <f>VLOOKUP(globalfreelancepreprocesseddata!A205,worksheet!A:P,6,FALSE)</f>
        <v>43</v>
      </c>
      <c r="E205" s="5" t="str">
        <f>VLOOKUP(globalfreelancepreprocesseddata!A205,worksheet!A:P,7,FALSE)</f>
        <v>Russia</v>
      </c>
      <c r="F205" s="5" t="str">
        <f>VLOOKUP(globalfreelancepreprocesseddata!A205,worksheet!A:P,8,FALSE)</f>
        <v>Russian</v>
      </c>
      <c r="G205" s="5" t="str">
        <f>VLOOKUP(globalfreelancepreprocesseddata!A205,worksheet!A:P,9,FALSE)</f>
        <v>Mobile Apps</v>
      </c>
      <c r="H205" s="5">
        <f>VLOOKUP(globalfreelancepreprocesseddata!A205,worksheet!A:P,10,FALSE)</f>
        <v>6</v>
      </c>
      <c r="I205" s="6">
        <f>VLOOKUP(globalfreelancepreprocesseddata!A205,worksheet!A:P,12,FALSE)</f>
        <v>50</v>
      </c>
      <c r="J205" s="5">
        <f>VLOOKUP(globalfreelancepreprocesseddata!A205,worksheet!A:P,13,FALSE)</f>
        <v>3</v>
      </c>
      <c r="K205" s="5">
        <f>VLOOKUP(globalfreelancepreprocesseddata!A205,worksheet!A:P,14,FALSE)</f>
        <v>0</v>
      </c>
      <c r="L205" s="7">
        <f>VLOOKUP(globalfreelancepreprocesseddata!A205,worksheet!A:P,16,FALSE)</f>
        <v>0.77</v>
      </c>
    </row>
    <row r="206" spans="1:12" x14ac:dyDescent="0.35">
      <c r="A206" s="5" t="s">
        <v>486</v>
      </c>
      <c r="B206" s="5" t="str">
        <f>VLOOKUP(globalfreelancepreprocesseddata!A206,worksheet!A:P,3,FALSE)</f>
        <v>Walter Williams</v>
      </c>
      <c r="C206" s="5" t="str">
        <f>VLOOKUP(globalfreelancepreprocesseddata!A206,worksheet!A:P,5,FALSE)</f>
        <v>Male</v>
      </c>
      <c r="D206" s="5">
        <f>VLOOKUP(globalfreelancepreprocesseddata!A206,worksheet!A:P,6,FALSE)</f>
        <v>54</v>
      </c>
      <c r="E206" s="5" t="str">
        <f>VLOOKUP(globalfreelancepreprocesseddata!A206,worksheet!A:P,7,FALSE)</f>
        <v>Italy</v>
      </c>
      <c r="F206" s="5" t="str">
        <f>VLOOKUP(globalfreelancepreprocesseddata!A206,worksheet!A:P,8,FALSE)</f>
        <v>Italian</v>
      </c>
      <c r="G206" s="5" t="str">
        <f>VLOOKUP(globalfreelancepreprocesseddata!A206,worksheet!A:P,9,FALSE)</f>
        <v>DevOps</v>
      </c>
      <c r="H206" s="5">
        <f>VLOOKUP(globalfreelancepreprocesseddata!A206,worksheet!A:P,10,FALSE)</f>
        <v>29</v>
      </c>
      <c r="I206" s="6">
        <f>VLOOKUP(globalfreelancepreprocesseddata!A206,worksheet!A:P,12,FALSE)</f>
        <v>30</v>
      </c>
      <c r="J206" s="5">
        <f>VLOOKUP(globalfreelancepreprocesseddata!A206,worksheet!A:P,13,FALSE)</f>
        <v>1.7</v>
      </c>
      <c r="K206" s="5">
        <f>VLOOKUP(globalfreelancepreprocesseddata!A206,worksheet!A:P,14,FALSE)</f>
        <v>0</v>
      </c>
      <c r="L206" s="7">
        <f>VLOOKUP(globalfreelancepreprocesseddata!A206,worksheet!A:P,16,FALSE)</f>
        <v>0.68</v>
      </c>
    </row>
    <row r="207" spans="1:12" x14ac:dyDescent="0.35">
      <c r="A207" s="5" t="s">
        <v>488</v>
      </c>
      <c r="B207" s="5" t="str">
        <f>VLOOKUP(globalfreelancepreprocesseddata!A207,worksheet!A:P,3,FALSE)</f>
        <v>Shannon Farmer</v>
      </c>
      <c r="C207" s="5" t="str">
        <f>VLOOKUP(globalfreelancepreprocesseddata!A207,worksheet!A:P,5,FALSE)</f>
        <v>Female</v>
      </c>
      <c r="D207" s="5">
        <f>VLOOKUP(globalfreelancepreprocesseddata!A207,worksheet!A:P,6,FALSE)</f>
        <v>21</v>
      </c>
      <c r="E207" s="5" t="str">
        <f>VLOOKUP(globalfreelancepreprocesseddata!A207,worksheet!A:P,7,FALSE)</f>
        <v>Egypt</v>
      </c>
      <c r="F207" s="5" t="str">
        <f>VLOOKUP(globalfreelancepreprocesseddata!A207,worksheet!A:P,8,FALSE)</f>
        <v>Arabic</v>
      </c>
      <c r="G207" s="5" t="str">
        <f>VLOOKUP(globalfreelancepreprocesseddata!A207,worksheet!A:P,9,FALSE)</f>
        <v>Graphic Design</v>
      </c>
      <c r="H207" s="5">
        <f>VLOOKUP(globalfreelancepreprocesseddata!A207,worksheet!A:P,10,FALSE)</f>
        <v>11</v>
      </c>
      <c r="I207" s="6">
        <f>VLOOKUP(globalfreelancepreprocesseddata!A207,worksheet!A:P,12,FALSE)</f>
        <v>20</v>
      </c>
      <c r="J207" s="5">
        <f>VLOOKUP(globalfreelancepreprocesseddata!A207,worksheet!A:P,13,FALSE)</f>
        <v>1.8</v>
      </c>
      <c r="K207" s="5">
        <f>VLOOKUP(globalfreelancepreprocesseddata!A207,worksheet!A:P,14,FALSE)</f>
        <v>0</v>
      </c>
      <c r="L207" s="7">
        <f>VLOOKUP(globalfreelancepreprocesseddata!A207,worksheet!A:P,16,FALSE)</f>
        <v>0.91</v>
      </c>
    </row>
    <row r="208" spans="1:12" x14ac:dyDescent="0.35">
      <c r="A208" s="5" t="s">
        <v>490</v>
      </c>
      <c r="B208" s="5" t="str">
        <f>VLOOKUP(globalfreelancepreprocesseddata!A208,worksheet!A:P,3,FALSE)</f>
        <v>Peter Reyes</v>
      </c>
      <c r="C208" s="5" t="str">
        <f>VLOOKUP(globalfreelancepreprocesseddata!A208,worksheet!A:P,5,FALSE)</f>
        <v>Male</v>
      </c>
      <c r="D208" s="5">
        <f>VLOOKUP(globalfreelancepreprocesseddata!A208,worksheet!A:P,6,FALSE)</f>
        <v>46</v>
      </c>
      <c r="E208" s="5" t="str">
        <f>VLOOKUP(globalfreelancepreprocesseddata!A208,worksheet!A:P,7,FALSE)</f>
        <v>Canada</v>
      </c>
      <c r="F208" s="5" t="str">
        <f>VLOOKUP(globalfreelancepreprocesseddata!A208,worksheet!A:P,8,FALSE)</f>
        <v>English</v>
      </c>
      <c r="G208" s="5" t="str">
        <f>VLOOKUP(globalfreelancepreprocesseddata!A208,worksheet!A:P,9,FALSE)</f>
        <v>UI/UX Design</v>
      </c>
      <c r="H208" s="5">
        <f>VLOOKUP(globalfreelancepreprocesseddata!A208,worksheet!A:P,10,FALSE)</f>
        <v>5</v>
      </c>
      <c r="I208" s="6">
        <f>VLOOKUP(globalfreelancepreprocesseddata!A208,worksheet!A:P,12,FALSE)</f>
        <v>20</v>
      </c>
      <c r="J208" s="5">
        <f>VLOOKUP(globalfreelancepreprocesseddata!A208,worksheet!A:P,13,FALSE)</f>
        <v>2.2000000000000002</v>
      </c>
      <c r="K208" s="5">
        <f>VLOOKUP(globalfreelancepreprocesseddata!A208,worksheet!A:P,14,FALSE)</f>
        <v>0</v>
      </c>
      <c r="L208" s="7">
        <f>VLOOKUP(globalfreelancepreprocesseddata!A208,worksheet!A:P,16,FALSE)</f>
        <v>0.75</v>
      </c>
    </row>
    <row r="209" spans="1:12" x14ac:dyDescent="0.35">
      <c r="A209" s="5" t="s">
        <v>492</v>
      </c>
      <c r="B209" s="5" t="str">
        <f>VLOOKUP(globalfreelancepreprocesseddata!A209,worksheet!A:P,3,FALSE)</f>
        <v>Kristen Knight</v>
      </c>
      <c r="C209" s="5" t="str">
        <f>VLOOKUP(globalfreelancepreprocesseddata!A209,worksheet!A:P,5,FALSE)</f>
        <v>Female</v>
      </c>
      <c r="D209" s="5">
        <f>VLOOKUP(globalfreelancepreprocesseddata!A209,worksheet!A:P,6,FALSE)</f>
        <v>30</v>
      </c>
      <c r="E209" s="5" t="str">
        <f>VLOOKUP(globalfreelancepreprocesseddata!A209,worksheet!A:P,7,FALSE)</f>
        <v>Spain</v>
      </c>
      <c r="F209" s="5" t="str">
        <f>VLOOKUP(globalfreelancepreprocesseddata!A209,worksheet!A:P,8,FALSE)</f>
        <v>Spanish</v>
      </c>
      <c r="G209" s="5" t="str">
        <f>VLOOKUP(globalfreelancepreprocesseddata!A209,worksheet!A:P,9,FALSE)</f>
        <v>Blockchain Development</v>
      </c>
      <c r="H209" s="5">
        <f>VLOOKUP(globalfreelancepreprocesseddata!A209,worksheet!A:P,10,FALSE)</f>
        <v>11</v>
      </c>
      <c r="I209" s="6">
        <f>VLOOKUP(globalfreelancepreprocesseddata!A209,worksheet!A:P,12,FALSE)</f>
        <v>40</v>
      </c>
      <c r="J209" s="5">
        <f>VLOOKUP(globalfreelancepreprocesseddata!A209,worksheet!A:P,13,FALSE)</f>
        <v>1</v>
      </c>
      <c r="K209" s="5">
        <f>VLOOKUP(globalfreelancepreprocesseddata!A209,worksheet!A:P,14,FALSE)</f>
        <v>0</v>
      </c>
      <c r="L209" s="7">
        <f>VLOOKUP(globalfreelancepreprocesseddata!A209,worksheet!A:P,16,FALSE)</f>
        <v>0.9</v>
      </c>
    </row>
    <row r="210" spans="1:12" x14ac:dyDescent="0.35">
      <c r="A210" s="5" t="s">
        <v>494</v>
      </c>
      <c r="B210" s="5" t="str">
        <f>VLOOKUP(globalfreelancepreprocesseddata!A210,worksheet!A:P,3,FALSE)</f>
        <v>William Moore Jr.</v>
      </c>
      <c r="C210" s="5" t="str">
        <f>VLOOKUP(globalfreelancepreprocesseddata!A210,worksheet!A:P,5,FALSE)</f>
        <v>Male</v>
      </c>
      <c r="D210" s="5">
        <f>VLOOKUP(globalfreelancepreprocesseddata!A210,worksheet!A:P,6,FALSE)</f>
        <v>36</v>
      </c>
      <c r="E210" s="5" t="str">
        <f>VLOOKUP(globalfreelancepreprocesseddata!A210,worksheet!A:P,7,FALSE)</f>
        <v>China</v>
      </c>
      <c r="F210" s="5" t="str">
        <f>VLOOKUP(globalfreelancepreprocesseddata!A210,worksheet!A:P,8,FALSE)</f>
        <v>Mandarin</v>
      </c>
      <c r="G210" s="5" t="str">
        <f>VLOOKUP(globalfreelancepreprocesseddata!A210,worksheet!A:P,9,FALSE)</f>
        <v>Machine Learning</v>
      </c>
      <c r="H210" s="5">
        <f>VLOOKUP(globalfreelancepreprocesseddata!A210,worksheet!A:P,10,FALSE)</f>
        <v>11</v>
      </c>
      <c r="I210" s="6">
        <f>VLOOKUP(globalfreelancepreprocesseddata!A210,worksheet!A:P,12,FALSE)</f>
        <v>75</v>
      </c>
      <c r="J210" s="5">
        <f>VLOOKUP(globalfreelancepreprocesseddata!A210,worksheet!A:P,13,FALSE)</f>
        <v>3.2</v>
      </c>
      <c r="K210" s="5">
        <f>VLOOKUP(globalfreelancepreprocesseddata!A210,worksheet!A:P,14,FALSE)</f>
        <v>0</v>
      </c>
      <c r="L210" s="7">
        <f>VLOOKUP(globalfreelancepreprocesseddata!A210,worksheet!A:P,16,FALSE)</f>
        <v>0.93</v>
      </c>
    </row>
    <row r="211" spans="1:12" x14ac:dyDescent="0.35">
      <c r="A211" s="5" t="s">
        <v>496</v>
      </c>
      <c r="B211" s="5" t="str">
        <f>VLOOKUP(globalfreelancepreprocesseddata!A211,worksheet!A:P,3,FALSE)</f>
        <v>Jennifer Rowe</v>
      </c>
      <c r="C211" s="5" t="str">
        <f>VLOOKUP(globalfreelancepreprocesseddata!A211,worksheet!A:P,5,FALSE)</f>
        <v>Female</v>
      </c>
      <c r="D211" s="5">
        <f>VLOOKUP(globalfreelancepreprocesseddata!A211,worksheet!A:P,6,FALSE)</f>
        <v>47</v>
      </c>
      <c r="E211" s="5" t="str">
        <f>VLOOKUP(globalfreelancepreprocesseddata!A211,worksheet!A:P,7,FALSE)</f>
        <v>Germany</v>
      </c>
      <c r="F211" s="5" t="str">
        <f>VLOOKUP(globalfreelancepreprocesseddata!A211,worksheet!A:P,8,FALSE)</f>
        <v>German</v>
      </c>
      <c r="G211" s="5" t="str">
        <f>VLOOKUP(globalfreelancepreprocesseddata!A211,worksheet!A:P,9,FALSE)</f>
        <v>Data Analysis</v>
      </c>
      <c r="H211" s="5">
        <f>VLOOKUP(globalfreelancepreprocesseddata!A211,worksheet!A:P,10,FALSE)</f>
        <v>15</v>
      </c>
      <c r="I211" s="6">
        <f>VLOOKUP(globalfreelancepreprocesseddata!A211,worksheet!A:P,12,FALSE)</f>
        <v>40</v>
      </c>
      <c r="J211" s="5">
        <f>VLOOKUP(globalfreelancepreprocesseddata!A211,worksheet!A:P,13,FALSE)</f>
        <v>2.1</v>
      </c>
      <c r="K211" s="5">
        <f>VLOOKUP(globalfreelancepreprocesseddata!A211,worksheet!A:P,14,FALSE)</f>
        <v>1</v>
      </c>
      <c r="L211" s="7">
        <f>VLOOKUP(globalfreelancepreprocesseddata!A211,worksheet!A:P,16,FALSE)</f>
        <v>0.94</v>
      </c>
    </row>
    <row r="212" spans="1:12" x14ac:dyDescent="0.35">
      <c r="A212" s="5" t="s">
        <v>498</v>
      </c>
      <c r="B212" s="5" t="str">
        <f>VLOOKUP(globalfreelancepreprocesseddata!A212,worksheet!A:P,3,FALSE)</f>
        <v>Mikayla Henry</v>
      </c>
      <c r="C212" s="5" t="str">
        <f>VLOOKUP(globalfreelancepreprocesseddata!A212,worksheet!A:P,5,FALSE)</f>
        <v>Female</v>
      </c>
      <c r="D212" s="5">
        <f>VLOOKUP(globalfreelancepreprocesseddata!A212,worksheet!A:P,6,FALSE)</f>
        <v>43</v>
      </c>
      <c r="E212" s="5" t="str">
        <f>VLOOKUP(globalfreelancepreprocesseddata!A212,worksheet!A:P,7,FALSE)</f>
        <v>Canada</v>
      </c>
      <c r="F212" s="5" t="str">
        <f>VLOOKUP(globalfreelancepreprocesseddata!A212,worksheet!A:P,8,FALSE)</f>
        <v>English</v>
      </c>
      <c r="G212" s="5" t="str">
        <f>VLOOKUP(globalfreelancepreprocesseddata!A212,worksheet!A:P,9,FALSE)</f>
        <v>Mobile Apps</v>
      </c>
      <c r="H212" s="5">
        <f>VLOOKUP(globalfreelancepreprocesseddata!A212,worksheet!A:P,10,FALSE)</f>
        <v>1</v>
      </c>
      <c r="I212" s="6" t="str">
        <f>VLOOKUP(globalfreelancepreprocesseddata!A212,worksheet!A:P,12,FALSE)</f>
        <v>$ 50</v>
      </c>
      <c r="J212" s="5">
        <f>VLOOKUP(globalfreelancepreprocesseddata!A212,worksheet!A:P,13,FALSE)</f>
        <v>4.5999999999999996</v>
      </c>
      <c r="K212" s="5">
        <f>VLOOKUP(globalfreelancepreprocesseddata!A212,worksheet!A:P,14,FALSE)</f>
        <v>1</v>
      </c>
      <c r="L212" s="7">
        <f>VLOOKUP(globalfreelancepreprocesseddata!A212,worksheet!A:P,16,FALSE)</f>
        <v>0.64</v>
      </c>
    </row>
    <row r="213" spans="1:12" x14ac:dyDescent="0.35">
      <c r="A213" s="5" t="s">
        <v>500</v>
      </c>
      <c r="B213" s="5" t="str">
        <f>VLOOKUP(globalfreelancepreprocesseddata!A213,worksheet!A:P,3,FALSE)</f>
        <v>Jacob Kerr</v>
      </c>
      <c r="C213" s="5" t="str">
        <f>VLOOKUP(globalfreelancepreprocesseddata!A213,worksheet!A:P,5,FALSE)</f>
        <v>Male</v>
      </c>
      <c r="D213" s="5">
        <f>VLOOKUP(globalfreelancepreprocesseddata!A213,worksheet!A:P,6,FALSE)</f>
        <v>57</v>
      </c>
      <c r="E213" s="5" t="str">
        <f>VLOOKUP(globalfreelancepreprocesseddata!A213,worksheet!A:P,7,FALSE)</f>
        <v>South Korea</v>
      </c>
      <c r="F213" s="5" t="str">
        <f>VLOOKUP(globalfreelancepreprocesseddata!A213,worksheet!A:P,8,FALSE)</f>
        <v>Korean</v>
      </c>
      <c r="G213" s="5" t="str">
        <f>VLOOKUP(globalfreelancepreprocesseddata!A213,worksheet!A:P,9,FALSE)</f>
        <v>Cybersecurity</v>
      </c>
      <c r="H213" s="5">
        <f>VLOOKUP(globalfreelancepreprocesseddata!A213,worksheet!A:P,10,FALSE)</f>
        <v>8</v>
      </c>
      <c r="I213" s="6">
        <f>VLOOKUP(globalfreelancepreprocesseddata!A213,worksheet!A:P,12,FALSE)</f>
        <v>20</v>
      </c>
      <c r="J213" s="5">
        <f>VLOOKUP(globalfreelancepreprocesseddata!A213,worksheet!A:P,13,FALSE)</f>
        <v>0</v>
      </c>
      <c r="K213" s="5">
        <f>VLOOKUP(globalfreelancepreprocesseddata!A213,worksheet!A:P,14,FALSE)</f>
        <v>1</v>
      </c>
      <c r="L213" s="7">
        <f>VLOOKUP(globalfreelancepreprocesseddata!A213,worksheet!A:P,16,FALSE)</f>
        <v>0.84</v>
      </c>
    </row>
    <row r="214" spans="1:12" x14ac:dyDescent="0.35">
      <c r="A214" s="5" t="s">
        <v>502</v>
      </c>
      <c r="B214" s="5" t="str">
        <f>VLOOKUP(globalfreelancepreprocesseddata!A214,worksheet!A:P,3,FALSE)</f>
        <v>Ryan Johnson</v>
      </c>
      <c r="C214" s="5" t="str">
        <f>VLOOKUP(globalfreelancepreprocesseddata!A214,worksheet!A:P,5,FALSE)</f>
        <v>Male</v>
      </c>
      <c r="D214" s="5">
        <f>VLOOKUP(globalfreelancepreprocesseddata!A214,worksheet!A:P,6,FALSE)</f>
        <v>52</v>
      </c>
      <c r="E214" s="5" t="str">
        <f>VLOOKUP(globalfreelancepreprocesseddata!A214,worksheet!A:P,7,FALSE)</f>
        <v>Italy</v>
      </c>
      <c r="F214" s="5" t="str">
        <f>VLOOKUP(globalfreelancepreprocesseddata!A214,worksheet!A:P,8,FALSE)</f>
        <v>Italian</v>
      </c>
      <c r="G214" s="5" t="str">
        <f>VLOOKUP(globalfreelancepreprocesseddata!A214,worksheet!A:P,9,FALSE)</f>
        <v>Machine Learning</v>
      </c>
      <c r="H214" s="5">
        <f>VLOOKUP(globalfreelancepreprocesseddata!A214,worksheet!A:P,10,FALSE)</f>
        <v>30</v>
      </c>
      <c r="I214" s="6">
        <f>VLOOKUP(globalfreelancepreprocesseddata!A214,worksheet!A:P,12,FALSE)</f>
        <v>20</v>
      </c>
      <c r="J214" s="5">
        <f>VLOOKUP(globalfreelancepreprocesseddata!A214,worksheet!A:P,13,FALSE)</f>
        <v>2.8</v>
      </c>
      <c r="K214" s="5">
        <f>VLOOKUP(globalfreelancepreprocesseddata!A214,worksheet!A:P,14,FALSE)</f>
        <v>1</v>
      </c>
      <c r="L214" s="7">
        <f>VLOOKUP(globalfreelancepreprocesseddata!A214,worksheet!A:P,16,FALSE)</f>
        <v>0.87</v>
      </c>
    </row>
    <row r="215" spans="1:12" x14ac:dyDescent="0.35">
      <c r="A215" s="5" t="s">
        <v>504</v>
      </c>
      <c r="B215" s="5" t="str">
        <f>VLOOKUP(globalfreelancepreprocesseddata!A215,worksheet!A:P,3,FALSE)</f>
        <v>Michael Ruiz</v>
      </c>
      <c r="C215" s="5" t="str">
        <f>VLOOKUP(globalfreelancepreprocesseddata!A215,worksheet!A:P,5,FALSE)</f>
        <v>Male</v>
      </c>
      <c r="D215" s="5">
        <f>VLOOKUP(globalfreelancepreprocesseddata!A215,worksheet!A:P,6,FALSE)</f>
        <v>41</v>
      </c>
      <c r="E215" s="5" t="str">
        <f>VLOOKUP(globalfreelancepreprocesseddata!A215,worksheet!A:P,7,FALSE)</f>
        <v>Germany</v>
      </c>
      <c r="F215" s="5" t="str">
        <f>VLOOKUP(globalfreelancepreprocesseddata!A215,worksheet!A:P,8,FALSE)</f>
        <v>German</v>
      </c>
      <c r="G215" s="5" t="str">
        <f>VLOOKUP(globalfreelancepreprocesseddata!A215,worksheet!A:P,9,FALSE)</f>
        <v>Blockchain Development</v>
      </c>
      <c r="H215" s="5">
        <f>VLOOKUP(globalfreelancepreprocesseddata!A215,worksheet!A:P,10,FALSE)</f>
        <v>8</v>
      </c>
      <c r="I215" s="6">
        <f>VLOOKUP(globalfreelancepreprocesseddata!A215,worksheet!A:P,12,FALSE)</f>
        <v>40</v>
      </c>
      <c r="J215" s="5">
        <f>VLOOKUP(globalfreelancepreprocesseddata!A215,worksheet!A:P,13,FALSE)</f>
        <v>0</v>
      </c>
      <c r="K215" s="5">
        <f>VLOOKUP(globalfreelancepreprocesseddata!A215,worksheet!A:P,14,FALSE)</f>
        <v>0</v>
      </c>
      <c r="L215" s="7">
        <f>VLOOKUP(globalfreelancepreprocesseddata!A215,worksheet!A:P,16,FALSE)</f>
        <v>0.64</v>
      </c>
    </row>
    <row r="216" spans="1:12" x14ac:dyDescent="0.35">
      <c r="A216" s="5" t="s">
        <v>506</v>
      </c>
      <c r="B216" s="5" t="str">
        <f>VLOOKUP(globalfreelancepreprocesseddata!A216,worksheet!A:P,3,FALSE)</f>
        <v>Monica Roberts</v>
      </c>
      <c r="C216" s="5" t="str">
        <f>VLOOKUP(globalfreelancepreprocesseddata!A216,worksheet!A:P,5,FALSE)</f>
        <v>Female</v>
      </c>
      <c r="D216" s="5">
        <f>VLOOKUP(globalfreelancepreprocesseddata!A216,worksheet!A:P,6,FALSE)</f>
        <v>22</v>
      </c>
      <c r="E216" s="5" t="str">
        <f>VLOOKUP(globalfreelancepreprocesseddata!A216,worksheet!A:P,7,FALSE)</f>
        <v>Indonesia</v>
      </c>
      <c r="F216" s="5" t="str">
        <f>VLOOKUP(globalfreelancepreprocesseddata!A216,worksheet!A:P,8,FALSE)</f>
        <v>Indonesian</v>
      </c>
      <c r="G216" s="5" t="str">
        <f>VLOOKUP(globalfreelancepreprocesseddata!A216,worksheet!A:P,9,FALSE)</f>
        <v>Machine Learning</v>
      </c>
      <c r="H216" s="5">
        <f>VLOOKUP(globalfreelancepreprocesseddata!A216,worksheet!A:P,10,FALSE)</f>
        <v>11</v>
      </c>
      <c r="I216" s="6">
        <f>VLOOKUP(globalfreelancepreprocesseddata!A216,worksheet!A:P,12,FALSE)</f>
        <v>100</v>
      </c>
      <c r="J216" s="5">
        <f>VLOOKUP(globalfreelancepreprocesseddata!A216,worksheet!A:P,13,FALSE)</f>
        <v>2.7</v>
      </c>
      <c r="K216" s="5">
        <f>VLOOKUP(globalfreelancepreprocesseddata!A216,worksheet!A:P,14,FALSE)</f>
        <v>1</v>
      </c>
      <c r="L216" s="7">
        <f>VLOOKUP(globalfreelancepreprocesseddata!A216,worksheet!A:P,16,FALSE)</f>
        <v>0.64</v>
      </c>
    </row>
    <row r="217" spans="1:12" x14ac:dyDescent="0.35">
      <c r="A217" s="5" t="s">
        <v>508</v>
      </c>
      <c r="B217" s="5" t="str">
        <f>VLOOKUP(globalfreelancepreprocesseddata!A217,worksheet!A:P,3,FALSE)</f>
        <v>Danny Brown</v>
      </c>
      <c r="C217" s="5" t="str">
        <f>VLOOKUP(globalfreelancepreprocesseddata!A217,worksheet!A:P,5,FALSE)</f>
        <v>Male</v>
      </c>
      <c r="D217" s="5">
        <f>VLOOKUP(globalfreelancepreprocesseddata!A217,worksheet!A:P,6,FALSE)</f>
        <v>41</v>
      </c>
      <c r="E217" s="5" t="str">
        <f>VLOOKUP(globalfreelancepreprocesseddata!A217,worksheet!A:P,7,FALSE)</f>
        <v>India</v>
      </c>
      <c r="F217" s="5" t="str">
        <f>VLOOKUP(globalfreelancepreprocesseddata!A217,worksheet!A:P,8,FALSE)</f>
        <v>Hindi</v>
      </c>
      <c r="G217" s="5" t="str">
        <f>VLOOKUP(globalfreelancepreprocesseddata!A217,worksheet!A:P,9,FALSE)</f>
        <v>Machine Learning</v>
      </c>
      <c r="H217" s="5">
        <f>VLOOKUP(globalfreelancepreprocesseddata!A217,worksheet!A:P,10,FALSE)</f>
        <v>12</v>
      </c>
      <c r="I217" s="6">
        <f>VLOOKUP(globalfreelancepreprocesseddata!A217,worksheet!A:P,12,FALSE)</f>
        <v>20</v>
      </c>
      <c r="J217" s="5">
        <f>VLOOKUP(globalfreelancepreprocesseddata!A217,worksheet!A:P,13,FALSE)</f>
        <v>0</v>
      </c>
      <c r="K217" s="5">
        <f>VLOOKUP(globalfreelancepreprocesseddata!A217,worksheet!A:P,14,FALSE)</f>
        <v>1</v>
      </c>
      <c r="L217" s="7">
        <f>VLOOKUP(globalfreelancepreprocesseddata!A217,worksheet!A:P,16,FALSE)</f>
        <v>0.8</v>
      </c>
    </row>
    <row r="218" spans="1:12" x14ac:dyDescent="0.35">
      <c r="A218" s="5" t="s">
        <v>510</v>
      </c>
      <c r="B218" s="5" t="str">
        <f>VLOOKUP(globalfreelancepreprocesseddata!A218,worksheet!A:P,3,FALSE)</f>
        <v>Karen Larsen</v>
      </c>
      <c r="C218" s="5" t="str">
        <f>VLOOKUP(globalfreelancepreprocesseddata!A218,worksheet!A:P,5,FALSE)</f>
        <v>Female</v>
      </c>
      <c r="D218" s="5">
        <f>VLOOKUP(globalfreelancepreprocesseddata!A218,worksheet!A:P,6,FALSE)</f>
        <v>58</v>
      </c>
      <c r="E218" s="5" t="str">
        <f>VLOOKUP(globalfreelancepreprocesseddata!A218,worksheet!A:P,7,FALSE)</f>
        <v>Spain</v>
      </c>
      <c r="F218" s="5" t="str">
        <f>VLOOKUP(globalfreelancepreprocesseddata!A218,worksheet!A:P,8,FALSE)</f>
        <v>Spanish</v>
      </c>
      <c r="G218" s="5" t="str">
        <f>VLOOKUP(globalfreelancepreprocesseddata!A218,worksheet!A:P,9,FALSE)</f>
        <v>Mobile Apps</v>
      </c>
      <c r="H218" s="5">
        <f>VLOOKUP(globalfreelancepreprocesseddata!A218,worksheet!A:P,10,FALSE)</f>
        <v>4</v>
      </c>
      <c r="I218" s="6">
        <f>VLOOKUP(globalfreelancepreprocesseddata!A218,worksheet!A:P,12,FALSE)</f>
        <v>50</v>
      </c>
      <c r="J218" s="5">
        <f>VLOOKUP(globalfreelancepreprocesseddata!A218,worksheet!A:P,13,FALSE)</f>
        <v>3.1</v>
      </c>
      <c r="K218" s="5">
        <f>VLOOKUP(globalfreelancepreprocesseddata!A218,worksheet!A:P,14,FALSE)</f>
        <v>0</v>
      </c>
      <c r="L218" s="7">
        <f>VLOOKUP(globalfreelancepreprocesseddata!A218,worksheet!A:P,16,FALSE)</f>
        <v>0.9</v>
      </c>
    </row>
    <row r="219" spans="1:12" x14ac:dyDescent="0.35">
      <c r="A219" s="5" t="s">
        <v>512</v>
      </c>
      <c r="B219" s="5" t="str">
        <f>VLOOKUP(globalfreelancepreprocesseddata!A219,worksheet!A:P,3,FALSE)</f>
        <v>Robert Evans</v>
      </c>
      <c r="C219" s="5" t="str">
        <f>VLOOKUP(globalfreelancepreprocesseddata!A219,worksheet!A:P,5,FALSE)</f>
        <v>Male</v>
      </c>
      <c r="D219" s="5">
        <f>VLOOKUP(globalfreelancepreprocesseddata!A219,worksheet!A:P,6,FALSE)</f>
        <v>39</v>
      </c>
      <c r="E219" s="5" t="str">
        <f>VLOOKUP(globalfreelancepreprocesseddata!A219,worksheet!A:P,7,FALSE)</f>
        <v>South Korea</v>
      </c>
      <c r="F219" s="5" t="str">
        <f>VLOOKUP(globalfreelancepreprocesseddata!A219,worksheet!A:P,8,FALSE)</f>
        <v>Korean</v>
      </c>
      <c r="G219" s="5" t="str">
        <f>VLOOKUP(globalfreelancepreprocesseddata!A219,worksheet!A:P,9,FALSE)</f>
        <v>Web Development</v>
      </c>
      <c r="H219" s="5">
        <f>VLOOKUP(globalfreelancepreprocesseddata!A219,worksheet!A:P,10,FALSE)</f>
        <v>14</v>
      </c>
      <c r="I219" s="6" t="str">
        <f>VLOOKUP(globalfreelancepreprocesseddata!A219,worksheet!A:P,12,FALSE)</f>
        <v>$ 100</v>
      </c>
      <c r="J219" s="5">
        <f>VLOOKUP(globalfreelancepreprocesseddata!A219,worksheet!A:P,13,FALSE)</f>
        <v>0</v>
      </c>
      <c r="K219" s="5">
        <f>VLOOKUP(globalfreelancepreprocesseddata!A219,worksheet!A:P,14,FALSE)</f>
        <v>1</v>
      </c>
      <c r="L219" s="7">
        <f>VLOOKUP(globalfreelancepreprocesseddata!A219,worksheet!A:P,16,FALSE)</f>
        <v>0.92</v>
      </c>
    </row>
    <row r="220" spans="1:12" x14ac:dyDescent="0.35">
      <c r="A220" s="5" t="s">
        <v>514</v>
      </c>
      <c r="B220" s="5" t="str">
        <f>VLOOKUP(globalfreelancepreprocesseddata!A220,worksheet!A:P,3,FALSE)</f>
        <v>Sean Poole</v>
      </c>
      <c r="C220" s="5" t="str">
        <f>VLOOKUP(globalfreelancepreprocesseddata!A220,worksheet!A:P,5,FALSE)</f>
        <v>Male</v>
      </c>
      <c r="D220" s="5">
        <f>VLOOKUP(globalfreelancepreprocesseddata!A220,worksheet!A:P,6,FALSE)</f>
        <v>32</v>
      </c>
      <c r="E220" s="5" t="str">
        <f>VLOOKUP(globalfreelancepreprocesseddata!A220,worksheet!A:P,7,FALSE)</f>
        <v>Indonesia</v>
      </c>
      <c r="F220" s="5" t="str">
        <f>VLOOKUP(globalfreelancepreprocesseddata!A220,worksheet!A:P,8,FALSE)</f>
        <v>Indonesian</v>
      </c>
      <c r="G220" s="5" t="str">
        <f>VLOOKUP(globalfreelancepreprocesseddata!A220,worksheet!A:P,9,FALSE)</f>
        <v>Graphic Design</v>
      </c>
      <c r="H220" s="5">
        <f>VLOOKUP(globalfreelancepreprocesseddata!A220,worksheet!A:P,10,FALSE)</f>
        <v>14</v>
      </c>
      <c r="I220" s="6">
        <f>VLOOKUP(globalfreelancepreprocesseddata!A220,worksheet!A:P,12,FALSE)</f>
        <v>40</v>
      </c>
      <c r="J220" s="5">
        <f>VLOOKUP(globalfreelancepreprocesseddata!A220,worksheet!A:P,13,FALSE)</f>
        <v>3</v>
      </c>
      <c r="K220" s="5">
        <f>VLOOKUP(globalfreelancepreprocesseddata!A220,worksheet!A:P,14,FALSE)</f>
        <v>0</v>
      </c>
      <c r="L220" s="7">
        <f>VLOOKUP(globalfreelancepreprocesseddata!A220,worksheet!A:P,16,FALSE)</f>
        <v>0.96</v>
      </c>
    </row>
    <row r="221" spans="1:12" x14ac:dyDescent="0.35">
      <c r="A221" s="5" t="s">
        <v>516</v>
      </c>
      <c r="B221" s="5" t="str">
        <f>VLOOKUP(globalfreelancepreprocesseddata!A221,worksheet!A:P,3,FALSE)</f>
        <v>Richard Quinn</v>
      </c>
      <c r="C221" s="5" t="str">
        <f>VLOOKUP(globalfreelancepreprocesseddata!A221,worksheet!A:P,5,FALSE)</f>
        <v>Male</v>
      </c>
      <c r="D221" s="5">
        <f>VLOOKUP(globalfreelancepreprocesseddata!A221,worksheet!A:P,6,FALSE)</f>
        <v>37</v>
      </c>
      <c r="E221" s="5" t="str">
        <f>VLOOKUP(globalfreelancepreprocesseddata!A221,worksheet!A:P,7,FALSE)</f>
        <v>Canada</v>
      </c>
      <c r="F221" s="5" t="str">
        <f>VLOOKUP(globalfreelancepreprocesseddata!A221,worksheet!A:P,8,FALSE)</f>
        <v>English</v>
      </c>
      <c r="G221" s="5" t="str">
        <f>VLOOKUP(globalfreelancepreprocesseddata!A221,worksheet!A:P,9,FALSE)</f>
        <v>UI/UX Design</v>
      </c>
      <c r="H221" s="5">
        <f>VLOOKUP(globalfreelancepreprocesseddata!A221,worksheet!A:P,10,FALSE)</f>
        <v>2</v>
      </c>
      <c r="I221" s="6">
        <f>VLOOKUP(globalfreelancepreprocesseddata!A221,worksheet!A:P,12,FALSE)</f>
        <v>30</v>
      </c>
      <c r="J221" s="5">
        <f>VLOOKUP(globalfreelancepreprocesseddata!A221,worksheet!A:P,13,FALSE)</f>
        <v>2.2999999999999998</v>
      </c>
      <c r="K221" s="5">
        <f>VLOOKUP(globalfreelancepreprocesseddata!A221,worksheet!A:P,14,FALSE)</f>
        <v>1</v>
      </c>
      <c r="L221" s="7">
        <f>VLOOKUP(globalfreelancepreprocesseddata!A221,worksheet!A:P,16,FALSE)</f>
        <v>0.16</v>
      </c>
    </row>
    <row r="222" spans="1:12" x14ac:dyDescent="0.35">
      <c r="A222" s="5" t="s">
        <v>518</v>
      </c>
      <c r="B222" s="5" t="str">
        <f>VLOOKUP(globalfreelancepreprocesseddata!A222,worksheet!A:P,3,FALSE)</f>
        <v>Jennifer Gonzalez</v>
      </c>
      <c r="C222" s="5" t="str">
        <f>VLOOKUP(globalfreelancepreprocesseddata!A222,worksheet!A:P,5,FALSE)</f>
        <v>Female</v>
      </c>
      <c r="D222" s="5">
        <f>VLOOKUP(globalfreelancepreprocesseddata!A222,worksheet!A:P,6,FALSE)</f>
        <v>21</v>
      </c>
      <c r="E222" s="5" t="str">
        <f>VLOOKUP(globalfreelancepreprocesseddata!A222,worksheet!A:P,7,FALSE)</f>
        <v>China</v>
      </c>
      <c r="F222" s="5" t="str">
        <f>VLOOKUP(globalfreelancepreprocesseddata!A222,worksheet!A:P,8,FALSE)</f>
        <v>Mandarin</v>
      </c>
      <c r="G222" s="5" t="str">
        <f>VLOOKUP(globalfreelancepreprocesseddata!A222,worksheet!A:P,9,FALSE)</f>
        <v>Cybersecurity</v>
      </c>
      <c r="H222" s="5">
        <f>VLOOKUP(globalfreelancepreprocesseddata!A222,worksheet!A:P,10,FALSE)</f>
        <v>2</v>
      </c>
      <c r="I222" s="6">
        <f>VLOOKUP(globalfreelancepreprocesseddata!A222,worksheet!A:P,12,FALSE)</f>
        <v>100</v>
      </c>
      <c r="J222" s="5">
        <f>VLOOKUP(globalfreelancepreprocesseddata!A222,worksheet!A:P,13,FALSE)</f>
        <v>2.4</v>
      </c>
      <c r="K222" s="5">
        <f>VLOOKUP(globalfreelancepreprocesseddata!A222,worksheet!A:P,14,FALSE)</f>
        <v>1</v>
      </c>
      <c r="L222" s="7">
        <f>VLOOKUP(globalfreelancepreprocesseddata!A222,worksheet!A:P,16,FALSE)</f>
        <v>0.16</v>
      </c>
    </row>
    <row r="223" spans="1:12" x14ac:dyDescent="0.35">
      <c r="A223" s="5" t="s">
        <v>520</v>
      </c>
      <c r="B223" s="5" t="str">
        <f>VLOOKUP(globalfreelancepreprocesseddata!A223,worksheet!A:P,3,FALSE)</f>
        <v>James Skinner</v>
      </c>
      <c r="C223" s="5" t="str">
        <f>VLOOKUP(globalfreelancepreprocesseddata!A223,worksheet!A:P,5,FALSE)</f>
        <v>Male</v>
      </c>
      <c r="D223" s="5">
        <f>VLOOKUP(globalfreelancepreprocesseddata!A223,worksheet!A:P,6,FALSE)</f>
        <v>41</v>
      </c>
      <c r="E223" s="5" t="str">
        <f>VLOOKUP(globalfreelancepreprocesseddata!A223,worksheet!A:P,7,FALSE)</f>
        <v>South Korea</v>
      </c>
      <c r="F223" s="5" t="str">
        <f>VLOOKUP(globalfreelancepreprocesseddata!A223,worksheet!A:P,8,FALSE)</f>
        <v>Korean</v>
      </c>
      <c r="G223" s="5" t="str">
        <f>VLOOKUP(globalfreelancepreprocesseddata!A223,worksheet!A:P,9,FALSE)</f>
        <v>Machine Learning</v>
      </c>
      <c r="H223" s="5">
        <f>VLOOKUP(globalfreelancepreprocesseddata!A223,worksheet!A:P,10,FALSE)</f>
        <v>4</v>
      </c>
      <c r="I223" s="6">
        <f>VLOOKUP(globalfreelancepreprocesseddata!A223,worksheet!A:P,12,FALSE)</f>
        <v>75</v>
      </c>
      <c r="J223" s="5">
        <f>VLOOKUP(globalfreelancepreprocesseddata!A223,worksheet!A:P,13,FALSE)</f>
        <v>2.6</v>
      </c>
      <c r="K223" s="5">
        <f>VLOOKUP(globalfreelancepreprocesseddata!A223,worksheet!A:P,14,FALSE)</f>
        <v>1</v>
      </c>
      <c r="L223" s="7">
        <f>VLOOKUP(globalfreelancepreprocesseddata!A223,worksheet!A:P,16,FALSE)</f>
        <v>0.85</v>
      </c>
    </row>
    <row r="224" spans="1:12" x14ac:dyDescent="0.35">
      <c r="A224" s="5" t="s">
        <v>522</v>
      </c>
      <c r="B224" s="5" t="str">
        <f>VLOOKUP(globalfreelancepreprocesseddata!A224,worksheet!A:P,3,FALSE)</f>
        <v>Michelle Hill</v>
      </c>
      <c r="C224" s="5" t="str">
        <f>VLOOKUP(globalfreelancepreprocesseddata!A224,worksheet!A:P,5,FALSE)</f>
        <v>Female</v>
      </c>
      <c r="D224" s="5">
        <f>VLOOKUP(globalfreelancepreprocesseddata!A224,worksheet!A:P,6,FALSE)</f>
        <v>21</v>
      </c>
      <c r="E224" s="5" t="str">
        <f>VLOOKUP(globalfreelancepreprocesseddata!A224,worksheet!A:P,7,FALSE)</f>
        <v>Canada</v>
      </c>
      <c r="F224" s="5" t="str">
        <f>VLOOKUP(globalfreelancepreprocesseddata!A224,worksheet!A:P,8,FALSE)</f>
        <v>English</v>
      </c>
      <c r="G224" s="5" t="str">
        <f>VLOOKUP(globalfreelancepreprocesseddata!A224,worksheet!A:P,9,FALSE)</f>
        <v>AI</v>
      </c>
      <c r="H224" s="5">
        <f>VLOOKUP(globalfreelancepreprocesseddata!A224,worksheet!A:P,10,FALSE)</f>
        <v>11</v>
      </c>
      <c r="I224" s="6" t="str">
        <f>VLOOKUP(globalfreelancepreprocesseddata!A224,worksheet!A:P,12,FALSE)</f>
        <v>$ 40</v>
      </c>
      <c r="J224" s="5">
        <f>VLOOKUP(globalfreelancepreprocesseddata!A224,worksheet!A:P,13,FALSE)</f>
        <v>1.1000000000000001</v>
      </c>
      <c r="K224" s="5">
        <f>VLOOKUP(globalfreelancepreprocesseddata!A224,worksheet!A:P,14,FALSE)</f>
        <v>0</v>
      </c>
      <c r="L224" s="7">
        <f>VLOOKUP(globalfreelancepreprocesseddata!A224,worksheet!A:P,16,FALSE)</f>
        <v>0.79</v>
      </c>
    </row>
    <row r="225" spans="1:12" x14ac:dyDescent="0.35">
      <c r="A225" s="5" t="s">
        <v>524</v>
      </c>
      <c r="B225" s="5" t="str">
        <f>VLOOKUP(globalfreelancepreprocesseddata!A225,worksheet!A:P,3,FALSE)</f>
        <v>Jacqueline Williams</v>
      </c>
      <c r="C225" s="5" t="str">
        <f>VLOOKUP(globalfreelancepreprocesseddata!A225,worksheet!A:P,5,FALSE)</f>
        <v>Female</v>
      </c>
      <c r="D225" s="5">
        <f>VLOOKUP(globalfreelancepreprocesseddata!A225,worksheet!A:P,6,FALSE)</f>
        <v>58</v>
      </c>
      <c r="E225" s="5" t="str">
        <f>VLOOKUP(globalfreelancepreprocesseddata!A225,worksheet!A:P,7,FALSE)</f>
        <v>China</v>
      </c>
      <c r="F225" s="5" t="str">
        <f>VLOOKUP(globalfreelancepreprocesseddata!A225,worksheet!A:P,8,FALSE)</f>
        <v>Mandarin</v>
      </c>
      <c r="G225" s="5" t="str">
        <f>VLOOKUP(globalfreelancepreprocesseddata!A225,worksheet!A:P,9,FALSE)</f>
        <v>Machine Learning</v>
      </c>
      <c r="H225" s="5">
        <f>VLOOKUP(globalfreelancepreprocesseddata!A225,worksheet!A:P,10,FALSE)</f>
        <v>9</v>
      </c>
      <c r="I225" s="6">
        <f>VLOOKUP(globalfreelancepreprocesseddata!A225,worksheet!A:P,12,FALSE)</f>
        <v>30</v>
      </c>
      <c r="J225" s="5">
        <f>VLOOKUP(globalfreelancepreprocesseddata!A225,worksheet!A:P,13,FALSE)</f>
        <v>0</v>
      </c>
      <c r="K225" s="5">
        <f>VLOOKUP(globalfreelancepreprocesseddata!A225,worksheet!A:P,14,FALSE)</f>
        <v>1</v>
      </c>
      <c r="L225" s="7">
        <f>VLOOKUP(globalfreelancepreprocesseddata!A225,worksheet!A:P,16,FALSE)</f>
        <v>0.65</v>
      </c>
    </row>
    <row r="226" spans="1:12" x14ac:dyDescent="0.35">
      <c r="A226" s="5" t="s">
        <v>526</v>
      </c>
      <c r="B226" s="5" t="str">
        <f>VLOOKUP(globalfreelancepreprocesseddata!A226,worksheet!A:P,3,FALSE)</f>
        <v>Darrell Johnson</v>
      </c>
      <c r="C226" s="5" t="str">
        <f>VLOOKUP(globalfreelancepreprocesseddata!A226,worksheet!A:P,5,FALSE)</f>
        <v>Male</v>
      </c>
      <c r="D226" s="5">
        <f>VLOOKUP(globalfreelancepreprocesseddata!A226,worksheet!A:P,6,FALSE)</f>
        <v>60</v>
      </c>
      <c r="E226" s="5" t="str">
        <f>VLOOKUP(globalfreelancepreprocesseddata!A226,worksheet!A:P,7,FALSE)</f>
        <v>Canada</v>
      </c>
      <c r="F226" s="5" t="str">
        <f>VLOOKUP(globalfreelancepreprocesseddata!A226,worksheet!A:P,8,FALSE)</f>
        <v>English</v>
      </c>
      <c r="G226" s="5" t="str">
        <f>VLOOKUP(globalfreelancepreprocesseddata!A226,worksheet!A:P,9,FALSE)</f>
        <v>Machine Learning</v>
      </c>
      <c r="H226" s="5">
        <f>VLOOKUP(globalfreelancepreprocesseddata!A226,worksheet!A:P,10,FALSE)</f>
        <v>3</v>
      </c>
      <c r="I226" s="6">
        <f>VLOOKUP(globalfreelancepreprocesseddata!A226,worksheet!A:P,12,FALSE)</f>
        <v>40</v>
      </c>
      <c r="J226" s="5">
        <f>VLOOKUP(globalfreelancepreprocesseddata!A226,worksheet!A:P,13,FALSE)</f>
        <v>4.7</v>
      </c>
      <c r="K226" s="5">
        <f>VLOOKUP(globalfreelancepreprocesseddata!A226,worksheet!A:P,14,FALSE)</f>
        <v>0</v>
      </c>
      <c r="L226" s="7">
        <f>VLOOKUP(globalfreelancepreprocesseddata!A226,worksheet!A:P,16,FALSE)</f>
        <v>0.63</v>
      </c>
    </row>
    <row r="227" spans="1:12" x14ac:dyDescent="0.35">
      <c r="A227" s="5" t="s">
        <v>528</v>
      </c>
      <c r="B227" s="5" t="str">
        <f>VLOOKUP(globalfreelancepreprocesseddata!A227,worksheet!A:P,3,FALSE)</f>
        <v>Ryan Crawford</v>
      </c>
      <c r="C227" s="5" t="str">
        <f>VLOOKUP(globalfreelancepreprocesseddata!A227,worksheet!A:P,5,FALSE)</f>
        <v>Male</v>
      </c>
      <c r="D227" s="5">
        <f>VLOOKUP(globalfreelancepreprocesseddata!A227,worksheet!A:P,6,FALSE)</f>
        <v>27</v>
      </c>
      <c r="E227" s="5" t="str">
        <f>VLOOKUP(globalfreelancepreprocesseddata!A227,worksheet!A:P,7,FALSE)</f>
        <v>South Africa</v>
      </c>
      <c r="F227" s="5" t="str">
        <f>VLOOKUP(globalfreelancepreprocesseddata!A227,worksheet!A:P,8,FALSE)</f>
        <v>Afrikaans</v>
      </c>
      <c r="G227" s="5" t="str">
        <f>VLOOKUP(globalfreelancepreprocesseddata!A227,worksheet!A:P,9,FALSE)</f>
        <v>Web Development</v>
      </c>
      <c r="H227" s="5">
        <f>VLOOKUP(globalfreelancepreprocesseddata!A227,worksheet!A:P,10,FALSE)</f>
        <v>2</v>
      </c>
      <c r="I227" s="6">
        <f>VLOOKUP(globalfreelancepreprocesseddata!A227,worksheet!A:P,12,FALSE)</f>
        <v>40</v>
      </c>
      <c r="J227" s="5">
        <f>VLOOKUP(globalfreelancepreprocesseddata!A227,worksheet!A:P,13,FALSE)</f>
        <v>1.2</v>
      </c>
      <c r="K227" s="5">
        <f>VLOOKUP(globalfreelancepreprocesseddata!A227,worksheet!A:P,14,FALSE)</f>
        <v>0</v>
      </c>
      <c r="L227" s="7">
        <f>VLOOKUP(globalfreelancepreprocesseddata!A227,worksheet!A:P,16,FALSE)</f>
        <v>0.16</v>
      </c>
    </row>
    <row r="228" spans="1:12" x14ac:dyDescent="0.35">
      <c r="A228" s="5" t="s">
        <v>530</v>
      </c>
      <c r="B228" s="5" t="str">
        <f>VLOOKUP(globalfreelancepreprocesseddata!A228,worksheet!A:P,3,FALSE)</f>
        <v>Chelsea Barber</v>
      </c>
      <c r="C228" s="5" t="str">
        <f>VLOOKUP(globalfreelancepreprocesseddata!A228,worksheet!A:P,5,FALSE)</f>
        <v>Female</v>
      </c>
      <c r="D228" s="5">
        <f>VLOOKUP(globalfreelancepreprocesseddata!A228,worksheet!A:P,6,FALSE)</f>
        <v>29</v>
      </c>
      <c r="E228" s="5" t="str">
        <f>VLOOKUP(globalfreelancepreprocesseddata!A228,worksheet!A:P,7,FALSE)</f>
        <v>Germany</v>
      </c>
      <c r="F228" s="5" t="str">
        <f>VLOOKUP(globalfreelancepreprocesseddata!A228,worksheet!A:P,8,FALSE)</f>
        <v>German</v>
      </c>
      <c r="G228" s="5" t="str">
        <f>VLOOKUP(globalfreelancepreprocesseddata!A228,worksheet!A:P,9,FALSE)</f>
        <v>Machine Learning</v>
      </c>
      <c r="H228" s="5">
        <f>VLOOKUP(globalfreelancepreprocesseddata!A228,worksheet!A:P,10,FALSE)</f>
        <v>10</v>
      </c>
      <c r="I228" s="6" t="str">
        <f>VLOOKUP(globalfreelancepreprocesseddata!A228,worksheet!A:P,12,FALSE)</f>
        <v>$ 40</v>
      </c>
      <c r="J228" s="5">
        <f>VLOOKUP(globalfreelancepreprocesseddata!A228,worksheet!A:P,13,FALSE)</f>
        <v>1.2</v>
      </c>
      <c r="K228" s="5">
        <f>VLOOKUP(globalfreelancepreprocesseddata!A228,worksheet!A:P,14,FALSE)</f>
        <v>0</v>
      </c>
      <c r="L228" s="7">
        <f>VLOOKUP(globalfreelancepreprocesseddata!A228,worksheet!A:P,16,FALSE)</f>
        <v>0.78</v>
      </c>
    </row>
    <row r="229" spans="1:12" x14ac:dyDescent="0.35">
      <c r="A229" s="5" t="s">
        <v>532</v>
      </c>
      <c r="B229" s="5" t="str">
        <f>VLOOKUP(globalfreelancepreprocesseddata!A229,worksheet!A:P,3,FALSE)</f>
        <v>Elaine Martinez</v>
      </c>
      <c r="C229" s="5" t="str">
        <f>VLOOKUP(globalfreelancepreprocesseddata!A229,worksheet!A:P,5,FALSE)</f>
        <v>Female</v>
      </c>
      <c r="D229" s="5">
        <f>VLOOKUP(globalfreelancepreprocesseddata!A229,worksheet!A:P,6,FALSE)</f>
        <v>54</v>
      </c>
      <c r="E229" s="5" t="str">
        <f>VLOOKUP(globalfreelancepreprocesseddata!A229,worksheet!A:P,7,FALSE)</f>
        <v>Canada</v>
      </c>
      <c r="F229" s="5" t="str">
        <f>VLOOKUP(globalfreelancepreprocesseddata!A229,worksheet!A:P,8,FALSE)</f>
        <v>English</v>
      </c>
      <c r="G229" s="5" t="str">
        <f>VLOOKUP(globalfreelancepreprocesseddata!A229,worksheet!A:P,9,FALSE)</f>
        <v>Graphic Design</v>
      </c>
      <c r="H229" s="5">
        <f>VLOOKUP(globalfreelancepreprocesseddata!A229,worksheet!A:P,10,FALSE)</f>
        <v>33</v>
      </c>
      <c r="I229" s="6">
        <f>VLOOKUP(globalfreelancepreprocesseddata!A229,worksheet!A:P,12,FALSE)</f>
        <v>75</v>
      </c>
      <c r="J229" s="5">
        <f>VLOOKUP(globalfreelancepreprocesseddata!A229,worksheet!A:P,13,FALSE)</f>
        <v>0</v>
      </c>
      <c r="K229" s="5">
        <f>VLOOKUP(globalfreelancepreprocesseddata!A229,worksheet!A:P,14,FALSE)</f>
        <v>1</v>
      </c>
      <c r="L229" s="7">
        <f>VLOOKUP(globalfreelancepreprocesseddata!A229,worksheet!A:P,16,FALSE)</f>
        <v>0.62</v>
      </c>
    </row>
    <row r="230" spans="1:12" x14ac:dyDescent="0.35">
      <c r="A230" s="5" t="s">
        <v>534</v>
      </c>
      <c r="B230" s="5" t="str">
        <f>VLOOKUP(globalfreelancepreprocesseddata!A230,worksheet!A:P,3,FALSE)</f>
        <v>Joseph Kent</v>
      </c>
      <c r="C230" s="5" t="str">
        <f>VLOOKUP(globalfreelancepreprocesseddata!A230,worksheet!A:P,5,FALSE)</f>
        <v>Male</v>
      </c>
      <c r="D230" s="5">
        <f>VLOOKUP(globalfreelancepreprocesseddata!A230,worksheet!A:P,6,FALSE)</f>
        <v>52</v>
      </c>
      <c r="E230" s="5" t="str">
        <f>VLOOKUP(globalfreelancepreprocesseddata!A230,worksheet!A:P,7,FALSE)</f>
        <v>Mexico</v>
      </c>
      <c r="F230" s="5" t="str">
        <f>VLOOKUP(globalfreelancepreprocesseddata!A230,worksheet!A:P,8,FALSE)</f>
        <v>Spanish</v>
      </c>
      <c r="G230" s="5" t="str">
        <f>VLOOKUP(globalfreelancepreprocesseddata!A230,worksheet!A:P,9,FALSE)</f>
        <v>Machine Learning</v>
      </c>
      <c r="H230" s="5">
        <f>VLOOKUP(globalfreelancepreprocesseddata!A230,worksheet!A:P,10,FALSE)</f>
        <v>12</v>
      </c>
      <c r="I230" s="6">
        <f>VLOOKUP(globalfreelancepreprocesseddata!A230,worksheet!A:P,12,FALSE)</f>
        <v>40</v>
      </c>
      <c r="J230" s="5">
        <f>VLOOKUP(globalfreelancepreprocesseddata!A230,worksheet!A:P,13,FALSE)</f>
        <v>1.2</v>
      </c>
      <c r="K230" s="5">
        <f>VLOOKUP(globalfreelancepreprocesseddata!A230,worksheet!A:P,14,FALSE)</f>
        <v>0</v>
      </c>
      <c r="L230" s="7">
        <f>VLOOKUP(globalfreelancepreprocesseddata!A230,worksheet!A:P,16,FALSE)</f>
        <v>0.76</v>
      </c>
    </row>
    <row r="231" spans="1:12" x14ac:dyDescent="0.35">
      <c r="A231" s="5" t="s">
        <v>536</v>
      </c>
      <c r="B231" s="5" t="str">
        <f>VLOOKUP(globalfreelancepreprocesseddata!A231,worksheet!A:P,3,FALSE)</f>
        <v>Megan Welch</v>
      </c>
      <c r="C231" s="5" t="str">
        <f>VLOOKUP(globalfreelancepreprocesseddata!A231,worksheet!A:P,5,FALSE)</f>
        <v>Female</v>
      </c>
      <c r="D231" s="5">
        <f>VLOOKUP(globalfreelancepreprocesseddata!A231,worksheet!A:P,6,FALSE)</f>
        <v>55</v>
      </c>
      <c r="E231" s="5" t="str">
        <f>VLOOKUP(globalfreelancepreprocesseddata!A231,worksheet!A:P,7,FALSE)</f>
        <v>Indonesia</v>
      </c>
      <c r="F231" s="5" t="str">
        <f>VLOOKUP(globalfreelancepreprocesseddata!A231,worksheet!A:P,8,FALSE)</f>
        <v>Indonesian</v>
      </c>
      <c r="G231" s="5" t="str">
        <f>VLOOKUP(globalfreelancepreprocesseddata!A231,worksheet!A:P,9,FALSE)</f>
        <v>Blockchain Development</v>
      </c>
      <c r="H231" s="5">
        <f>VLOOKUP(globalfreelancepreprocesseddata!A231,worksheet!A:P,10,FALSE)</f>
        <v>18</v>
      </c>
      <c r="I231" s="6">
        <f>VLOOKUP(globalfreelancepreprocesseddata!A231,worksheet!A:P,12,FALSE)</f>
        <v>100</v>
      </c>
      <c r="J231" s="5">
        <f>VLOOKUP(globalfreelancepreprocesseddata!A231,worksheet!A:P,13,FALSE)</f>
        <v>2.9</v>
      </c>
      <c r="K231" s="5">
        <f>VLOOKUP(globalfreelancepreprocesseddata!A231,worksheet!A:P,14,FALSE)</f>
        <v>0</v>
      </c>
      <c r="L231" s="7">
        <f>VLOOKUP(globalfreelancepreprocesseddata!A231,worksheet!A:P,16,FALSE)</f>
        <v>0.97</v>
      </c>
    </row>
    <row r="232" spans="1:12" x14ac:dyDescent="0.35">
      <c r="A232" s="5" t="s">
        <v>538</v>
      </c>
      <c r="B232" s="5" t="str">
        <f>VLOOKUP(globalfreelancepreprocesseddata!A232,worksheet!A:P,3,FALSE)</f>
        <v>Stephen Ramirez</v>
      </c>
      <c r="C232" s="5" t="str">
        <f>VLOOKUP(globalfreelancepreprocesseddata!A232,worksheet!A:P,5,FALSE)</f>
        <v>Male</v>
      </c>
      <c r="D232" s="5">
        <f>VLOOKUP(globalfreelancepreprocesseddata!A232,worksheet!A:P,6,FALSE)</f>
        <v>37</v>
      </c>
      <c r="E232" s="5" t="str">
        <f>VLOOKUP(globalfreelancepreprocesseddata!A232,worksheet!A:P,7,FALSE)</f>
        <v>Brazil</v>
      </c>
      <c r="F232" s="5" t="str">
        <f>VLOOKUP(globalfreelancepreprocesseddata!A232,worksheet!A:P,8,FALSE)</f>
        <v>Portuguese</v>
      </c>
      <c r="G232" s="5" t="str">
        <f>VLOOKUP(globalfreelancepreprocesseddata!A232,worksheet!A:P,9,FALSE)</f>
        <v>Blockchain Development</v>
      </c>
      <c r="H232" s="5">
        <f>VLOOKUP(globalfreelancepreprocesseddata!A232,worksheet!A:P,10,FALSE)</f>
        <v>4</v>
      </c>
      <c r="I232" s="6">
        <f>VLOOKUP(globalfreelancepreprocesseddata!A232,worksheet!A:P,12,FALSE)</f>
        <v>40</v>
      </c>
      <c r="J232" s="5">
        <f>VLOOKUP(globalfreelancepreprocesseddata!A232,worksheet!A:P,13,FALSE)</f>
        <v>3</v>
      </c>
      <c r="K232" s="5">
        <f>VLOOKUP(globalfreelancepreprocesseddata!A232,worksheet!A:P,14,FALSE)</f>
        <v>0</v>
      </c>
      <c r="L232" s="7">
        <f>VLOOKUP(globalfreelancepreprocesseddata!A232,worksheet!A:P,16,FALSE)</f>
        <v>0.16</v>
      </c>
    </row>
    <row r="233" spans="1:12" x14ac:dyDescent="0.35">
      <c r="A233" s="5" t="s">
        <v>540</v>
      </c>
      <c r="B233" s="5" t="str">
        <f>VLOOKUP(globalfreelancepreprocesseddata!A233,worksheet!A:P,3,FALSE)</f>
        <v>Chloe Gray</v>
      </c>
      <c r="C233" s="5" t="str">
        <f>VLOOKUP(globalfreelancepreprocesseddata!A233,worksheet!A:P,5,FALSE)</f>
        <v>Female</v>
      </c>
      <c r="D233" s="5">
        <f>VLOOKUP(globalfreelancepreprocesseddata!A233,worksheet!A:P,6,FALSE)</f>
        <v>34</v>
      </c>
      <c r="E233" s="5" t="str">
        <f>VLOOKUP(globalfreelancepreprocesseddata!A233,worksheet!A:P,7,FALSE)</f>
        <v>Egypt</v>
      </c>
      <c r="F233" s="5" t="str">
        <f>VLOOKUP(globalfreelancepreprocesseddata!A233,worksheet!A:P,8,FALSE)</f>
        <v>Arabic</v>
      </c>
      <c r="G233" s="5" t="str">
        <f>VLOOKUP(globalfreelancepreprocesseddata!A233,worksheet!A:P,9,FALSE)</f>
        <v>Data Analysis</v>
      </c>
      <c r="H233" s="5">
        <f>VLOOKUP(globalfreelancepreprocesseddata!A233,worksheet!A:P,10,FALSE)</f>
        <v>11</v>
      </c>
      <c r="I233" s="6">
        <f>VLOOKUP(globalfreelancepreprocesseddata!A233,worksheet!A:P,12,FALSE)</f>
        <v>50</v>
      </c>
      <c r="J233" s="5">
        <f>VLOOKUP(globalfreelancepreprocesseddata!A233,worksheet!A:P,13,FALSE)</f>
        <v>3.9</v>
      </c>
      <c r="K233" s="5">
        <f>VLOOKUP(globalfreelancepreprocesseddata!A233,worksheet!A:P,14,FALSE)</f>
        <v>1</v>
      </c>
      <c r="L233" s="7">
        <f>VLOOKUP(globalfreelancepreprocesseddata!A233,worksheet!A:P,16,FALSE)</f>
        <v>0.82</v>
      </c>
    </row>
    <row r="234" spans="1:12" x14ac:dyDescent="0.35">
      <c r="A234" s="5" t="s">
        <v>542</v>
      </c>
      <c r="B234" s="5" t="str">
        <f>VLOOKUP(globalfreelancepreprocesseddata!A234,worksheet!A:P,3,FALSE)</f>
        <v>Michael Williams Jr.</v>
      </c>
      <c r="C234" s="5" t="str">
        <f>VLOOKUP(globalfreelancepreprocesseddata!A234,worksheet!A:P,5,FALSE)</f>
        <v>Male</v>
      </c>
      <c r="D234" s="5">
        <f>VLOOKUP(globalfreelancepreprocesseddata!A234,worksheet!A:P,6,FALSE)</f>
        <v>20</v>
      </c>
      <c r="E234" s="5" t="str">
        <f>VLOOKUP(globalfreelancepreprocesseddata!A234,worksheet!A:P,7,FALSE)</f>
        <v>France</v>
      </c>
      <c r="F234" s="5" t="str">
        <f>VLOOKUP(globalfreelancepreprocesseddata!A234,worksheet!A:P,8,FALSE)</f>
        <v>French</v>
      </c>
      <c r="G234" s="5" t="str">
        <f>VLOOKUP(globalfreelancepreprocesseddata!A234,worksheet!A:P,9,FALSE)</f>
        <v>Data Analysis</v>
      </c>
      <c r="H234" s="5">
        <f>VLOOKUP(globalfreelancepreprocesseddata!A234,worksheet!A:P,10,FALSE)</f>
        <v>1</v>
      </c>
      <c r="I234" s="6">
        <f>VLOOKUP(globalfreelancepreprocesseddata!A234,worksheet!A:P,12,FALSE)</f>
        <v>50</v>
      </c>
      <c r="J234" s="5">
        <f>VLOOKUP(globalfreelancepreprocesseddata!A234,worksheet!A:P,13,FALSE)</f>
        <v>3.1</v>
      </c>
      <c r="K234" s="5">
        <f>VLOOKUP(globalfreelancepreprocesseddata!A234,worksheet!A:P,14,FALSE)</f>
        <v>1</v>
      </c>
      <c r="L234" s="7">
        <f>VLOOKUP(globalfreelancepreprocesseddata!A234,worksheet!A:P,16,FALSE)</f>
        <v>0.71</v>
      </c>
    </row>
    <row r="235" spans="1:12" x14ac:dyDescent="0.35">
      <c r="A235" s="5" t="s">
        <v>544</v>
      </c>
      <c r="B235" s="5" t="str">
        <f>VLOOKUP(globalfreelancepreprocesseddata!A235,worksheet!A:P,3,FALSE)</f>
        <v>Matthew Martin</v>
      </c>
      <c r="C235" s="5" t="str">
        <f>VLOOKUP(globalfreelancepreprocesseddata!A235,worksheet!A:P,5,FALSE)</f>
        <v>Male</v>
      </c>
      <c r="D235" s="5">
        <f>VLOOKUP(globalfreelancepreprocesseddata!A235,worksheet!A:P,6,FALSE)</f>
        <v>22</v>
      </c>
      <c r="E235" s="5" t="str">
        <f>VLOOKUP(globalfreelancepreprocesseddata!A235,worksheet!A:P,7,FALSE)</f>
        <v>Mexico</v>
      </c>
      <c r="F235" s="5" t="str">
        <f>VLOOKUP(globalfreelancepreprocesseddata!A235,worksheet!A:P,8,FALSE)</f>
        <v>Spanish</v>
      </c>
      <c r="G235" s="5" t="str">
        <f>VLOOKUP(globalfreelancepreprocesseddata!A235,worksheet!A:P,9,FALSE)</f>
        <v>UI/UX Design</v>
      </c>
      <c r="H235" s="5">
        <f>VLOOKUP(globalfreelancepreprocesseddata!A235,worksheet!A:P,10,FALSE)</f>
        <v>2</v>
      </c>
      <c r="I235" s="6">
        <f>VLOOKUP(globalfreelancepreprocesseddata!A235,worksheet!A:P,12,FALSE)</f>
        <v>40</v>
      </c>
      <c r="J235" s="5">
        <f>VLOOKUP(globalfreelancepreprocesseddata!A235,worksheet!A:P,13,FALSE)</f>
        <v>0</v>
      </c>
      <c r="K235" s="5">
        <f>VLOOKUP(globalfreelancepreprocesseddata!A235,worksheet!A:P,14,FALSE)</f>
        <v>1</v>
      </c>
      <c r="L235" s="7">
        <f>VLOOKUP(globalfreelancepreprocesseddata!A235,worksheet!A:P,16,FALSE)</f>
        <v>0.16</v>
      </c>
    </row>
    <row r="236" spans="1:12" x14ac:dyDescent="0.35">
      <c r="A236" s="5" t="s">
        <v>546</v>
      </c>
      <c r="B236" s="5" t="str">
        <f>VLOOKUP(globalfreelancepreprocesseddata!A236,worksheet!A:P,3,FALSE)</f>
        <v>Julia Murphy</v>
      </c>
      <c r="C236" s="5" t="str">
        <f>VLOOKUP(globalfreelancepreprocesseddata!A236,worksheet!A:P,5,FALSE)</f>
        <v>Female</v>
      </c>
      <c r="D236" s="5">
        <f>VLOOKUP(globalfreelancepreprocesseddata!A236,worksheet!A:P,6,FALSE)</f>
        <v>23</v>
      </c>
      <c r="E236" s="5" t="str">
        <f>VLOOKUP(globalfreelancepreprocesseddata!A236,worksheet!A:P,7,FALSE)</f>
        <v>South Korea</v>
      </c>
      <c r="F236" s="5" t="str">
        <f>VLOOKUP(globalfreelancepreprocesseddata!A236,worksheet!A:P,8,FALSE)</f>
        <v>Korean</v>
      </c>
      <c r="G236" s="5" t="str">
        <f>VLOOKUP(globalfreelancepreprocesseddata!A236,worksheet!A:P,9,FALSE)</f>
        <v>Graphic Design</v>
      </c>
      <c r="H236" s="5">
        <f>VLOOKUP(globalfreelancepreprocesseddata!A236,worksheet!A:P,10,FALSE)</f>
        <v>2</v>
      </c>
      <c r="I236" s="6">
        <f>VLOOKUP(globalfreelancepreprocesseddata!A236,worksheet!A:P,12,FALSE)</f>
        <v>50</v>
      </c>
      <c r="J236" s="5">
        <f>VLOOKUP(globalfreelancepreprocesseddata!A236,worksheet!A:P,13,FALSE)</f>
        <v>3.2</v>
      </c>
      <c r="K236" s="5">
        <f>VLOOKUP(globalfreelancepreprocesseddata!A236,worksheet!A:P,14,FALSE)</f>
        <v>1</v>
      </c>
      <c r="L236" s="7">
        <f>VLOOKUP(globalfreelancepreprocesseddata!A236,worksheet!A:P,16,FALSE)</f>
        <v>0.16</v>
      </c>
    </row>
    <row r="237" spans="1:12" x14ac:dyDescent="0.35">
      <c r="A237" s="5" t="s">
        <v>548</v>
      </c>
      <c r="B237" s="5" t="str">
        <f>VLOOKUP(globalfreelancepreprocesseddata!A237,worksheet!A:P,3,FALSE)</f>
        <v>Anna Evans</v>
      </c>
      <c r="C237" s="5" t="str">
        <f>VLOOKUP(globalfreelancepreprocesseddata!A237,worksheet!A:P,5,FALSE)</f>
        <v>Female</v>
      </c>
      <c r="D237" s="5">
        <f>VLOOKUP(globalfreelancepreprocesseddata!A237,worksheet!A:P,6,FALSE)</f>
        <v>53</v>
      </c>
      <c r="E237" s="5" t="str">
        <f>VLOOKUP(globalfreelancepreprocesseddata!A237,worksheet!A:P,7,FALSE)</f>
        <v>South Korea</v>
      </c>
      <c r="F237" s="5" t="str">
        <f>VLOOKUP(globalfreelancepreprocesseddata!A237,worksheet!A:P,8,FALSE)</f>
        <v>Korean</v>
      </c>
      <c r="G237" s="5" t="str">
        <f>VLOOKUP(globalfreelancepreprocesseddata!A237,worksheet!A:P,9,FALSE)</f>
        <v>Blockchain Development</v>
      </c>
      <c r="H237" s="5">
        <f>VLOOKUP(globalfreelancepreprocesseddata!A237,worksheet!A:P,10,FALSE)</f>
        <v>34</v>
      </c>
      <c r="I237" s="6">
        <f>VLOOKUP(globalfreelancepreprocesseddata!A237,worksheet!A:P,12,FALSE)</f>
        <v>30</v>
      </c>
      <c r="J237" s="5">
        <f>VLOOKUP(globalfreelancepreprocesseddata!A237,worksheet!A:P,13,FALSE)</f>
        <v>3</v>
      </c>
      <c r="K237" s="5">
        <f>VLOOKUP(globalfreelancepreprocesseddata!A237,worksheet!A:P,14,FALSE)</f>
        <v>1</v>
      </c>
      <c r="L237" s="7">
        <f>VLOOKUP(globalfreelancepreprocesseddata!A237,worksheet!A:P,16,FALSE)</f>
        <v>0.16</v>
      </c>
    </row>
    <row r="238" spans="1:12" x14ac:dyDescent="0.35">
      <c r="A238" s="5" t="s">
        <v>550</v>
      </c>
      <c r="B238" s="5" t="str">
        <f>VLOOKUP(globalfreelancepreprocesseddata!A238,worksheet!A:P,3,FALSE)</f>
        <v>Brenda Fleming</v>
      </c>
      <c r="C238" s="5" t="str">
        <f>VLOOKUP(globalfreelancepreprocesseddata!A238,worksheet!A:P,5,FALSE)</f>
        <v>Female</v>
      </c>
      <c r="D238" s="5">
        <f>VLOOKUP(globalfreelancepreprocesseddata!A238,worksheet!A:P,6,FALSE)</f>
        <v>56</v>
      </c>
      <c r="E238" s="5" t="str">
        <f>VLOOKUP(globalfreelancepreprocesseddata!A238,worksheet!A:P,7,FALSE)</f>
        <v>South Korea</v>
      </c>
      <c r="F238" s="5" t="str">
        <f>VLOOKUP(globalfreelancepreprocesseddata!A238,worksheet!A:P,8,FALSE)</f>
        <v>Korean</v>
      </c>
      <c r="G238" s="5" t="str">
        <f>VLOOKUP(globalfreelancepreprocesseddata!A238,worksheet!A:P,9,FALSE)</f>
        <v>Graphic Design</v>
      </c>
      <c r="H238" s="5">
        <f>VLOOKUP(globalfreelancepreprocesseddata!A238,worksheet!A:P,10,FALSE)</f>
        <v>27</v>
      </c>
      <c r="I238" s="6">
        <f>VLOOKUP(globalfreelancepreprocesseddata!A238,worksheet!A:P,12,FALSE)</f>
        <v>100</v>
      </c>
      <c r="J238" s="5">
        <f>VLOOKUP(globalfreelancepreprocesseddata!A238,worksheet!A:P,13,FALSE)</f>
        <v>4.7</v>
      </c>
      <c r="K238" s="5">
        <f>VLOOKUP(globalfreelancepreprocesseddata!A238,worksheet!A:P,14,FALSE)</f>
        <v>1</v>
      </c>
      <c r="L238" s="7">
        <f>VLOOKUP(globalfreelancepreprocesseddata!A238,worksheet!A:P,16,FALSE)</f>
        <v>0.69</v>
      </c>
    </row>
    <row r="239" spans="1:12" x14ac:dyDescent="0.35">
      <c r="A239" s="5" t="s">
        <v>552</v>
      </c>
      <c r="B239" s="5" t="str">
        <f>VLOOKUP(globalfreelancepreprocesseddata!A239,worksheet!A:P,3,FALSE)</f>
        <v>Daniel Harrington</v>
      </c>
      <c r="C239" s="5" t="str">
        <f>VLOOKUP(globalfreelancepreprocesseddata!A239,worksheet!A:P,5,FALSE)</f>
        <v>Male</v>
      </c>
      <c r="D239" s="5">
        <f>VLOOKUP(globalfreelancepreprocesseddata!A239,worksheet!A:P,6,FALSE)</f>
        <v>27</v>
      </c>
      <c r="E239" s="5" t="str">
        <f>VLOOKUP(globalfreelancepreprocesseddata!A239,worksheet!A:P,7,FALSE)</f>
        <v>Canada</v>
      </c>
      <c r="F239" s="5" t="str">
        <f>VLOOKUP(globalfreelancepreprocesseddata!A239,worksheet!A:P,8,FALSE)</f>
        <v>English</v>
      </c>
      <c r="G239" s="5" t="str">
        <f>VLOOKUP(globalfreelancepreprocesseddata!A239,worksheet!A:P,9,FALSE)</f>
        <v>AI</v>
      </c>
      <c r="H239" s="5">
        <f>VLOOKUP(globalfreelancepreprocesseddata!A239,worksheet!A:P,10,FALSE)</f>
        <v>4</v>
      </c>
      <c r="I239" s="6">
        <f>VLOOKUP(globalfreelancepreprocesseddata!A239,worksheet!A:P,12,FALSE)</f>
        <v>75</v>
      </c>
      <c r="J239" s="5">
        <f>VLOOKUP(globalfreelancepreprocesseddata!A239,worksheet!A:P,13,FALSE)</f>
        <v>5</v>
      </c>
      <c r="K239" s="5">
        <f>VLOOKUP(globalfreelancepreprocesseddata!A239,worksheet!A:P,14,FALSE)</f>
        <v>0</v>
      </c>
      <c r="L239" s="7">
        <f>VLOOKUP(globalfreelancepreprocesseddata!A239,worksheet!A:P,16,FALSE)</f>
        <v>0.88</v>
      </c>
    </row>
    <row r="240" spans="1:12" x14ac:dyDescent="0.35">
      <c r="A240" s="5" t="s">
        <v>554</v>
      </c>
      <c r="B240" s="5" t="str">
        <f>VLOOKUP(globalfreelancepreprocesseddata!A240,worksheet!A:P,3,FALSE)</f>
        <v>Daniel Barnett</v>
      </c>
      <c r="C240" s="5" t="str">
        <f>VLOOKUP(globalfreelancepreprocesseddata!A240,worksheet!A:P,5,FALSE)</f>
        <v>Male</v>
      </c>
      <c r="D240" s="5">
        <f>VLOOKUP(globalfreelancepreprocesseddata!A240,worksheet!A:P,6,FALSE)</f>
        <v>34</v>
      </c>
      <c r="E240" s="5" t="str">
        <f>VLOOKUP(globalfreelancepreprocesseddata!A240,worksheet!A:P,7,FALSE)</f>
        <v>Italy</v>
      </c>
      <c r="F240" s="5" t="str">
        <f>VLOOKUP(globalfreelancepreprocesseddata!A240,worksheet!A:P,8,FALSE)</f>
        <v>Italian</v>
      </c>
      <c r="G240" s="5" t="str">
        <f>VLOOKUP(globalfreelancepreprocesseddata!A240,worksheet!A:P,9,FALSE)</f>
        <v>Mobile Apps</v>
      </c>
      <c r="H240" s="5">
        <f>VLOOKUP(globalfreelancepreprocesseddata!A240,worksheet!A:P,10,FALSE)</f>
        <v>11</v>
      </c>
      <c r="I240" s="6" t="str">
        <f>VLOOKUP(globalfreelancepreprocesseddata!A240,worksheet!A:P,12,FALSE)</f>
        <v>$ 40</v>
      </c>
      <c r="J240" s="5">
        <f>VLOOKUP(globalfreelancepreprocesseddata!A240,worksheet!A:P,13,FALSE)</f>
        <v>3</v>
      </c>
      <c r="K240" s="5">
        <f>VLOOKUP(globalfreelancepreprocesseddata!A240,worksheet!A:P,14,FALSE)</f>
        <v>0</v>
      </c>
      <c r="L240" s="7">
        <f>VLOOKUP(globalfreelancepreprocesseddata!A240,worksheet!A:P,16,FALSE)</f>
        <v>0.67</v>
      </c>
    </row>
    <row r="241" spans="1:12" x14ac:dyDescent="0.35">
      <c r="A241" s="5" t="s">
        <v>556</v>
      </c>
      <c r="B241" s="5" t="str">
        <f>VLOOKUP(globalfreelancepreprocesseddata!A241,worksheet!A:P,3,FALSE)</f>
        <v>Mark Cummings</v>
      </c>
      <c r="C241" s="5" t="str">
        <f>VLOOKUP(globalfreelancepreprocesseddata!A241,worksheet!A:P,5,FALSE)</f>
        <v>Male</v>
      </c>
      <c r="D241" s="5">
        <f>VLOOKUP(globalfreelancepreprocesseddata!A241,worksheet!A:P,6,FALSE)</f>
        <v>29</v>
      </c>
      <c r="E241" s="5" t="str">
        <f>VLOOKUP(globalfreelancepreprocesseddata!A241,worksheet!A:P,7,FALSE)</f>
        <v>United States</v>
      </c>
      <c r="F241" s="5" t="str">
        <f>VLOOKUP(globalfreelancepreprocesseddata!A241,worksheet!A:P,8,FALSE)</f>
        <v>English</v>
      </c>
      <c r="G241" s="5" t="str">
        <f>VLOOKUP(globalfreelancepreprocesseddata!A241,worksheet!A:P,9,FALSE)</f>
        <v>Web Development</v>
      </c>
      <c r="H241" s="5">
        <f>VLOOKUP(globalfreelancepreprocesseddata!A241,worksheet!A:P,10,FALSE)</f>
        <v>4</v>
      </c>
      <c r="I241" s="6" t="str">
        <f>VLOOKUP(globalfreelancepreprocesseddata!A241,worksheet!A:P,12,FALSE)</f>
        <v>$ 50</v>
      </c>
      <c r="J241" s="5">
        <f>VLOOKUP(globalfreelancepreprocesseddata!A241,worksheet!A:P,13,FALSE)</f>
        <v>4</v>
      </c>
      <c r="K241" s="5">
        <f>VLOOKUP(globalfreelancepreprocesseddata!A241,worksheet!A:P,14,FALSE)</f>
        <v>0</v>
      </c>
      <c r="L241" s="7">
        <f>VLOOKUP(globalfreelancepreprocesseddata!A241,worksheet!A:P,16,FALSE)</f>
        <v>0.16</v>
      </c>
    </row>
    <row r="242" spans="1:12" x14ac:dyDescent="0.35">
      <c r="A242" s="5" t="s">
        <v>558</v>
      </c>
      <c r="B242" s="5" t="str">
        <f>VLOOKUP(globalfreelancepreprocesseddata!A242,worksheet!A:P,3,FALSE)</f>
        <v>Christopher Guerra</v>
      </c>
      <c r="C242" s="5" t="str">
        <f>VLOOKUP(globalfreelancepreprocesseddata!A242,worksheet!A:P,5,FALSE)</f>
        <v>Male</v>
      </c>
      <c r="D242" s="5">
        <f>VLOOKUP(globalfreelancepreprocesseddata!A242,worksheet!A:P,6,FALSE)</f>
        <v>34</v>
      </c>
      <c r="E242" s="5" t="str">
        <f>VLOOKUP(globalfreelancepreprocesseddata!A242,worksheet!A:P,7,FALSE)</f>
        <v>India</v>
      </c>
      <c r="F242" s="5" t="str">
        <f>VLOOKUP(globalfreelancepreprocesseddata!A242,worksheet!A:P,8,FALSE)</f>
        <v>Hindi</v>
      </c>
      <c r="G242" s="5" t="str">
        <f>VLOOKUP(globalfreelancepreprocesseddata!A242,worksheet!A:P,9,FALSE)</f>
        <v>AI</v>
      </c>
      <c r="H242" s="5">
        <f>VLOOKUP(globalfreelancepreprocesseddata!A242,worksheet!A:P,10,FALSE)</f>
        <v>11</v>
      </c>
      <c r="I242" s="6">
        <f>VLOOKUP(globalfreelancepreprocesseddata!A242,worksheet!A:P,12,FALSE)</f>
        <v>40</v>
      </c>
      <c r="J242" s="5">
        <f>VLOOKUP(globalfreelancepreprocesseddata!A242,worksheet!A:P,13,FALSE)</f>
        <v>1.2</v>
      </c>
      <c r="K242" s="5">
        <f>VLOOKUP(globalfreelancepreprocesseddata!A242,worksheet!A:P,14,FALSE)</f>
        <v>1</v>
      </c>
      <c r="L242" s="7">
        <f>VLOOKUP(globalfreelancepreprocesseddata!A242,worksheet!A:P,16,FALSE)</f>
        <v>0.16</v>
      </c>
    </row>
    <row r="243" spans="1:12" x14ac:dyDescent="0.35">
      <c r="A243" s="5" t="s">
        <v>560</v>
      </c>
      <c r="B243" s="5" t="str">
        <f>VLOOKUP(globalfreelancepreprocesseddata!A243,worksheet!A:P,3,FALSE)</f>
        <v>Sarah Ho</v>
      </c>
      <c r="C243" s="5" t="str">
        <f>VLOOKUP(globalfreelancepreprocesseddata!A243,worksheet!A:P,5,FALSE)</f>
        <v>Female</v>
      </c>
      <c r="D243" s="5">
        <f>VLOOKUP(globalfreelancepreprocesseddata!A243,worksheet!A:P,6,FALSE)</f>
        <v>32</v>
      </c>
      <c r="E243" s="5" t="str">
        <f>VLOOKUP(globalfreelancepreprocesseddata!A243,worksheet!A:P,7,FALSE)</f>
        <v>Mexico</v>
      </c>
      <c r="F243" s="5" t="str">
        <f>VLOOKUP(globalfreelancepreprocesseddata!A243,worksheet!A:P,8,FALSE)</f>
        <v>Spanish</v>
      </c>
      <c r="G243" s="5" t="str">
        <f>VLOOKUP(globalfreelancepreprocesseddata!A243,worksheet!A:P,9,FALSE)</f>
        <v>AI</v>
      </c>
      <c r="H243" s="5">
        <f>VLOOKUP(globalfreelancepreprocesseddata!A243,worksheet!A:P,10,FALSE)</f>
        <v>1</v>
      </c>
      <c r="I243" s="6">
        <f>VLOOKUP(globalfreelancepreprocesseddata!A243,worksheet!A:P,12,FALSE)</f>
        <v>100</v>
      </c>
      <c r="J243" s="5">
        <f>VLOOKUP(globalfreelancepreprocesseddata!A243,worksheet!A:P,13,FALSE)</f>
        <v>4.7</v>
      </c>
      <c r="K243" s="5">
        <f>VLOOKUP(globalfreelancepreprocesseddata!A243,worksheet!A:P,14,FALSE)</f>
        <v>0</v>
      </c>
      <c r="L243" s="7">
        <f>VLOOKUP(globalfreelancepreprocesseddata!A243,worksheet!A:P,16,FALSE)</f>
        <v>0.67</v>
      </c>
    </row>
    <row r="244" spans="1:12" x14ac:dyDescent="0.35">
      <c r="A244" s="5" t="s">
        <v>562</v>
      </c>
      <c r="B244" s="5" t="str">
        <f>VLOOKUP(globalfreelancepreprocesseddata!A244,worksheet!A:P,3,FALSE)</f>
        <v>Veronica Thomas</v>
      </c>
      <c r="C244" s="5" t="str">
        <f>VLOOKUP(globalfreelancepreprocesseddata!A244,worksheet!A:P,5,FALSE)</f>
        <v>Female</v>
      </c>
      <c r="D244" s="5">
        <f>VLOOKUP(globalfreelancepreprocesseddata!A244,worksheet!A:P,6,FALSE)</f>
        <v>21</v>
      </c>
      <c r="E244" s="5" t="str">
        <f>VLOOKUP(globalfreelancepreprocesseddata!A244,worksheet!A:P,7,FALSE)</f>
        <v>South Africa</v>
      </c>
      <c r="F244" s="5" t="str">
        <f>VLOOKUP(globalfreelancepreprocesseddata!A244,worksheet!A:P,8,FALSE)</f>
        <v>Afrikaans</v>
      </c>
      <c r="G244" s="5" t="str">
        <f>VLOOKUP(globalfreelancepreprocesseddata!A244,worksheet!A:P,9,FALSE)</f>
        <v>Machine Learning</v>
      </c>
      <c r="H244" s="5">
        <f>VLOOKUP(globalfreelancepreprocesseddata!A244,worksheet!A:P,10,FALSE)</f>
        <v>2</v>
      </c>
      <c r="I244" s="6">
        <f>VLOOKUP(globalfreelancepreprocesseddata!A244,worksheet!A:P,12,FALSE)</f>
        <v>20</v>
      </c>
      <c r="J244" s="5">
        <f>VLOOKUP(globalfreelancepreprocesseddata!A244,worksheet!A:P,13,FALSE)</f>
        <v>2.4</v>
      </c>
      <c r="K244" s="5">
        <f>VLOOKUP(globalfreelancepreprocesseddata!A244,worksheet!A:P,14,FALSE)</f>
        <v>1</v>
      </c>
      <c r="L244" s="7">
        <f>VLOOKUP(globalfreelancepreprocesseddata!A244,worksheet!A:P,16,FALSE)</f>
        <v>0.86</v>
      </c>
    </row>
    <row r="245" spans="1:12" x14ac:dyDescent="0.35">
      <c r="A245" s="5" t="s">
        <v>564</v>
      </c>
      <c r="B245" s="5" t="str">
        <f>VLOOKUP(globalfreelancepreprocesseddata!A245,worksheet!A:P,3,FALSE)</f>
        <v>Mitchell Watson</v>
      </c>
      <c r="C245" s="5" t="str">
        <f>VLOOKUP(globalfreelancepreprocesseddata!A245,worksheet!A:P,5,FALSE)</f>
        <v>Male</v>
      </c>
      <c r="D245" s="5">
        <f>VLOOKUP(globalfreelancepreprocesseddata!A245,worksheet!A:P,6,FALSE)</f>
        <v>20</v>
      </c>
      <c r="E245" s="5" t="str">
        <f>VLOOKUP(globalfreelancepreprocesseddata!A245,worksheet!A:P,7,FALSE)</f>
        <v>Mexico</v>
      </c>
      <c r="F245" s="5" t="str">
        <f>VLOOKUP(globalfreelancepreprocesseddata!A245,worksheet!A:P,8,FALSE)</f>
        <v>Spanish</v>
      </c>
      <c r="G245" s="5" t="str">
        <f>VLOOKUP(globalfreelancepreprocesseddata!A245,worksheet!A:P,9,FALSE)</f>
        <v>Graphic Design</v>
      </c>
      <c r="H245" s="5">
        <f>VLOOKUP(globalfreelancepreprocesseddata!A245,worksheet!A:P,10,FALSE)</f>
        <v>2</v>
      </c>
      <c r="I245" s="6">
        <f>VLOOKUP(globalfreelancepreprocesseddata!A245,worksheet!A:P,12,FALSE)</f>
        <v>40</v>
      </c>
      <c r="J245" s="5">
        <f>VLOOKUP(globalfreelancepreprocesseddata!A245,worksheet!A:P,13,FALSE)</f>
        <v>1.1000000000000001</v>
      </c>
      <c r="K245" s="5">
        <f>VLOOKUP(globalfreelancepreprocesseddata!A245,worksheet!A:P,14,FALSE)</f>
        <v>0</v>
      </c>
      <c r="L245" s="7">
        <f>VLOOKUP(globalfreelancepreprocesseddata!A245,worksheet!A:P,16,FALSE)</f>
        <v>0.69</v>
      </c>
    </row>
    <row r="246" spans="1:12" x14ac:dyDescent="0.35">
      <c r="A246" s="5" t="s">
        <v>566</v>
      </c>
      <c r="B246" s="5" t="str">
        <f>VLOOKUP(globalfreelancepreprocesseddata!A246,worksheet!A:P,3,FALSE)</f>
        <v>Monica Murphy</v>
      </c>
      <c r="C246" s="5" t="str">
        <f>VLOOKUP(globalfreelancepreprocesseddata!A246,worksheet!A:P,5,FALSE)</f>
        <v>Female</v>
      </c>
      <c r="D246" s="5">
        <f>VLOOKUP(globalfreelancepreprocesseddata!A246,worksheet!A:P,6,FALSE)</f>
        <v>35</v>
      </c>
      <c r="E246" s="5" t="str">
        <f>VLOOKUP(globalfreelancepreprocesseddata!A246,worksheet!A:P,7,FALSE)</f>
        <v>United States</v>
      </c>
      <c r="F246" s="5" t="str">
        <f>VLOOKUP(globalfreelancepreprocesseddata!A246,worksheet!A:P,8,FALSE)</f>
        <v>English</v>
      </c>
      <c r="G246" s="5" t="str">
        <f>VLOOKUP(globalfreelancepreprocesseddata!A246,worksheet!A:P,9,FALSE)</f>
        <v>Mobile Apps</v>
      </c>
      <c r="H246" s="5">
        <f>VLOOKUP(globalfreelancepreprocesseddata!A246,worksheet!A:P,10,FALSE)</f>
        <v>10</v>
      </c>
      <c r="I246" s="6">
        <f>VLOOKUP(globalfreelancepreprocesseddata!A246,worksheet!A:P,12,FALSE)</f>
        <v>50</v>
      </c>
      <c r="J246" s="5">
        <f>VLOOKUP(globalfreelancepreprocesseddata!A246,worksheet!A:P,13,FALSE)</f>
        <v>1.4</v>
      </c>
      <c r="K246" s="5">
        <f>VLOOKUP(globalfreelancepreprocesseddata!A246,worksheet!A:P,14,FALSE)</f>
        <v>1</v>
      </c>
      <c r="L246" s="7">
        <f>VLOOKUP(globalfreelancepreprocesseddata!A246,worksheet!A:P,16,FALSE)</f>
        <v>0.85</v>
      </c>
    </row>
    <row r="247" spans="1:12" x14ac:dyDescent="0.35">
      <c r="A247" s="5" t="s">
        <v>568</v>
      </c>
      <c r="B247" s="5" t="str">
        <f>VLOOKUP(globalfreelancepreprocesseddata!A247,worksheet!A:P,3,FALSE)</f>
        <v>Kristen Williams</v>
      </c>
      <c r="C247" s="5" t="str">
        <f>VLOOKUP(globalfreelancepreprocesseddata!A247,worksheet!A:P,5,FALSE)</f>
        <v>Female</v>
      </c>
      <c r="D247" s="5">
        <f>VLOOKUP(globalfreelancepreprocesseddata!A247,worksheet!A:P,6,FALSE)</f>
        <v>47</v>
      </c>
      <c r="E247" s="5" t="str">
        <f>VLOOKUP(globalfreelancepreprocesseddata!A247,worksheet!A:P,7,FALSE)</f>
        <v>United States</v>
      </c>
      <c r="F247" s="5" t="str">
        <f>VLOOKUP(globalfreelancepreprocesseddata!A247,worksheet!A:P,8,FALSE)</f>
        <v>English</v>
      </c>
      <c r="G247" s="5" t="str">
        <f>VLOOKUP(globalfreelancepreprocesseddata!A247,worksheet!A:P,9,FALSE)</f>
        <v>UI/UX Design</v>
      </c>
      <c r="H247" s="5">
        <f>VLOOKUP(globalfreelancepreprocesseddata!A247,worksheet!A:P,10,FALSE)</f>
        <v>18</v>
      </c>
      <c r="I247" s="6">
        <f>VLOOKUP(globalfreelancepreprocesseddata!A247,worksheet!A:P,12,FALSE)</f>
        <v>40</v>
      </c>
      <c r="J247" s="5">
        <f>VLOOKUP(globalfreelancepreprocesseddata!A247,worksheet!A:P,13,FALSE)</f>
        <v>3.4</v>
      </c>
      <c r="K247" s="5">
        <f>VLOOKUP(globalfreelancepreprocesseddata!A247,worksheet!A:P,14,FALSE)</f>
        <v>0</v>
      </c>
      <c r="L247" s="7">
        <f>VLOOKUP(globalfreelancepreprocesseddata!A247,worksheet!A:P,16,FALSE)</f>
        <v>0.6</v>
      </c>
    </row>
    <row r="248" spans="1:12" x14ac:dyDescent="0.35">
      <c r="A248" s="5" t="s">
        <v>570</v>
      </c>
      <c r="B248" s="5" t="str">
        <f>VLOOKUP(globalfreelancepreprocesseddata!A248,worksheet!A:P,3,FALSE)</f>
        <v>Nicole Wright</v>
      </c>
      <c r="C248" s="5" t="str">
        <f>VLOOKUP(globalfreelancepreprocesseddata!A248,worksheet!A:P,5,FALSE)</f>
        <v>Female</v>
      </c>
      <c r="D248" s="5">
        <f>VLOOKUP(globalfreelancepreprocesseddata!A248,worksheet!A:P,6,FALSE)</f>
        <v>41</v>
      </c>
      <c r="E248" s="5" t="str">
        <f>VLOOKUP(globalfreelancepreprocesseddata!A248,worksheet!A:P,7,FALSE)</f>
        <v>Turkey</v>
      </c>
      <c r="F248" s="5" t="str">
        <f>VLOOKUP(globalfreelancepreprocesseddata!A248,worksheet!A:P,8,FALSE)</f>
        <v>Turkish</v>
      </c>
      <c r="G248" s="5" t="str">
        <f>VLOOKUP(globalfreelancepreprocesseddata!A248,worksheet!A:P,9,FALSE)</f>
        <v>Blockchain Development</v>
      </c>
      <c r="H248" s="5">
        <f>VLOOKUP(globalfreelancepreprocesseddata!A248,worksheet!A:P,10,FALSE)</f>
        <v>4</v>
      </c>
      <c r="I248" s="6">
        <f>VLOOKUP(globalfreelancepreprocesseddata!A248,worksheet!A:P,12,FALSE)</f>
        <v>40</v>
      </c>
      <c r="J248" s="5">
        <f>VLOOKUP(globalfreelancepreprocesseddata!A248,worksheet!A:P,13,FALSE)</f>
        <v>2.7</v>
      </c>
      <c r="K248" s="5">
        <f>VLOOKUP(globalfreelancepreprocesseddata!A248,worksheet!A:P,14,FALSE)</f>
        <v>1</v>
      </c>
      <c r="L248" s="7">
        <f>VLOOKUP(globalfreelancepreprocesseddata!A248,worksheet!A:P,16,FALSE)</f>
        <v>0.7</v>
      </c>
    </row>
    <row r="249" spans="1:12" x14ac:dyDescent="0.35">
      <c r="A249" s="5" t="s">
        <v>572</v>
      </c>
      <c r="B249" s="5" t="str">
        <f>VLOOKUP(globalfreelancepreprocesseddata!A249,worksheet!A:P,3,FALSE)</f>
        <v>Andrew Ruiz</v>
      </c>
      <c r="C249" s="5" t="str">
        <f>VLOOKUP(globalfreelancepreprocesseddata!A249,worksheet!A:P,5,FALSE)</f>
        <v>Male</v>
      </c>
      <c r="D249" s="5">
        <f>VLOOKUP(globalfreelancepreprocesseddata!A249,worksheet!A:P,6,FALSE)</f>
        <v>58</v>
      </c>
      <c r="E249" s="5" t="str">
        <f>VLOOKUP(globalfreelancepreprocesseddata!A249,worksheet!A:P,7,FALSE)</f>
        <v>Argentina</v>
      </c>
      <c r="F249" s="5" t="str">
        <f>VLOOKUP(globalfreelancepreprocesseddata!A249,worksheet!A:P,8,FALSE)</f>
        <v>Spanish</v>
      </c>
      <c r="G249" s="5" t="str">
        <f>VLOOKUP(globalfreelancepreprocesseddata!A249,worksheet!A:P,9,FALSE)</f>
        <v>Web Development</v>
      </c>
      <c r="H249" s="5">
        <f>VLOOKUP(globalfreelancepreprocesseddata!A249,worksheet!A:P,10,FALSE)</f>
        <v>23</v>
      </c>
      <c r="I249" s="6">
        <f>VLOOKUP(globalfreelancepreprocesseddata!A249,worksheet!A:P,12,FALSE)</f>
        <v>40</v>
      </c>
      <c r="J249" s="5">
        <f>VLOOKUP(globalfreelancepreprocesseddata!A249,worksheet!A:P,13,FALSE)</f>
        <v>4.9000000000000004</v>
      </c>
      <c r="K249" s="5">
        <f>VLOOKUP(globalfreelancepreprocesseddata!A249,worksheet!A:P,14,FALSE)</f>
        <v>0</v>
      </c>
      <c r="L249" s="7">
        <f>VLOOKUP(globalfreelancepreprocesseddata!A249,worksheet!A:P,16,FALSE)</f>
        <v>0.16</v>
      </c>
    </row>
    <row r="250" spans="1:12" x14ac:dyDescent="0.35">
      <c r="A250" s="5" t="s">
        <v>574</v>
      </c>
      <c r="B250" s="5" t="str">
        <f>VLOOKUP(globalfreelancepreprocesseddata!A250,worksheet!A:P,3,FALSE)</f>
        <v>Zachary Jackson</v>
      </c>
      <c r="C250" s="5" t="str">
        <f>VLOOKUP(globalfreelancepreprocesseddata!A250,worksheet!A:P,5,FALSE)</f>
        <v>Male</v>
      </c>
      <c r="D250" s="5">
        <f>VLOOKUP(globalfreelancepreprocesseddata!A250,worksheet!A:P,6,FALSE)</f>
        <v>34</v>
      </c>
      <c r="E250" s="5" t="str">
        <f>VLOOKUP(globalfreelancepreprocesseddata!A250,worksheet!A:P,7,FALSE)</f>
        <v>China</v>
      </c>
      <c r="F250" s="5" t="str">
        <f>VLOOKUP(globalfreelancepreprocesseddata!A250,worksheet!A:P,8,FALSE)</f>
        <v>Mandarin</v>
      </c>
      <c r="G250" s="5" t="str">
        <f>VLOOKUP(globalfreelancepreprocesseddata!A250,worksheet!A:P,9,FALSE)</f>
        <v>Data Analysis</v>
      </c>
      <c r="H250" s="5">
        <f>VLOOKUP(globalfreelancepreprocesseddata!A250,worksheet!A:P,10,FALSE)</f>
        <v>6</v>
      </c>
      <c r="I250" s="6">
        <f>VLOOKUP(globalfreelancepreprocesseddata!A250,worksheet!A:P,12,FALSE)</f>
        <v>75</v>
      </c>
      <c r="J250" s="5">
        <f>VLOOKUP(globalfreelancepreprocesseddata!A250,worksheet!A:P,13,FALSE)</f>
        <v>1.9</v>
      </c>
      <c r="K250" s="5">
        <f>VLOOKUP(globalfreelancepreprocesseddata!A250,worksheet!A:P,14,FALSE)</f>
        <v>1</v>
      </c>
      <c r="L250" s="7">
        <f>VLOOKUP(globalfreelancepreprocesseddata!A250,worksheet!A:P,16,FALSE)</f>
        <v>0.81</v>
      </c>
    </row>
    <row r="251" spans="1:12" x14ac:dyDescent="0.35">
      <c r="A251" s="5" t="s">
        <v>576</v>
      </c>
      <c r="B251" s="5" t="str">
        <f>VLOOKUP(globalfreelancepreprocesseddata!A251,worksheet!A:P,3,FALSE)</f>
        <v>Stephanie Carter</v>
      </c>
      <c r="C251" s="5" t="str">
        <f>VLOOKUP(globalfreelancepreprocesseddata!A251,worksheet!A:P,5,FALSE)</f>
        <v>Female</v>
      </c>
      <c r="D251" s="5">
        <f>VLOOKUP(globalfreelancepreprocesseddata!A251,worksheet!A:P,6,FALSE)</f>
        <v>50</v>
      </c>
      <c r="E251" s="5" t="str">
        <f>VLOOKUP(globalfreelancepreprocesseddata!A251,worksheet!A:P,7,FALSE)</f>
        <v>India</v>
      </c>
      <c r="F251" s="5" t="str">
        <f>VLOOKUP(globalfreelancepreprocesseddata!A251,worksheet!A:P,8,FALSE)</f>
        <v>Hindi</v>
      </c>
      <c r="G251" s="5" t="str">
        <f>VLOOKUP(globalfreelancepreprocesseddata!A251,worksheet!A:P,9,FALSE)</f>
        <v>Mobile Apps</v>
      </c>
      <c r="H251" s="5">
        <f>VLOOKUP(globalfreelancepreprocesseddata!A251,worksheet!A:P,10,FALSE)</f>
        <v>5</v>
      </c>
      <c r="I251" s="6">
        <f>VLOOKUP(globalfreelancepreprocesseddata!A251,worksheet!A:P,12,FALSE)</f>
        <v>100</v>
      </c>
      <c r="J251" s="5">
        <f>VLOOKUP(globalfreelancepreprocesseddata!A251,worksheet!A:P,13,FALSE)</f>
        <v>3</v>
      </c>
      <c r="K251" s="5">
        <f>VLOOKUP(globalfreelancepreprocesseddata!A251,worksheet!A:P,14,FALSE)</f>
        <v>1</v>
      </c>
      <c r="L251" s="7">
        <f>VLOOKUP(globalfreelancepreprocesseddata!A251,worksheet!A:P,16,FALSE)</f>
        <v>0.16</v>
      </c>
    </row>
    <row r="252" spans="1:12" x14ac:dyDescent="0.35">
      <c r="A252" s="5" t="s">
        <v>578</v>
      </c>
      <c r="B252" s="5" t="str">
        <f>VLOOKUP(globalfreelancepreprocesseddata!A252,worksheet!A:P,3,FALSE)</f>
        <v>Amy Olson</v>
      </c>
      <c r="C252" s="5" t="str">
        <f>VLOOKUP(globalfreelancepreprocesseddata!A252,worksheet!A:P,5,FALSE)</f>
        <v>Female</v>
      </c>
      <c r="D252" s="5">
        <f>VLOOKUP(globalfreelancepreprocesseddata!A252,worksheet!A:P,6,FALSE)</f>
        <v>42</v>
      </c>
      <c r="E252" s="5" t="str">
        <f>VLOOKUP(globalfreelancepreprocesseddata!A252,worksheet!A:P,7,FALSE)</f>
        <v>Mexico</v>
      </c>
      <c r="F252" s="5" t="str">
        <f>VLOOKUP(globalfreelancepreprocesseddata!A252,worksheet!A:P,8,FALSE)</f>
        <v>Spanish</v>
      </c>
      <c r="G252" s="5" t="str">
        <f>VLOOKUP(globalfreelancepreprocesseddata!A252,worksheet!A:P,9,FALSE)</f>
        <v>DevOps</v>
      </c>
      <c r="H252" s="5">
        <f>VLOOKUP(globalfreelancepreprocesseddata!A252,worksheet!A:P,10,FALSE)</f>
        <v>19</v>
      </c>
      <c r="I252" s="6" t="str">
        <f>VLOOKUP(globalfreelancepreprocesseddata!A252,worksheet!A:P,12,FALSE)</f>
        <v>$ 75</v>
      </c>
      <c r="J252" s="5">
        <f>VLOOKUP(globalfreelancepreprocesseddata!A252,worksheet!A:P,13,FALSE)</f>
        <v>4.5999999999999996</v>
      </c>
      <c r="K252" s="5">
        <f>VLOOKUP(globalfreelancepreprocesseddata!A252,worksheet!A:P,14,FALSE)</f>
        <v>0</v>
      </c>
      <c r="L252" s="7">
        <f>VLOOKUP(globalfreelancepreprocesseddata!A252,worksheet!A:P,16,FALSE)</f>
        <v>0.78</v>
      </c>
    </row>
    <row r="253" spans="1:12" x14ac:dyDescent="0.35">
      <c r="A253" s="5" t="s">
        <v>580</v>
      </c>
      <c r="B253" s="5" t="str">
        <f>VLOOKUP(globalfreelancepreprocesseddata!A253,worksheet!A:P,3,FALSE)</f>
        <v>Fred Stark</v>
      </c>
      <c r="C253" s="5" t="str">
        <f>VLOOKUP(globalfreelancepreprocesseddata!A253,worksheet!A:P,5,FALSE)</f>
        <v>Male</v>
      </c>
      <c r="D253" s="5">
        <f>VLOOKUP(globalfreelancepreprocesseddata!A253,worksheet!A:P,6,FALSE)</f>
        <v>43</v>
      </c>
      <c r="E253" s="5" t="str">
        <f>VLOOKUP(globalfreelancepreprocesseddata!A253,worksheet!A:P,7,FALSE)</f>
        <v>Germany</v>
      </c>
      <c r="F253" s="5" t="str">
        <f>VLOOKUP(globalfreelancepreprocesseddata!A253,worksheet!A:P,8,FALSE)</f>
        <v>German</v>
      </c>
      <c r="G253" s="5" t="str">
        <f>VLOOKUP(globalfreelancepreprocesseddata!A253,worksheet!A:P,9,FALSE)</f>
        <v>UI/UX Design</v>
      </c>
      <c r="H253" s="5">
        <f>VLOOKUP(globalfreelancepreprocesseddata!A253,worksheet!A:P,10,FALSE)</f>
        <v>6</v>
      </c>
      <c r="I253" s="6">
        <f>VLOOKUP(globalfreelancepreprocesseddata!A253,worksheet!A:P,12,FALSE)</f>
        <v>50</v>
      </c>
      <c r="J253" s="5">
        <f>VLOOKUP(globalfreelancepreprocesseddata!A253,worksheet!A:P,13,FALSE)</f>
        <v>0</v>
      </c>
      <c r="K253" s="5">
        <f>VLOOKUP(globalfreelancepreprocesseddata!A253,worksheet!A:P,14,FALSE)</f>
        <v>0</v>
      </c>
      <c r="L253" s="7">
        <f>VLOOKUP(globalfreelancepreprocesseddata!A253,worksheet!A:P,16,FALSE)</f>
        <v>0.81</v>
      </c>
    </row>
    <row r="254" spans="1:12" x14ac:dyDescent="0.35">
      <c r="A254" s="5" t="s">
        <v>582</v>
      </c>
      <c r="B254" s="5" t="str">
        <f>VLOOKUP(globalfreelancepreprocesseddata!A254,worksheet!A:P,3,FALSE)</f>
        <v>Jacob Gill</v>
      </c>
      <c r="C254" s="5" t="str">
        <f>VLOOKUP(globalfreelancepreprocesseddata!A254,worksheet!A:P,5,FALSE)</f>
        <v>Male</v>
      </c>
      <c r="D254" s="5">
        <f>VLOOKUP(globalfreelancepreprocesseddata!A254,worksheet!A:P,6,FALSE)</f>
        <v>34</v>
      </c>
      <c r="E254" s="5" t="str">
        <f>VLOOKUP(globalfreelancepreprocesseddata!A254,worksheet!A:P,7,FALSE)</f>
        <v>Germany</v>
      </c>
      <c r="F254" s="5" t="str">
        <f>VLOOKUP(globalfreelancepreprocesseddata!A254,worksheet!A:P,8,FALSE)</f>
        <v>German</v>
      </c>
      <c r="G254" s="5" t="str">
        <f>VLOOKUP(globalfreelancepreprocesseddata!A254,worksheet!A:P,9,FALSE)</f>
        <v>Data Analysis</v>
      </c>
      <c r="H254" s="5">
        <f>VLOOKUP(globalfreelancepreprocesseddata!A254,worksheet!A:P,10,FALSE)</f>
        <v>8</v>
      </c>
      <c r="I254" s="6">
        <f>VLOOKUP(globalfreelancepreprocesseddata!A254,worksheet!A:P,12,FALSE)</f>
        <v>75</v>
      </c>
      <c r="J254" s="5">
        <f>VLOOKUP(globalfreelancepreprocesseddata!A254,worksheet!A:P,13,FALSE)</f>
        <v>1.8</v>
      </c>
      <c r="K254" s="5">
        <f>VLOOKUP(globalfreelancepreprocesseddata!A254,worksheet!A:P,14,FALSE)</f>
        <v>1</v>
      </c>
      <c r="L254" s="7">
        <f>VLOOKUP(globalfreelancepreprocesseddata!A254,worksheet!A:P,16,FALSE)</f>
        <v>0.71</v>
      </c>
    </row>
    <row r="255" spans="1:12" x14ac:dyDescent="0.35">
      <c r="A255" s="5" t="s">
        <v>584</v>
      </c>
      <c r="B255" s="5" t="str">
        <f>VLOOKUP(globalfreelancepreprocesseddata!A255,worksheet!A:P,3,FALSE)</f>
        <v>Anthony Nichols</v>
      </c>
      <c r="C255" s="5" t="str">
        <f>VLOOKUP(globalfreelancepreprocesseddata!A255,worksheet!A:P,5,FALSE)</f>
        <v>Male</v>
      </c>
      <c r="D255" s="5">
        <f>VLOOKUP(globalfreelancepreprocesseddata!A255,worksheet!A:P,6,FALSE)</f>
        <v>24</v>
      </c>
      <c r="E255" s="5" t="str">
        <f>VLOOKUP(globalfreelancepreprocesseddata!A255,worksheet!A:P,7,FALSE)</f>
        <v>Spain</v>
      </c>
      <c r="F255" s="5" t="str">
        <f>VLOOKUP(globalfreelancepreprocesseddata!A255,worksheet!A:P,8,FALSE)</f>
        <v>Spanish</v>
      </c>
      <c r="G255" s="5" t="str">
        <f>VLOOKUP(globalfreelancepreprocesseddata!A255,worksheet!A:P,9,FALSE)</f>
        <v>Mobile Apps</v>
      </c>
      <c r="H255" s="5">
        <f>VLOOKUP(globalfreelancepreprocesseddata!A255,worksheet!A:P,10,FALSE)</f>
        <v>3</v>
      </c>
      <c r="I255" s="6">
        <f>VLOOKUP(globalfreelancepreprocesseddata!A255,worksheet!A:P,12,FALSE)</f>
        <v>75</v>
      </c>
      <c r="J255" s="5">
        <f>VLOOKUP(globalfreelancepreprocesseddata!A255,worksheet!A:P,13,FALSE)</f>
        <v>2</v>
      </c>
      <c r="K255" s="5">
        <f>VLOOKUP(globalfreelancepreprocesseddata!A255,worksheet!A:P,14,FALSE)</f>
        <v>0</v>
      </c>
      <c r="L255" s="7">
        <f>VLOOKUP(globalfreelancepreprocesseddata!A255,worksheet!A:P,16,FALSE)</f>
        <v>0.16</v>
      </c>
    </row>
    <row r="256" spans="1:12" x14ac:dyDescent="0.35">
      <c r="A256" s="5" t="s">
        <v>586</v>
      </c>
      <c r="B256" s="5" t="str">
        <f>VLOOKUP(globalfreelancepreprocesseddata!A256,worksheet!A:P,3,FALSE)</f>
        <v>William Knapp</v>
      </c>
      <c r="C256" s="5" t="str">
        <f>VLOOKUP(globalfreelancepreprocesseddata!A256,worksheet!A:P,5,FALSE)</f>
        <v>Male</v>
      </c>
      <c r="D256" s="5">
        <f>VLOOKUP(globalfreelancepreprocesseddata!A256,worksheet!A:P,6,FALSE)</f>
        <v>48</v>
      </c>
      <c r="E256" s="5" t="str">
        <f>VLOOKUP(globalfreelancepreprocesseddata!A256,worksheet!A:P,7,FALSE)</f>
        <v>South Africa</v>
      </c>
      <c r="F256" s="5" t="str">
        <f>VLOOKUP(globalfreelancepreprocesseddata!A256,worksheet!A:P,8,FALSE)</f>
        <v>Afrikaans</v>
      </c>
      <c r="G256" s="5" t="str">
        <f>VLOOKUP(globalfreelancepreprocesseddata!A256,worksheet!A:P,9,FALSE)</f>
        <v>UI/UX Design</v>
      </c>
      <c r="H256" s="5">
        <f>VLOOKUP(globalfreelancepreprocesseddata!A256,worksheet!A:P,10,FALSE)</f>
        <v>8</v>
      </c>
      <c r="I256" s="6">
        <f>VLOOKUP(globalfreelancepreprocesseddata!A256,worksheet!A:P,12,FALSE)</f>
        <v>30</v>
      </c>
      <c r="J256" s="5">
        <f>VLOOKUP(globalfreelancepreprocesseddata!A256,worksheet!A:P,13,FALSE)</f>
        <v>5</v>
      </c>
      <c r="K256" s="5">
        <f>VLOOKUP(globalfreelancepreprocesseddata!A256,worksheet!A:P,14,FALSE)</f>
        <v>1</v>
      </c>
      <c r="L256" s="7">
        <f>VLOOKUP(globalfreelancepreprocesseddata!A256,worksheet!A:P,16,FALSE)</f>
        <v>0.99</v>
      </c>
    </row>
    <row r="257" spans="1:12" x14ac:dyDescent="0.35">
      <c r="A257" s="5" t="s">
        <v>588</v>
      </c>
      <c r="B257" s="5" t="str">
        <f>VLOOKUP(globalfreelancepreprocesseddata!A257,worksheet!A:P,3,FALSE)</f>
        <v>Elizabeth Walker</v>
      </c>
      <c r="C257" s="5" t="str">
        <f>VLOOKUP(globalfreelancepreprocesseddata!A257,worksheet!A:P,5,FALSE)</f>
        <v>Female</v>
      </c>
      <c r="D257" s="5">
        <f>VLOOKUP(globalfreelancepreprocesseddata!A257,worksheet!A:P,6,FALSE)</f>
        <v>39</v>
      </c>
      <c r="E257" s="5" t="str">
        <f>VLOOKUP(globalfreelancepreprocesseddata!A257,worksheet!A:P,7,FALSE)</f>
        <v>South Korea</v>
      </c>
      <c r="F257" s="5" t="str">
        <f>VLOOKUP(globalfreelancepreprocesseddata!A257,worksheet!A:P,8,FALSE)</f>
        <v>Korean</v>
      </c>
      <c r="G257" s="5" t="str">
        <f>VLOOKUP(globalfreelancepreprocesseddata!A257,worksheet!A:P,9,FALSE)</f>
        <v>Data Analysis</v>
      </c>
      <c r="H257" s="5">
        <f>VLOOKUP(globalfreelancepreprocesseddata!A257,worksheet!A:P,10,FALSE)</f>
        <v>12</v>
      </c>
      <c r="I257" s="6">
        <f>VLOOKUP(globalfreelancepreprocesseddata!A257,worksheet!A:P,12,FALSE)</f>
        <v>20</v>
      </c>
      <c r="J257" s="5">
        <f>VLOOKUP(globalfreelancepreprocesseddata!A257,worksheet!A:P,13,FALSE)</f>
        <v>3.2</v>
      </c>
      <c r="K257" s="5">
        <f>VLOOKUP(globalfreelancepreprocesseddata!A257,worksheet!A:P,14,FALSE)</f>
        <v>1</v>
      </c>
      <c r="L257" s="7">
        <f>VLOOKUP(globalfreelancepreprocesseddata!A257,worksheet!A:P,16,FALSE)</f>
        <v>0.66</v>
      </c>
    </row>
    <row r="258" spans="1:12" x14ac:dyDescent="0.35">
      <c r="A258" s="5" t="s">
        <v>590</v>
      </c>
      <c r="B258" s="5" t="str">
        <f>VLOOKUP(globalfreelancepreprocesseddata!A258,worksheet!A:P,3,FALSE)</f>
        <v>Brenda Reeves</v>
      </c>
      <c r="C258" s="5" t="str">
        <f>VLOOKUP(globalfreelancepreprocesseddata!A258,worksheet!A:P,5,FALSE)</f>
        <v>Female</v>
      </c>
      <c r="D258" s="5">
        <f>VLOOKUP(globalfreelancepreprocesseddata!A258,worksheet!A:P,6,FALSE)</f>
        <v>57</v>
      </c>
      <c r="E258" s="5" t="str">
        <f>VLOOKUP(globalfreelancepreprocesseddata!A258,worksheet!A:P,7,FALSE)</f>
        <v>Australia</v>
      </c>
      <c r="F258" s="5" t="str">
        <f>VLOOKUP(globalfreelancepreprocesseddata!A258,worksheet!A:P,8,FALSE)</f>
        <v>English</v>
      </c>
      <c r="G258" s="5" t="str">
        <f>VLOOKUP(globalfreelancepreprocesseddata!A258,worksheet!A:P,9,FALSE)</f>
        <v>Blockchain Development</v>
      </c>
      <c r="H258" s="5">
        <f>VLOOKUP(globalfreelancepreprocesseddata!A258,worksheet!A:P,10,FALSE)</f>
        <v>30</v>
      </c>
      <c r="I258" s="6">
        <f>VLOOKUP(globalfreelancepreprocesseddata!A258,worksheet!A:P,12,FALSE)</f>
        <v>30</v>
      </c>
      <c r="J258" s="5">
        <f>VLOOKUP(globalfreelancepreprocesseddata!A258,worksheet!A:P,13,FALSE)</f>
        <v>2.4</v>
      </c>
      <c r="K258" s="5">
        <f>VLOOKUP(globalfreelancepreprocesseddata!A258,worksheet!A:P,14,FALSE)</f>
        <v>1</v>
      </c>
      <c r="L258" s="7">
        <f>VLOOKUP(globalfreelancepreprocesseddata!A258,worksheet!A:P,16,FALSE)</f>
        <v>0.8</v>
      </c>
    </row>
    <row r="259" spans="1:12" x14ac:dyDescent="0.35">
      <c r="A259" s="5" t="s">
        <v>592</v>
      </c>
      <c r="B259" s="5" t="str">
        <f>VLOOKUP(globalfreelancepreprocesseddata!A259,worksheet!A:P,3,FALSE)</f>
        <v>Carrie Little</v>
      </c>
      <c r="C259" s="5" t="str">
        <f>VLOOKUP(globalfreelancepreprocesseddata!A259,worksheet!A:P,5,FALSE)</f>
        <v>Female</v>
      </c>
      <c r="D259" s="5">
        <f>VLOOKUP(globalfreelancepreprocesseddata!A259,worksheet!A:P,6,FALSE)</f>
        <v>44</v>
      </c>
      <c r="E259" s="5" t="str">
        <f>VLOOKUP(globalfreelancepreprocesseddata!A259,worksheet!A:P,7,FALSE)</f>
        <v>Canada</v>
      </c>
      <c r="F259" s="5" t="str">
        <f>VLOOKUP(globalfreelancepreprocesseddata!A259,worksheet!A:P,8,FALSE)</f>
        <v>English</v>
      </c>
      <c r="G259" s="5" t="str">
        <f>VLOOKUP(globalfreelancepreprocesseddata!A259,worksheet!A:P,9,FALSE)</f>
        <v>Web Development</v>
      </c>
      <c r="H259" s="5">
        <f>VLOOKUP(globalfreelancepreprocesseddata!A259,worksheet!A:P,10,FALSE)</f>
        <v>21</v>
      </c>
      <c r="I259" s="6">
        <f>VLOOKUP(globalfreelancepreprocesseddata!A259,worksheet!A:P,12,FALSE)</f>
        <v>100</v>
      </c>
      <c r="J259" s="5">
        <f>VLOOKUP(globalfreelancepreprocesseddata!A259,worksheet!A:P,13,FALSE)</f>
        <v>2.9</v>
      </c>
      <c r="K259" s="5">
        <f>VLOOKUP(globalfreelancepreprocesseddata!A259,worksheet!A:P,14,FALSE)</f>
        <v>0</v>
      </c>
      <c r="L259" s="7">
        <f>VLOOKUP(globalfreelancepreprocesseddata!A259,worksheet!A:P,16,FALSE)</f>
        <v>0.83</v>
      </c>
    </row>
    <row r="260" spans="1:12" x14ac:dyDescent="0.35">
      <c r="A260" s="5" t="s">
        <v>594</v>
      </c>
      <c r="B260" s="5" t="str">
        <f>VLOOKUP(globalfreelancepreprocesseddata!A260,worksheet!A:P,3,FALSE)</f>
        <v>Steven Jackson</v>
      </c>
      <c r="C260" s="5" t="str">
        <f>VLOOKUP(globalfreelancepreprocesseddata!A260,worksheet!A:P,5,FALSE)</f>
        <v>Male</v>
      </c>
      <c r="D260" s="5">
        <f>VLOOKUP(globalfreelancepreprocesseddata!A260,worksheet!A:P,6,FALSE)</f>
        <v>37</v>
      </c>
      <c r="E260" s="5" t="str">
        <f>VLOOKUP(globalfreelancepreprocesseddata!A260,worksheet!A:P,7,FALSE)</f>
        <v>Brazil</v>
      </c>
      <c r="F260" s="5" t="str">
        <f>VLOOKUP(globalfreelancepreprocesseddata!A260,worksheet!A:P,8,FALSE)</f>
        <v>Portuguese</v>
      </c>
      <c r="G260" s="5" t="str">
        <f>VLOOKUP(globalfreelancepreprocesseddata!A260,worksheet!A:P,9,FALSE)</f>
        <v>UI/UX Design</v>
      </c>
      <c r="H260" s="5">
        <f>VLOOKUP(globalfreelancepreprocesseddata!A260,worksheet!A:P,10,FALSE)</f>
        <v>17</v>
      </c>
      <c r="I260" s="6" t="str">
        <f>VLOOKUP(globalfreelancepreprocesseddata!A260,worksheet!A:P,12,FALSE)</f>
        <v>$ 20</v>
      </c>
      <c r="J260" s="5">
        <f>VLOOKUP(globalfreelancepreprocesseddata!A260,worksheet!A:P,13,FALSE)</f>
        <v>0</v>
      </c>
      <c r="K260" s="5">
        <f>VLOOKUP(globalfreelancepreprocesseddata!A260,worksheet!A:P,14,FALSE)</f>
        <v>1</v>
      </c>
      <c r="L260" s="7">
        <f>VLOOKUP(globalfreelancepreprocesseddata!A260,worksheet!A:P,16,FALSE)</f>
        <v>0.87</v>
      </c>
    </row>
    <row r="261" spans="1:12" x14ac:dyDescent="0.35">
      <c r="A261" s="5" t="s">
        <v>596</v>
      </c>
      <c r="B261" s="5" t="str">
        <f>VLOOKUP(globalfreelancepreprocesseddata!A261,worksheet!A:P,3,FALSE)</f>
        <v>Mark Perry</v>
      </c>
      <c r="C261" s="5" t="str">
        <f>VLOOKUP(globalfreelancepreprocesseddata!A261,worksheet!A:P,5,FALSE)</f>
        <v>Male</v>
      </c>
      <c r="D261" s="5">
        <f>VLOOKUP(globalfreelancepreprocesseddata!A261,worksheet!A:P,6,FALSE)</f>
        <v>50</v>
      </c>
      <c r="E261" s="5" t="str">
        <f>VLOOKUP(globalfreelancepreprocesseddata!A261,worksheet!A:P,7,FALSE)</f>
        <v>Turkey</v>
      </c>
      <c r="F261" s="5" t="str">
        <f>VLOOKUP(globalfreelancepreprocesseddata!A261,worksheet!A:P,8,FALSE)</f>
        <v>Turkish</v>
      </c>
      <c r="G261" s="5" t="str">
        <f>VLOOKUP(globalfreelancepreprocesseddata!A261,worksheet!A:P,9,FALSE)</f>
        <v>Data Analysis</v>
      </c>
      <c r="H261" s="5">
        <f>VLOOKUP(globalfreelancepreprocesseddata!A261,worksheet!A:P,10,FALSE)</f>
        <v>9</v>
      </c>
      <c r="I261" s="6">
        <f>VLOOKUP(globalfreelancepreprocesseddata!A261,worksheet!A:P,12,FALSE)</f>
        <v>30</v>
      </c>
      <c r="J261" s="5">
        <f>VLOOKUP(globalfreelancepreprocesseddata!A261,worksheet!A:P,13,FALSE)</f>
        <v>3</v>
      </c>
      <c r="K261" s="5">
        <f>VLOOKUP(globalfreelancepreprocesseddata!A261,worksheet!A:P,14,FALSE)</f>
        <v>0</v>
      </c>
      <c r="L261" s="7">
        <f>VLOOKUP(globalfreelancepreprocesseddata!A261,worksheet!A:P,16,FALSE)</f>
        <v>0.76</v>
      </c>
    </row>
    <row r="262" spans="1:12" x14ac:dyDescent="0.35">
      <c r="A262" s="5" t="s">
        <v>598</v>
      </c>
      <c r="B262" s="5" t="str">
        <f>VLOOKUP(globalfreelancepreprocesseddata!A262,worksheet!A:P,3,FALSE)</f>
        <v>Cameron Spencer</v>
      </c>
      <c r="C262" s="5" t="str">
        <f>VLOOKUP(globalfreelancepreprocesseddata!A262,worksheet!A:P,5,FALSE)</f>
        <v>Male</v>
      </c>
      <c r="D262" s="5">
        <f>VLOOKUP(globalfreelancepreprocesseddata!A262,worksheet!A:P,6,FALSE)</f>
        <v>50</v>
      </c>
      <c r="E262" s="5" t="str">
        <f>VLOOKUP(globalfreelancepreprocesseddata!A262,worksheet!A:P,7,FALSE)</f>
        <v>Spain</v>
      </c>
      <c r="F262" s="5" t="str">
        <f>VLOOKUP(globalfreelancepreprocesseddata!A262,worksheet!A:P,8,FALSE)</f>
        <v>Spanish</v>
      </c>
      <c r="G262" s="5" t="str">
        <f>VLOOKUP(globalfreelancepreprocesseddata!A262,worksheet!A:P,9,FALSE)</f>
        <v>UI/UX Design</v>
      </c>
      <c r="H262" s="5">
        <f>VLOOKUP(globalfreelancepreprocesseddata!A262,worksheet!A:P,10,FALSE)</f>
        <v>2</v>
      </c>
      <c r="I262" s="6">
        <f>VLOOKUP(globalfreelancepreprocesseddata!A262,worksheet!A:P,12,FALSE)</f>
        <v>50</v>
      </c>
      <c r="J262" s="5">
        <f>VLOOKUP(globalfreelancepreprocesseddata!A262,worksheet!A:P,13,FALSE)</f>
        <v>1.6</v>
      </c>
      <c r="K262" s="5">
        <f>VLOOKUP(globalfreelancepreprocesseddata!A262,worksheet!A:P,14,FALSE)</f>
        <v>1</v>
      </c>
      <c r="L262" s="7">
        <f>VLOOKUP(globalfreelancepreprocesseddata!A262,worksheet!A:P,16,FALSE)</f>
        <v>0.89</v>
      </c>
    </row>
    <row r="263" spans="1:12" x14ac:dyDescent="0.35">
      <c r="A263" s="5" t="s">
        <v>600</v>
      </c>
      <c r="B263" s="5" t="str">
        <f>VLOOKUP(globalfreelancepreprocesseddata!A263,worksheet!A:P,3,FALSE)</f>
        <v>Jennifer Holmes</v>
      </c>
      <c r="C263" s="5" t="str">
        <f>VLOOKUP(globalfreelancepreprocesseddata!A263,worksheet!A:P,5,FALSE)</f>
        <v>Female</v>
      </c>
      <c r="D263" s="5">
        <f>VLOOKUP(globalfreelancepreprocesseddata!A263,worksheet!A:P,6,FALSE)</f>
        <v>28</v>
      </c>
      <c r="E263" s="5" t="str">
        <f>VLOOKUP(globalfreelancepreprocesseddata!A263,worksheet!A:P,7,FALSE)</f>
        <v>France</v>
      </c>
      <c r="F263" s="5" t="str">
        <f>VLOOKUP(globalfreelancepreprocesseddata!A263,worksheet!A:P,8,FALSE)</f>
        <v>French</v>
      </c>
      <c r="G263" s="5" t="str">
        <f>VLOOKUP(globalfreelancepreprocesseddata!A263,worksheet!A:P,9,FALSE)</f>
        <v>Graphic Design</v>
      </c>
      <c r="H263" s="5">
        <f>VLOOKUP(globalfreelancepreprocesseddata!A263,worksheet!A:P,10,FALSE)</f>
        <v>1</v>
      </c>
      <c r="I263" s="6">
        <f>VLOOKUP(globalfreelancepreprocesseddata!A263,worksheet!A:P,12,FALSE)</f>
        <v>20</v>
      </c>
      <c r="J263" s="5">
        <f>VLOOKUP(globalfreelancepreprocesseddata!A263,worksheet!A:P,13,FALSE)</f>
        <v>3.6</v>
      </c>
      <c r="K263" s="5">
        <f>VLOOKUP(globalfreelancepreprocesseddata!A263,worksheet!A:P,14,FALSE)</f>
        <v>1</v>
      </c>
      <c r="L263" s="7">
        <f>VLOOKUP(globalfreelancepreprocesseddata!A263,worksheet!A:P,16,FALSE)</f>
        <v>0.94</v>
      </c>
    </row>
    <row r="264" spans="1:12" x14ac:dyDescent="0.35">
      <c r="A264" s="5" t="s">
        <v>602</v>
      </c>
      <c r="B264" s="5" t="str">
        <f>VLOOKUP(globalfreelancepreprocesseddata!A264,worksheet!A:P,3,FALSE)</f>
        <v>Jacob Joseph</v>
      </c>
      <c r="C264" s="5" t="str">
        <f>VLOOKUP(globalfreelancepreprocesseddata!A264,worksheet!A:P,5,FALSE)</f>
        <v>Male</v>
      </c>
      <c r="D264" s="5">
        <f>VLOOKUP(globalfreelancepreprocesseddata!A264,worksheet!A:P,6,FALSE)</f>
        <v>48</v>
      </c>
      <c r="E264" s="5" t="str">
        <f>VLOOKUP(globalfreelancepreprocesseddata!A264,worksheet!A:P,7,FALSE)</f>
        <v>Italy</v>
      </c>
      <c r="F264" s="5" t="str">
        <f>VLOOKUP(globalfreelancepreprocesseddata!A264,worksheet!A:P,8,FALSE)</f>
        <v>Italian</v>
      </c>
      <c r="G264" s="5" t="str">
        <f>VLOOKUP(globalfreelancepreprocesseddata!A264,worksheet!A:P,9,FALSE)</f>
        <v>Web Development</v>
      </c>
      <c r="H264" s="5">
        <f>VLOOKUP(globalfreelancepreprocesseddata!A264,worksheet!A:P,10,FALSE)</f>
        <v>23</v>
      </c>
      <c r="I264" s="6">
        <f>VLOOKUP(globalfreelancepreprocesseddata!A264,worksheet!A:P,12,FALSE)</f>
        <v>40</v>
      </c>
      <c r="J264" s="5">
        <f>VLOOKUP(globalfreelancepreprocesseddata!A264,worksheet!A:P,13,FALSE)</f>
        <v>2.1</v>
      </c>
      <c r="K264" s="5">
        <f>VLOOKUP(globalfreelancepreprocesseddata!A264,worksheet!A:P,14,FALSE)</f>
        <v>0</v>
      </c>
      <c r="L264" s="7">
        <f>VLOOKUP(globalfreelancepreprocesseddata!A264,worksheet!A:P,16,FALSE)</f>
        <v>0.68</v>
      </c>
    </row>
    <row r="265" spans="1:12" x14ac:dyDescent="0.35">
      <c r="A265" s="5" t="s">
        <v>604</v>
      </c>
      <c r="B265" s="5" t="str">
        <f>VLOOKUP(globalfreelancepreprocesseddata!A265,worksheet!A:P,3,FALSE)</f>
        <v>Jeffery Tucker</v>
      </c>
      <c r="C265" s="5" t="str">
        <f>VLOOKUP(globalfreelancepreprocesseddata!A265,worksheet!A:P,5,FALSE)</f>
        <v>Male</v>
      </c>
      <c r="D265" s="5">
        <f>VLOOKUP(globalfreelancepreprocesseddata!A265,worksheet!A:P,6,FALSE)</f>
        <v>42</v>
      </c>
      <c r="E265" s="5" t="str">
        <f>VLOOKUP(globalfreelancepreprocesseddata!A265,worksheet!A:P,7,FALSE)</f>
        <v>Germany</v>
      </c>
      <c r="F265" s="5" t="str">
        <f>VLOOKUP(globalfreelancepreprocesseddata!A265,worksheet!A:P,8,FALSE)</f>
        <v>German</v>
      </c>
      <c r="G265" s="5" t="str">
        <f>VLOOKUP(globalfreelancepreprocesseddata!A265,worksheet!A:P,9,FALSE)</f>
        <v>DevOps</v>
      </c>
      <c r="H265" s="5">
        <f>VLOOKUP(globalfreelancepreprocesseddata!A265,worksheet!A:P,10,FALSE)</f>
        <v>8</v>
      </c>
      <c r="I265" s="6">
        <f>VLOOKUP(globalfreelancepreprocesseddata!A265,worksheet!A:P,12,FALSE)</f>
        <v>30</v>
      </c>
      <c r="J265" s="5">
        <f>VLOOKUP(globalfreelancepreprocesseddata!A265,worksheet!A:P,13,FALSE)</f>
        <v>3.6</v>
      </c>
      <c r="K265" s="5">
        <f>VLOOKUP(globalfreelancepreprocesseddata!A265,worksheet!A:P,14,FALSE)</f>
        <v>1</v>
      </c>
      <c r="L265" s="7">
        <f>VLOOKUP(globalfreelancepreprocesseddata!A265,worksheet!A:P,16,FALSE)</f>
        <v>0.96</v>
      </c>
    </row>
    <row r="266" spans="1:12" x14ac:dyDescent="0.35">
      <c r="A266" s="5" t="s">
        <v>606</v>
      </c>
      <c r="B266" s="5" t="str">
        <f>VLOOKUP(globalfreelancepreprocesseddata!A266,worksheet!A:P,3,FALSE)</f>
        <v>Jacqueline Drake</v>
      </c>
      <c r="C266" s="5" t="str">
        <f>VLOOKUP(globalfreelancepreprocesseddata!A266,worksheet!A:P,5,FALSE)</f>
        <v>Female</v>
      </c>
      <c r="D266" s="5">
        <f>VLOOKUP(globalfreelancepreprocesseddata!A266,worksheet!A:P,6,FALSE)</f>
        <v>37</v>
      </c>
      <c r="E266" s="5" t="str">
        <f>VLOOKUP(globalfreelancepreprocesseddata!A266,worksheet!A:P,7,FALSE)</f>
        <v>Canada</v>
      </c>
      <c r="F266" s="5" t="str">
        <f>VLOOKUP(globalfreelancepreprocesseddata!A266,worksheet!A:P,8,FALSE)</f>
        <v>English</v>
      </c>
      <c r="G266" s="5" t="str">
        <f>VLOOKUP(globalfreelancepreprocesseddata!A266,worksheet!A:P,9,FALSE)</f>
        <v>Data Analysis</v>
      </c>
      <c r="H266" s="5">
        <f>VLOOKUP(globalfreelancepreprocesseddata!A266,worksheet!A:P,10,FALSE)</f>
        <v>6</v>
      </c>
      <c r="I266" s="6">
        <f>VLOOKUP(globalfreelancepreprocesseddata!A266,worksheet!A:P,12,FALSE)</f>
        <v>20</v>
      </c>
      <c r="J266" s="5">
        <f>VLOOKUP(globalfreelancepreprocesseddata!A266,worksheet!A:P,13,FALSE)</f>
        <v>2.7</v>
      </c>
      <c r="K266" s="5">
        <f>VLOOKUP(globalfreelancepreprocesseddata!A266,worksheet!A:P,14,FALSE)</f>
        <v>1</v>
      </c>
      <c r="L266" s="7">
        <f>VLOOKUP(globalfreelancepreprocesseddata!A266,worksheet!A:P,16,FALSE)</f>
        <v>0.91</v>
      </c>
    </row>
    <row r="267" spans="1:12" x14ac:dyDescent="0.35">
      <c r="A267" s="5" t="s">
        <v>608</v>
      </c>
      <c r="B267" s="5" t="str">
        <f>VLOOKUP(globalfreelancepreprocesseddata!A267,worksheet!A:P,3,FALSE)</f>
        <v>Brian Bautista</v>
      </c>
      <c r="C267" s="5" t="str">
        <f>VLOOKUP(globalfreelancepreprocesseddata!A267,worksheet!A:P,5,FALSE)</f>
        <v>Male</v>
      </c>
      <c r="D267" s="5">
        <f>VLOOKUP(globalfreelancepreprocesseddata!A267,worksheet!A:P,6,FALSE)</f>
        <v>21</v>
      </c>
      <c r="E267" s="5" t="str">
        <f>VLOOKUP(globalfreelancepreprocesseddata!A267,worksheet!A:P,7,FALSE)</f>
        <v>India</v>
      </c>
      <c r="F267" s="5" t="str">
        <f>VLOOKUP(globalfreelancepreprocesseddata!A267,worksheet!A:P,8,FALSE)</f>
        <v>Hindi</v>
      </c>
      <c r="G267" s="5" t="str">
        <f>VLOOKUP(globalfreelancepreprocesseddata!A267,worksheet!A:P,9,FALSE)</f>
        <v>Blockchain Development</v>
      </c>
      <c r="H267" s="5">
        <f>VLOOKUP(globalfreelancepreprocesseddata!A267,worksheet!A:P,10,FALSE)</f>
        <v>1</v>
      </c>
      <c r="I267" s="6">
        <f>VLOOKUP(globalfreelancepreprocesseddata!A267,worksheet!A:P,12,FALSE)</f>
        <v>100</v>
      </c>
      <c r="J267" s="5">
        <f>VLOOKUP(globalfreelancepreprocesseddata!A267,worksheet!A:P,13,FALSE)</f>
        <v>2.1</v>
      </c>
      <c r="K267" s="5">
        <f>VLOOKUP(globalfreelancepreprocesseddata!A267,worksheet!A:P,14,FALSE)</f>
        <v>1</v>
      </c>
      <c r="L267" s="7">
        <f>VLOOKUP(globalfreelancepreprocesseddata!A267,worksheet!A:P,16,FALSE)</f>
        <v>0.92</v>
      </c>
    </row>
    <row r="268" spans="1:12" x14ac:dyDescent="0.35">
      <c r="A268" s="5" t="s">
        <v>610</v>
      </c>
      <c r="B268" s="5" t="str">
        <f>VLOOKUP(globalfreelancepreprocesseddata!A268,worksheet!A:P,3,FALSE)</f>
        <v>Dakota Wells</v>
      </c>
      <c r="C268" s="5" t="str">
        <f>VLOOKUP(globalfreelancepreprocesseddata!A268,worksheet!A:P,5,FALSE)</f>
        <v>Male</v>
      </c>
      <c r="D268" s="5">
        <f>VLOOKUP(globalfreelancepreprocesseddata!A268,worksheet!A:P,6,FALSE)</f>
        <v>50</v>
      </c>
      <c r="E268" s="5" t="str">
        <f>VLOOKUP(globalfreelancepreprocesseddata!A268,worksheet!A:P,7,FALSE)</f>
        <v>South Korea</v>
      </c>
      <c r="F268" s="5" t="str">
        <f>VLOOKUP(globalfreelancepreprocesseddata!A268,worksheet!A:P,8,FALSE)</f>
        <v>Korean</v>
      </c>
      <c r="G268" s="5" t="str">
        <f>VLOOKUP(globalfreelancepreprocesseddata!A268,worksheet!A:P,9,FALSE)</f>
        <v>Web Development</v>
      </c>
      <c r="H268" s="5">
        <f>VLOOKUP(globalfreelancepreprocesseddata!A268,worksheet!A:P,10,FALSE)</f>
        <v>19</v>
      </c>
      <c r="I268" s="6">
        <f>VLOOKUP(globalfreelancepreprocesseddata!A268,worksheet!A:P,12,FALSE)</f>
        <v>40</v>
      </c>
      <c r="J268" s="5">
        <f>VLOOKUP(globalfreelancepreprocesseddata!A268,worksheet!A:P,13,FALSE)</f>
        <v>4.9000000000000004</v>
      </c>
      <c r="K268" s="5">
        <f>VLOOKUP(globalfreelancepreprocesseddata!A268,worksheet!A:P,14,FALSE)</f>
        <v>1</v>
      </c>
      <c r="L268" s="7">
        <f>VLOOKUP(globalfreelancepreprocesseddata!A268,worksheet!A:P,16,FALSE)</f>
        <v>0.82</v>
      </c>
    </row>
    <row r="269" spans="1:12" x14ac:dyDescent="0.35">
      <c r="A269" s="5" t="s">
        <v>612</v>
      </c>
      <c r="B269" s="5" t="str">
        <f>VLOOKUP(globalfreelancepreprocesseddata!A269,worksheet!A:P,3,FALSE)</f>
        <v>Julie White</v>
      </c>
      <c r="C269" s="5" t="str">
        <f>VLOOKUP(globalfreelancepreprocesseddata!A269,worksheet!A:P,5,FALSE)</f>
        <v>Female</v>
      </c>
      <c r="D269" s="5">
        <f>VLOOKUP(globalfreelancepreprocesseddata!A269,worksheet!A:P,6,FALSE)</f>
        <v>22</v>
      </c>
      <c r="E269" s="5" t="str">
        <f>VLOOKUP(globalfreelancepreprocesseddata!A269,worksheet!A:P,7,FALSE)</f>
        <v>Argentina</v>
      </c>
      <c r="F269" s="5" t="str">
        <f>VLOOKUP(globalfreelancepreprocesseddata!A269,worksheet!A:P,8,FALSE)</f>
        <v>Spanish</v>
      </c>
      <c r="G269" s="5" t="str">
        <f>VLOOKUP(globalfreelancepreprocesseddata!A269,worksheet!A:P,9,FALSE)</f>
        <v>AI</v>
      </c>
      <c r="H269" s="5">
        <f>VLOOKUP(globalfreelancepreprocesseddata!A269,worksheet!A:P,10,FALSE)</f>
        <v>2</v>
      </c>
      <c r="I269" s="6">
        <f>VLOOKUP(globalfreelancepreprocesseddata!A269,worksheet!A:P,12,FALSE)</f>
        <v>30</v>
      </c>
      <c r="J269" s="5">
        <f>VLOOKUP(globalfreelancepreprocesseddata!A269,worksheet!A:P,13,FALSE)</f>
        <v>2.1</v>
      </c>
      <c r="K269" s="5">
        <f>VLOOKUP(globalfreelancepreprocesseddata!A269,worksheet!A:P,14,FALSE)</f>
        <v>1</v>
      </c>
      <c r="L269" s="7">
        <f>VLOOKUP(globalfreelancepreprocesseddata!A269,worksheet!A:P,16,FALSE)</f>
        <v>0.16</v>
      </c>
    </row>
    <row r="270" spans="1:12" x14ac:dyDescent="0.35">
      <c r="A270" s="5" t="s">
        <v>614</v>
      </c>
      <c r="B270" s="5" t="str">
        <f>VLOOKUP(globalfreelancepreprocesseddata!A270,worksheet!A:P,3,FALSE)</f>
        <v>Barbara Keith</v>
      </c>
      <c r="C270" s="5" t="str">
        <f>VLOOKUP(globalfreelancepreprocesseddata!A270,worksheet!A:P,5,FALSE)</f>
        <v>Female</v>
      </c>
      <c r="D270" s="5">
        <f>VLOOKUP(globalfreelancepreprocesseddata!A270,worksheet!A:P,6,FALSE)</f>
        <v>39</v>
      </c>
      <c r="E270" s="5" t="str">
        <f>VLOOKUP(globalfreelancepreprocesseddata!A270,worksheet!A:P,7,FALSE)</f>
        <v>Japan</v>
      </c>
      <c r="F270" s="5" t="str">
        <f>VLOOKUP(globalfreelancepreprocesseddata!A270,worksheet!A:P,8,FALSE)</f>
        <v>Japanese</v>
      </c>
      <c r="G270" s="5" t="str">
        <f>VLOOKUP(globalfreelancepreprocesseddata!A270,worksheet!A:P,9,FALSE)</f>
        <v>Web Development</v>
      </c>
      <c r="H270" s="5">
        <f>VLOOKUP(globalfreelancepreprocesseddata!A270,worksheet!A:P,10,FALSE)</f>
        <v>21</v>
      </c>
      <c r="I270" s="6">
        <f>VLOOKUP(globalfreelancepreprocesseddata!A270,worksheet!A:P,12,FALSE)</f>
        <v>100</v>
      </c>
      <c r="J270" s="5">
        <f>VLOOKUP(globalfreelancepreprocesseddata!A270,worksheet!A:P,13,FALSE)</f>
        <v>0</v>
      </c>
      <c r="K270" s="5">
        <f>VLOOKUP(globalfreelancepreprocesseddata!A270,worksheet!A:P,14,FALSE)</f>
        <v>1</v>
      </c>
      <c r="L270" s="7">
        <f>VLOOKUP(globalfreelancepreprocesseddata!A270,worksheet!A:P,16,FALSE)</f>
        <v>0.91</v>
      </c>
    </row>
    <row r="271" spans="1:12" x14ac:dyDescent="0.35">
      <c r="A271" s="5" t="s">
        <v>616</v>
      </c>
      <c r="B271" s="5" t="str">
        <f>VLOOKUP(globalfreelancepreprocesseddata!A271,worksheet!A:P,3,FALSE)</f>
        <v>Heather Camacho</v>
      </c>
      <c r="C271" s="5" t="str">
        <f>VLOOKUP(globalfreelancepreprocesseddata!A271,worksheet!A:P,5,FALSE)</f>
        <v>Female</v>
      </c>
      <c r="D271" s="5">
        <f>VLOOKUP(globalfreelancepreprocesseddata!A271,worksheet!A:P,6,FALSE)</f>
        <v>25</v>
      </c>
      <c r="E271" s="5" t="str">
        <f>VLOOKUP(globalfreelancepreprocesseddata!A271,worksheet!A:P,7,FALSE)</f>
        <v>Japan</v>
      </c>
      <c r="F271" s="5" t="str">
        <f>VLOOKUP(globalfreelancepreprocesseddata!A271,worksheet!A:P,8,FALSE)</f>
        <v>Japanese</v>
      </c>
      <c r="G271" s="5" t="str">
        <f>VLOOKUP(globalfreelancepreprocesseddata!A271,worksheet!A:P,9,FALSE)</f>
        <v>Machine Learning</v>
      </c>
      <c r="H271" s="5">
        <f>VLOOKUP(globalfreelancepreprocesseddata!A271,worksheet!A:P,10,FALSE)</f>
        <v>3</v>
      </c>
      <c r="I271" s="6">
        <f>VLOOKUP(globalfreelancepreprocesseddata!A271,worksheet!A:P,12,FALSE)</f>
        <v>50</v>
      </c>
      <c r="J271" s="5">
        <f>VLOOKUP(globalfreelancepreprocesseddata!A271,worksheet!A:P,13,FALSE)</f>
        <v>2.8</v>
      </c>
      <c r="K271" s="5">
        <f>VLOOKUP(globalfreelancepreprocesseddata!A271,worksheet!A:P,14,FALSE)</f>
        <v>1</v>
      </c>
      <c r="L271" s="7">
        <f>VLOOKUP(globalfreelancepreprocesseddata!A271,worksheet!A:P,16,FALSE)</f>
        <v>0.86</v>
      </c>
    </row>
    <row r="272" spans="1:12" x14ac:dyDescent="0.35">
      <c r="A272" s="5" t="s">
        <v>618</v>
      </c>
      <c r="B272" s="5" t="str">
        <f>VLOOKUP(globalfreelancepreprocesseddata!A272,worksheet!A:P,3,FALSE)</f>
        <v>Melanie Harris</v>
      </c>
      <c r="C272" s="5" t="str">
        <f>VLOOKUP(globalfreelancepreprocesseddata!A272,worksheet!A:P,5,FALSE)</f>
        <v>Female</v>
      </c>
      <c r="D272" s="5">
        <f>VLOOKUP(globalfreelancepreprocesseddata!A272,worksheet!A:P,6,FALSE)</f>
        <v>47</v>
      </c>
      <c r="E272" s="5" t="str">
        <f>VLOOKUP(globalfreelancepreprocesseddata!A272,worksheet!A:P,7,FALSE)</f>
        <v>South Africa</v>
      </c>
      <c r="F272" s="5" t="str">
        <f>VLOOKUP(globalfreelancepreprocesseddata!A272,worksheet!A:P,8,FALSE)</f>
        <v>Afrikaans</v>
      </c>
      <c r="G272" s="5" t="str">
        <f>VLOOKUP(globalfreelancepreprocesseddata!A272,worksheet!A:P,9,FALSE)</f>
        <v>Mobile Apps</v>
      </c>
      <c r="H272" s="5">
        <f>VLOOKUP(globalfreelancepreprocesseddata!A272,worksheet!A:P,10,FALSE)</f>
        <v>14</v>
      </c>
      <c r="I272" s="6">
        <f>VLOOKUP(globalfreelancepreprocesseddata!A272,worksheet!A:P,12,FALSE)</f>
        <v>40</v>
      </c>
      <c r="J272" s="5">
        <f>VLOOKUP(globalfreelancepreprocesseddata!A272,worksheet!A:P,13,FALSE)</f>
        <v>3</v>
      </c>
      <c r="K272" s="5">
        <f>VLOOKUP(globalfreelancepreprocesseddata!A272,worksheet!A:P,14,FALSE)</f>
        <v>0</v>
      </c>
      <c r="L272" s="7">
        <f>VLOOKUP(globalfreelancepreprocesseddata!A272,worksheet!A:P,16,FALSE)</f>
        <v>0.69</v>
      </c>
    </row>
    <row r="273" spans="1:12" x14ac:dyDescent="0.35">
      <c r="A273" s="5" t="s">
        <v>620</v>
      </c>
      <c r="B273" s="5" t="str">
        <f>VLOOKUP(globalfreelancepreprocesseddata!A273,worksheet!A:P,3,FALSE)</f>
        <v>Jacqueline Peterson</v>
      </c>
      <c r="C273" s="5" t="str">
        <f>VLOOKUP(globalfreelancepreprocesseddata!A273,worksheet!A:P,5,FALSE)</f>
        <v>Female</v>
      </c>
      <c r="D273" s="5">
        <f>VLOOKUP(globalfreelancepreprocesseddata!A273,worksheet!A:P,6,FALSE)</f>
        <v>35</v>
      </c>
      <c r="E273" s="5" t="str">
        <f>VLOOKUP(globalfreelancepreprocesseddata!A273,worksheet!A:P,7,FALSE)</f>
        <v>South Africa</v>
      </c>
      <c r="F273" s="5" t="str">
        <f>VLOOKUP(globalfreelancepreprocesseddata!A273,worksheet!A:P,8,FALSE)</f>
        <v>Afrikaans</v>
      </c>
      <c r="G273" s="5" t="str">
        <f>VLOOKUP(globalfreelancepreprocesseddata!A273,worksheet!A:P,9,FALSE)</f>
        <v>UI/UX Design</v>
      </c>
      <c r="H273" s="5">
        <f>VLOOKUP(globalfreelancepreprocesseddata!A273,worksheet!A:P,10,FALSE)</f>
        <v>10</v>
      </c>
      <c r="I273" s="6" t="str">
        <f>VLOOKUP(globalfreelancepreprocesseddata!A273,worksheet!A:P,12,FALSE)</f>
        <v>$ 100</v>
      </c>
      <c r="J273" s="5">
        <f>VLOOKUP(globalfreelancepreprocesseddata!A273,worksheet!A:P,13,FALSE)</f>
        <v>4.7</v>
      </c>
      <c r="K273" s="5">
        <f>VLOOKUP(globalfreelancepreprocesseddata!A273,worksheet!A:P,14,FALSE)</f>
        <v>1</v>
      </c>
      <c r="L273" s="7">
        <f>VLOOKUP(globalfreelancepreprocesseddata!A273,worksheet!A:P,16,FALSE)</f>
        <v>0.84</v>
      </c>
    </row>
    <row r="274" spans="1:12" x14ac:dyDescent="0.35">
      <c r="A274" s="5" t="s">
        <v>622</v>
      </c>
      <c r="B274" s="5" t="str">
        <f>VLOOKUP(globalfreelancepreprocesseddata!A274,worksheet!A:P,3,FALSE)</f>
        <v>Nancy Long</v>
      </c>
      <c r="C274" s="5" t="str">
        <f>VLOOKUP(globalfreelancepreprocesseddata!A274,worksheet!A:P,5,FALSE)</f>
        <v>Female</v>
      </c>
      <c r="D274" s="5">
        <f>VLOOKUP(globalfreelancepreprocesseddata!A274,worksheet!A:P,6,FALSE)</f>
        <v>41</v>
      </c>
      <c r="E274" s="5" t="str">
        <f>VLOOKUP(globalfreelancepreprocesseddata!A274,worksheet!A:P,7,FALSE)</f>
        <v>United Kingdom</v>
      </c>
      <c r="F274" s="5" t="str">
        <f>VLOOKUP(globalfreelancepreprocesseddata!A274,worksheet!A:P,8,FALSE)</f>
        <v>English</v>
      </c>
      <c r="G274" s="5" t="str">
        <f>VLOOKUP(globalfreelancepreprocesseddata!A274,worksheet!A:P,9,FALSE)</f>
        <v>Cybersecurity</v>
      </c>
      <c r="H274" s="5">
        <f>VLOOKUP(globalfreelancepreprocesseddata!A274,worksheet!A:P,10,FALSE)</f>
        <v>5</v>
      </c>
      <c r="I274" s="6">
        <f>VLOOKUP(globalfreelancepreprocesseddata!A274,worksheet!A:P,12,FALSE)</f>
        <v>100</v>
      </c>
      <c r="J274" s="5">
        <f>VLOOKUP(globalfreelancepreprocesseddata!A274,worksheet!A:P,13,FALSE)</f>
        <v>1.3</v>
      </c>
      <c r="K274" s="5">
        <f>VLOOKUP(globalfreelancepreprocesseddata!A274,worksheet!A:P,14,FALSE)</f>
        <v>0</v>
      </c>
      <c r="L274" s="7">
        <f>VLOOKUP(globalfreelancepreprocesseddata!A274,worksheet!A:P,16,FALSE)</f>
        <v>0.6</v>
      </c>
    </row>
    <row r="275" spans="1:12" x14ac:dyDescent="0.35">
      <c r="A275" s="5" t="s">
        <v>624</v>
      </c>
      <c r="B275" s="5" t="str">
        <f>VLOOKUP(globalfreelancepreprocesseddata!A275,worksheet!A:P,3,FALSE)</f>
        <v>Mr. Juan Mitchell</v>
      </c>
      <c r="C275" s="5" t="str">
        <f>VLOOKUP(globalfreelancepreprocesseddata!A275,worksheet!A:P,5,FALSE)</f>
        <v>Male</v>
      </c>
      <c r="D275" s="5">
        <f>VLOOKUP(globalfreelancepreprocesseddata!A275,worksheet!A:P,6,FALSE)</f>
        <v>35</v>
      </c>
      <c r="E275" s="5" t="str">
        <f>VLOOKUP(globalfreelancepreprocesseddata!A275,worksheet!A:P,7,FALSE)</f>
        <v>Netherlands</v>
      </c>
      <c r="F275" s="5" t="str">
        <f>VLOOKUP(globalfreelancepreprocesseddata!A275,worksheet!A:P,8,FALSE)</f>
        <v>Dutch</v>
      </c>
      <c r="G275" s="5" t="str">
        <f>VLOOKUP(globalfreelancepreprocesseddata!A275,worksheet!A:P,9,FALSE)</f>
        <v>Blockchain Development</v>
      </c>
      <c r="H275" s="5">
        <f>VLOOKUP(globalfreelancepreprocesseddata!A275,worksheet!A:P,10,FALSE)</f>
        <v>6</v>
      </c>
      <c r="I275" s="6" t="str">
        <f>VLOOKUP(globalfreelancepreprocesseddata!A275,worksheet!A:P,12,FALSE)</f>
        <v>$ 75</v>
      </c>
      <c r="J275" s="5">
        <f>VLOOKUP(globalfreelancepreprocesseddata!A275,worksheet!A:P,13,FALSE)</f>
        <v>1.6</v>
      </c>
      <c r="K275" s="5">
        <f>VLOOKUP(globalfreelancepreprocesseddata!A275,worksheet!A:P,14,FALSE)</f>
        <v>1</v>
      </c>
      <c r="L275" s="7">
        <f>VLOOKUP(globalfreelancepreprocesseddata!A275,worksheet!A:P,16,FALSE)</f>
        <v>0.97</v>
      </c>
    </row>
    <row r="276" spans="1:12" x14ac:dyDescent="0.35">
      <c r="A276" s="5" t="s">
        <v>626</v>
      </c>
      <c r="B276" s="5" t="str">
        <f>VLOOKUP(globalfreelancepreprocesseddata!A276,worksheet!A:P,3,FALSE)</f>
        <v>William Gaines</v>
      </c>
      <c r="C276" s="5" t="str">
        <f>VLOOKUP(globalfreelancepreprocesseddata!A276,worksheet!A:P,5,FALSE)</f>
        <v>Male</v>
      </c>
      <c r="D276" s="5">
        <f>VLOOKUP(globalfreelancepreprocesseddata!A276,worksheet!A:P,6,FALSE)</f>
        <v>59</v>
      </c>
      <c r="E276" s="5" t="str">
        <f>VLOOKUP(globalfreelancepreprocesseddata!A276,worksheet!A:P,7,FALSE)</f>
        <v>France</v>
      </c>
      <c r="F276" s="5" t="str">
        <f>VLOOKUP(globalfreelancepreprocesseddata!A276,worksheet!A:P,8,FALSE)</f>
        <v>French</v>
      </c>
      <c r="G276" s="5" t="str">
        <f>VLOOKUP(globalfreelancepreprocesseddata!A276,worksheet!A:P,9,FALSE)</f>
        <v>Web Development</v>
      </c>
      <c r="H276" s="5">
        <f>VLOOKUP(globalfreelancepreprocesseddata!A276,worksheet!A:P,10,FALSE)</f>
        <v>21</v>
      </c>
      <c r="I276" s="6">
        <f>VLOOKUP(globalfreelancepreprocesseddata!A276,worksheet!A:P,12,FALSE)</f>
        <v>100</v>
      </c>
      <c r="J276" s="5">
        <f>VLOOKUP(globalfreelancepreprocesseddata!A276,worksheet!A:P,13,FALSE)</f>
        <v>0</v>
      </c>
      <c r="K276" s="5">
        <f>VLOOKUP(globalfreelancepreprocesseddata!A276,worksheet!A:P,14,FALSE)</f>
        <v>1</v>
      </c>
      <c r="L276" s="7">
        <f>VLOOKUP(globalfreelancepreprocesseddata!A276,worksheet!A:P,16,FALSE)</f>
        <v>0.7</v>
      </c>
    </row>
    <row r="277" spans="1:12" x14ac:dyDescent="0.35">
      <c r="A277" s="5" t="s">
        <v>628</v>
      </c>
      <c r="B277" s="5" t="str">
        <f>VLOOKUP(globalfreelancepreprocesseddata!A277,worksheet!A:P,3,FALSE)</f>
        <v>Haley Yates</v>
      </c>
      <c r="C277" s="5" t="str">
        <f>VLOOKUP(globalfreelancepreprocesseddata!A277,worksheet!A:P,5,FALSE)</f>
        <v>Female</v>
      </c>
      <c r="D277" s="5">
        <f>VLOOKUP(globalfreelancepreprocesseddata!A277,worksheet!A:P,6,FALSE)</f>
        <v>26</v>
      </c>
      <c r="E277" s="5" t="str">
        <f>VLOOKUP(globalfreelancepreprocesseddata!A277,worksheet!A:P,7,FALSE)</f>
        <v>China</v>
      </c>
      <c r="F277" s="5" t="str">
        <f>VLOOKUP(globalfreelancepreprocesseddata!A277,worksheet!A:P,8,FALSE)</f>
        <v>Mandarin</v>
      </c>
      <c r="G277" s="5" t="str">
        <f>VLOOKUP(globalfreelancepreprocesseddata!A277,worksheet!A:P,9,FALSE)</f>
        <v>UI/UX Design</v>
      </c>
      <c r="H277" s="5">
        <f>VLOOKUP(globalfreelancepreprocesseddata!A277,worksheet!A:P,10,FALSE)</f>
        <v>4</v>
      </c>
      <c r="I277" s="6" t="str">
        <f>VLOOKUP(globalfreelancepreprocesseddata!A277,worksheet!A:P,12,FALSE)</f>
        <v>$ 100</v>
      </c>
      <c r="J277" s="5">
        <f>VLOOKUP(globalfreelancepreprocesseddata!A277,worksheet!A:P,13,FALSE)</f>
        <v>3.6</v>
      </c>
      <c r="K277" s="5">
        <f>VLOOKUP(globalfreelancepreprocesseddata!A277,worksheet!A:P,14,FALSE)</f>
        <v>1</v>
      </c>
      <c r="L277" s="7">
        <f>VLOOKUP(globalfreelancepreprocesseddata!A277,worksheet!A:P,16,FALSE)</f>
        <v>0.81</v>
      </c>
    </row>
    <row r="278" spans="1:12" x14ac:dyDescent="0.35">
      <c r="A278" s="5" t="s">
        <v>630</v>
      </c>
      <c r="B278" s="5" t="str">
        <f>VLOOKUP(globalfreelancepreprocesseddata!A278,worksheet!A:P,3,FALSE)</f>
        <v>Richard Mcguire</v>
      </c>
      <c r="C278" s="5" t="str">
        <f>VLOOKUP(globalfreelancepreprocesseddata!A278,worksheet!A:P,5,FALSE)</f>
        <v>Male</v>
      </c>
      <c r="D278" s="5">
        <f>VLOOKUP(globalfreelancepreprocesseddata!A278,worksheet!A:P,6,FALSE)</f>
        <v>44</v>
      </c>
      <c r="E278" s="5" t="str">
        <f>VLOOKUP(globalfreelancepreprocesseddata!A278,worksheet!A:P,7,FALSE)</f>
        <v>Russia</v>
      </c>
      <c r="F278" s="5" t="str">
        <f>VLOOKUP(globalfreelancepreprocesseddata!A278,worksheet!A:P,8,FALSE)</f>
        <v>Russian</v>
      </c>
      <c r="G278" s="5" t="str">
        <f>VLOOKUP(globalfreelancepreprocesseddata!A278,worksheet!A:P,9,FALSE)</f>
        <v>Machine Learning</v>
      </c>
      <c r="H278" s="5">
        <f>VLOOKUP(globalfreelancepreprocesseddata!A278,worksheet!A:P,10,FALSE)</f>
        <v>18</v>
      </c>
      <c r="I278" s="6">
        <f>VLOOKUP(globalfreelancepreprocesseddata!A278,worksheet!A:P,12,FALSE)</f>
        <v>20</v>
      </c>
      <c r="J278" s="5">
        <f>VLOOKUP(globalfreelancepreprocesseddata!A278,worksheet!A:P,13,FALSE)</f>
        <v>4.7</v>
      </c>
      <c r="K278" s="5">
        <f>VLOOKUP(globalfreelancepreprocesseddata!A278,worksheet!A:P,14,FALSE)</f>
        <v>1</v>
      </c>
      <c r="L278" s="7">
        <f>VLOOKUP(globalfreelancepreprocesseddata!A278,worksheet!A:P,16,FALSE)</f>
        <v>0.88</v>
      </c>
    </row>
    <row r="279" spans="1:12" x14ac:dyDescent="0.35">
      <c r="A279" s="5" t="s">
        <v>632</v>
      </c>
      <c r="B279" s="5" t="str">
        <f>VLOOKUP(globalfreelancepreprocesseddata!A279,worksheet!A:P,3,FALSE)</f>
        <v>Stephanie Fisher</v>
      </c>
      <c r="C279" s="5" t="str">
        <f>VLOOKUP(globalfreelancepreprocesseddata!A279,worksheet!A:P,5,FALSE)</f>
        <v>Female</v>
      </c>
      <c r="D279" s="5">
        <f>VLOOKUP(globalfreelancepreprocesseddata!A279,worksheet!A:P,6,FALSE)</f>
        <v>31</v>
      </c>
      <c r="E279" s="5" t="str">
        <f>VLOOKUP(globalfreelancepreprocesseddata!A279,worksheet!A:P,7,FALSE)</f>
        <v>South Africa</v>
      </c>
      <c r="F279" s="5" t="str">
        <f>VLOOKUP(globalfreelancepreprocesseddata!A279,worksheet!A:P,8,FALSE)</f>
        <v>Afrikaans</v>
      </c>
      <c r="G279" s="5" t="str">
        <f>VLOOKUP(globalfreelancepreprocesseddata!A279,worksheet!A:P,9,FALSE)</f>
        <v>UI/UX Design</v>
      </c>
      <c r="H279" s="5">
        <f>VLOOKUP(globalfreelancepreprocesseddata!A279,worksheet!A:P,10,FALSE)</f>
        <v>12</v>
      </c>
      <c r="I279" s="6">
        <f>VLOOKUP(globalfreelancepreprocesseddata!A279,worksheet!A:P,12,FALSE)</f>
        <v>40</v>
      </c>
      <c r="J279" s="5">
        <f>VLOOKUP(globalfreelancepreprocesseddata!A279,worksheet!A:P,13,FALSE)</f>
        <v>3</v>
      </c>
      <c r="K279" s="5">
        <f>VLOOKUP(globalfreelancepreprocesseddata!A279,worksheet!A:P,14,FALSE)</f>
        <v>1</v>
      </c>
      <c r="L279" s="7">
        <f>VLOOKUP(globalfreelancepreprocesseddata!A279,worksheet!A:P,16,FALSE)</f>
        <v>0.01</v>
      </c>
    </row>
    <row r="280" spans="1:12" x14ac:dyDescent="0.35">
      <c r="A280" s="5" t="s">
        <v>634</v>
      </c>
      <c r="B280" s="5" t="str">
        <f>VLOOKUP(globalfreelancepreprocesseddata!A280,worksheet!A:P,3,FALSE)</f>
        <v>Anthony Goodwin Dds</v>
      </c>
      <c r="C280" s="5" t="str">
        <f>VLOOKUP(globalfreelancepreprocesseddata!A280,worksheet!A:P,5,FALSE)</f>
        <v>Male</v>
      </c>
      <c r="D280" s="5">
        <f>VLOOKUP(globalfreelancepreprocesseddata!A280,worksheet!A:P,6,FALSE)</f>
        <v>60</v>
      </c>
      <c r="E280" s="5" t="str">
        <f>VLOOKUP(globalfreelancepreprocesseddata!A280,worksheet!A:P,7,FALSE)</f>
        <v>Turkey</v>
      </c>
      <c r="F280" s="5" t="str">
        <f>VLOOKUP(globalfreelancepreprocesseddata!A280,worksheet!A:P,8,FALSE)</f>
        <v>Turkish</v>
      </c>
      <c r="G280" s="5" t="str">
        <f>VLOOKUP(globalfreelancepreprocesseddata!A280,worksheet!A:P,9,FALSE)</f>
        <v>Data Analysis</v>
      </c>
      <c r="H280" s="5">
        <f>VLOOKUP(globalfreelancepreprocesseddata!A280,worksheet!A:P,10,FALSE)</f>
        <v>6</v>
      </c>
      <c r="I280" s="6">
        <f>VLOOKUP(globalfreelancepreprocesseddata!A280,worksheet!A:P,12,FALSE)</f>
        <v>40</v>
      </c>
      <c r="J280" s="5">
        <f>VLOOKUP(globalfreelancepreprocesseddata!A280,worksheet!A:P,13,FALSE)</f>
        <v>3.2</v>
      </c>
      <c r="K280" s="5">
        <f>VLOOKUP(globalfreelancepreprocesseddata!A280,worksheet!A:P,14,FALSE)</f>
        <v>0</v>
      </c>
      <c r="L280" s="7">
        <f>VLOOKUP(globalfreelancepreprocesseddata!A280,worksheet!A:P,16,FALSE)</f>
        <v>0.95</v>
      </c>
    </row>
    <row r="281" spans="1:12" x14ac:dyDescent="0.35">
      <c r="A281" s="5" t="s">
        <v>636</v>
      </c>
      <c r="B281" s="5" t="str">
        <f>VLOOKUP(globalfreelancepreprocesseddata!A281,worksheet!A:P,3,FALSE)</f>
        <v>Meagan Walters</v>
      </c>
      <c r="C281" s="5" t="str">
        <f>VLOOKUP(globalfreelancepreprocesseddata!A281,worksheet!A:P,5,FALSE)</f>
        <v>Female</v>
      </c>
      <c r="D281" s="5">
        <f>VLOOKUP(globalfreelancepreprocesseddata!A281,worksheet!A:P,6,FALSE)</f>
        <v>23</v>
      </c>
      <c r="E281" s="5" t="str">
        <f>VLOOKUP(globalfreelancepreprocesseddata!A281,worksheet!A:P,7,FALSE)</f>
        <v>United Kingdom</v>
      </c>
      <c r="F281" s="5" t="str">
        <f>VLOOKUP(globalfreelancepreprocesseddata!A281,worksheet!A:P,8,FALSE)</f>
        <v>English</v>
      </c>
      <c r="G281" s="5" t="str">
        <f>VLOOKUP(globalfreelancepreprocesseddata!A281,worksheet!A:P,9,FALSE)</f>
        <v>Blockchain Development</v>
      </c>
      <c r="H281" s="5">
        <f>VLOOKUP(globalfreelancepreprocesseddata!A281,worksheet!A:P,10,FALSE)</f>
        <v>4</v>
      </c>
      <c r="I281" s="6" t="str">
        <f>VLOOKUP(globalfreelancepreprocesseddata!A281,worksheet!A:P,12,FALSE)</f>
        <v>$ 20</v>
      </c>
      <c r="J281" s="5">
        <f>VLOOKUP(globalfreelancepreprocesseddata!A281,worksheet!A:P,13,FALSE)</f>
        <v>3</v>
      </c>
      <c r="K281" s="5">
        <f>VLOOKUP(globalfreelancepreprocesseddata!A281,worksheet!A:P,14,FALSE)</f>
        <v>0</v>
      </c>
      <c r="L281" s="7">
        <f>VLOOKUP(globalfreelancepreprocesseddata!A281,worksheet!A:P,16,FALSE)</f>
        <v>0.71</v>
      </c>
    </row>
    <row r="282" spans="1:12" x14ac:dyDescent="0.35">
      <c r="A282" s="5" t="s">
        <v>638</v>
      </c>
      <c r="B282" s="5" t="str">
        <f>VLOOKUP(globalfreelancepreprocesseddata!A282,worksheet!A:P,3,FALSE)</f>
        <v>David Powell</v>
      </c>
      <c r="C282" s="5" t="str">
        <f>VLOOKUP(globalfreelancepreprocesseddata!A282,worksheet!A:P,5,FALSE)</f>
        <v>Male</v>
      </c>
      <c r="D282" s="5">
        <f>VLOOKUP(globalfreelancepreprocesseddata!A282,worksheet!A:P,6,FALSE)</f>
        <v>42</v>
      </c>
      <c r="E282" s="5" t="str">
        <f>VLOOKUP(globalfreelancepreprocesseddata!A282,worksheet!A:P,7,FALSE)</f>
        <v>Indonesia</v>
      </c>
      <c r="F282" s="5" t="str">
        <f>VLOOKUP(globalfreelancepreprocesseddata!A282,worksheet!A:P,8,FALSE)</f>
        <v>Indonesian</v>
      </c>
      <c r="G282" s="5" t="str">
        <f>VLOOKUP(globalfreelancepreprocesseddata!A282,worksheet!A:P,9,FALSE)</f>
        <v>UI/UX Design</v>
      </c>
      <c r="H282" s="5">
        <f>VLOOKUP(globalfreelancepreprocesseddata!A282,worksheet!A:P,10,FALSE)</f>
        <v>13</v>
      </c>
      <c r="I282" s="6">
        <f>VLOOKUP(globalfreelancepreprocesseddata!A282,worksheet!A:P,12,FALSE)</f>
        <v>20</v>
      </c>
      <c r="J282" s="5">
        <f>VLOOKUP(globalfreelancepreprocesseddata!A282,worksheet!A:P,13,FALSE)</f>
        <v>4.7</v>
      </c>
      <c r="K282" s="5">
        <f>VLOOKUP(globalfreelancepreprocesseddata!A282,worksheet!A:P,14,FALSE)</f>
        <v>0</v>
      </c>
      <c r="L282" s="7">
        <f>VLOOKUP(globalfreelancepreprocesseddata!A282,worksheet!A:P,16,FALSE)</f>
        <v>0.85</v>
      </c>
    </row>
    <row r="283" spans="1:12" x14ac:dyDescent="0.35">
      <c r="A283" s="5" t="s">
        <v>640</v>
      </c>
      <c r="B283" s="5" t="str">
        <f>VLOOKUP(globalfreelancepreprocesseddata!A283,worksheet!A:P,3,FALSE)</f>
        <v>Kelly Jones</v>
      </c>
      <c r="C283" s="5" t="str">
        <f>VLOOKUP(globalfreelancepreprocesseddata!A283,worksheet!A:P,5,FALSE)</f>
        <v>Female</v>
      </c>
      <c r="D283" s="5">
        <f>VLOOKUP(globalfreelancepreprocesseddata!A283,worksheet!A:P,6,FALSE)</f>
        <v>48</v>
      </c>
      <c r="E283" s="5" t="str">
        <f>VLOOKUP(globalfreelancepreprocesseddata!A283,worksheet!A:P,7,FALSE)</f>
        <v>India</v>
      </c>
      <c r="F283" s="5" t="str">
        <f>VLOOKUP(globalfreelancepreprocesseddata!A283,worksheet!A:P,8,FALSE)</f>
        <v>Hindi</v>
      </c>
      <c r="G283" s="5" t="str">
        <f>VLOOKUP(globalfreelancepreprocesseddata!A283,worksheet!A:P,9,FALSE)</f>
        <v>Mobile Apps</v>
      </c>
      <c r="H283" s="5">
        <f>VLOOKUP(globalfreelancepreprocesseddata!A283,worksheet!A:P,10,FALSE)</f>
        <v>6</v>
      </c>
      <c r="I283" s="6">
        <f>VLOOKUP(globalfreelancepreprocesseddata!A283,worksheet!A:P,12,FALSE)</f>
        <v>30</v>
      </c>
      <c r="J283" s="5">
        <f>VLOOKUP(globalfreelancepreprocesseddata!A283,worksheet!A:P,13,FALSE)</f>
        <v>3</v>
      </c>
      <c r="K283" s="5">
        <f>VLOOKUP(globalfreelancepreprocesseddata!A283,worksheet!A:P,14,FALSE)</f>
        <v>0</v>
      </c>
      <c r="L283" s="7">
        <f>VLOOKUP(globalfreelancepreprocesseddata!A283,worksheet!A:P,16,FALSE)</f>
        <v>0.96</v>
      </c>
    </row>
    <row r="284" spans="1:12" x14ac:dyDescent="0.35">
      <c r="A284" s="5" t="s">
        <v>642</v>
      </c>
      <c r="B284" s="5" t="str">
        <f>VLOOKUP(globalfreelancepreprocesseddata!A284,worksheet!A:P,3,FALSE)</f>
        <v>Dr. Michael Aguilar</v>
      </c>
      <c r="C284" s="5" t="str">
        <f>VLOOKUP(globalfreelancepreprocesseddata!A284,worksheet!A:P,5,FALSE)</f>
        <v>Male</v>
      </c>
      <c r="D284" s="5">
        <f>VLOOKUP(globalfreelancepreprocesseddata!A284,worksheet!A:P,6,FALSE)</f>
        <v>42</v>
      </c>
      <c r="E284" s="5" t="str">
        <f>VLOOKUP(globalfreelancepreprocesseddata!A284,worksheet!A:P,7,FALSE)</f>
        <v>Netherlands</v>
      </c>
      <c r="F284" s="5" t="str">
        <f>VLOOKUP(globalfreelancepreprocesseddata!A284,worksheet!A:P,8,FALSE)</f>
        <v>Dutch</v>
      </c>
      <c r="G284" s="5" t="str">
        <f>VLOOKUP(globalfreelancepreprocesseddata!A284,worksheet!A:P,9,FALSE)</f>
        <v>Graphic Design</v>
      </c>
      <c r="H284" s="5">
        <f>VLOOKUP(globalfreelancepreprocesseddata!A284,worksheet!A:P,10,FALSE)</f>
        <v>10</v>
      </c>
      <c r="I284" s="6" t="str">
        <f>VLOOKUP(globalfreelancepreprocesseddata!A284,worksheet!A:P,12,FALSE)</f>
        <v>$ 20</v>
      </c>
      <c r="J284" s="5">
        <f>VLOOKUP(globalfreelancepreprocesseddata!A284,worksheet!A:P,13,FALSE)</f>
        <v>2.4</v>
      </c>
      <c r="K284" s="5">
        <f>VLOOKUP(globalfreelancepreprocesseddata!A284,worksheet!A:P,14,FALSE)</f>
        <v>1</v>
      </c>
      <c r="L284" s="7">
        <f>VLOOKUP(globalfreelancepreprocesseddata!A284,worksheet!A:P,16,FALSE)</f>
        <v>0.92</v>
      </c>
    </row>
    <row r="285" spans="1:12" x14ac:dyDescent="0.35">
      <c r="A285" s="5" t="s">
        <v>644</v>
      </c>
      <c r="B285" s="5" t="str">
        <f>VLOOKUP(globalfreelancepreprocesseddata!A285,worksheet!A:P,3,FALSE)</f>
        <v>Alex Novak</v>
      </c>
      <c r="C285" s="5" t="str">
        <f>VLOOKUP(globalfreelancepreprocesseddata!A285,worksheet!A:P,5,FALSE)</f>
        <v>Male</v>
      </c>
      <c r="D285" s="5">
        <f>VLOOKUP(globalfreelancepreprocesseddata!A285,worksheet!A:P,6,FALSE)</f>
        <v>52</v>
      </c>
      <c r="E285" s="5" t="str">
        <f>VLOOKUP(globalfreelancepreprocesseddata!A285,worksheet!A:P,7,FALSE)</f>
        <v>South Korea</v>
      </c>
      <c r="F285" s="5" t="str">
        <f>VLOOKUP(globalfreelancepreprocesseddata!A285,worksheet!A:P,8,FALSE)</f>
        <v>Korean</v>
      </c>
      <c r="G285" s="5" t="str">
        <f>VLOOKUP(globalfreelancepreprocesseddata!A285,worksheet!A:P,9,FALSE)</f>
        <v>Cybersecurity</v>
      </c>
      <c r="H285" s="5">
        <f>VLOOKUP(globalfreelancepreprocesseddata!A285,worksheet!A:P,10,FALSE)</f>
        <v>20</v>
      </c>
      <c r="I285" s="6">
        <f>VLOOKUP(globalfreelancepreprocesseddata!A285,worksheet!A:P,12,FALSE)</f>
        <v>50</v>
      </c>
      <c r="J285" s="5">
        <f>VLOOKUP(globalfreelancepreprocesseddata!A285,worksheet!A:P,13,FALSE)</f>
        <v>3</v>
      </c>
      <c r="K285" s="5">
        <f>VLOOKUP(globalfreelancepreprocesseddata!A285,worksheet!A:P,14,FALSE)</f>
        <v>0</v>
      </c>
      <c r="L285" s="7">
        <f>VLOOKUP(globalfreelancepreprocesseddata!A285,worksheet!A:P,16,FALSE)</f>
        <v>0.79</v>
      </c>
    </row>
    <row r="286" spans="1:12" x14ac:dyDescent="0.35">
      <c r="A286" s="5" t="s">
        <v>646</v>
      </c>
      <c r="B286" s="5" t="str">
        <f>VLOOKUP(globalfreelancepreprocesseddata!A286,worksheet!A:P,3,FALSE)</f>
        <v>Ann Contreras</v>
      </c>
      <c r="C286" s="5" t="str">
        <f>VLOOKUP(globalfreelancepreprocesseddata!A286,worksheet!A:P,5,FALSE)</f>
        <v>Female</v>
      </c>
      <c r="D286" s="5">
        <f>VLOOKUP(globalfreelancepreprocesseddata!A286,worksheet!A:P,6,FALSE)</f>
        <v>55</v>
      </c>
      <c r="E286" s="5" t="str">
        <f>VLOOKUP(globalfreelancepreprocesseddata!A286,worksheet!A:P,7,FALSE)</f>
        <v>Japan</v>
      </c>
      <c r="F286" s="5" t="str">
        <f>VLOOKUP(globalfreelancepreprocesseddata!A286,worksheet!A:P,8,FALSE)</f>
        <v>Japanese</v>
      </c>
      <c r="G286" s="5" t="str">
        <f>VLOOKUP(globalfreelancepreprocesseddata!A286,worksheet!A:P,9,FALSE)</f>
        <v>Web Development</v>
      </c>
      <c r="H286" s="5">
        <f>VLOOKUP(globalfreelancepreprocesseddata!A286,worksheet!A:P,10,FALSE)</f>
        <v>20</v>
      </c>
      <c r="I286" s="6">
        <f>VLOOKUP(globalfreelancepreprocesseddata!A286,worksheet!A:P,12,FALSE)</f>
        <v>75</v>
      </c>
      <c r="J286" s="5">
        <f>VLOOKUP(globalfreelancepreprocesseddata!A286,worksheet!A:P,13,FALSE)</f>
        <v>2.9</v>
      </c>
      <c r="K286" s="5">
        <f>VLOOKUP(globalfreelancepreprocesseddata!A286,worksheet!A:P,14,FALSE)</f>
        <v>0</v>
      </c>
      <c r="L286" s="7">
        <f>VLOOKUP(globalfreelancepreprocesseddata!A286,worksheet!A:P,16,FALSE)</f>
        <v>0.16</v>
      </c>
    </row>
    <row r="287" spans="1:12" x14ac:dyDescent="0.35">
      <c r="A287" s="5" t="s">
        <v>648</v>
      </c>
      <c r="B287" s="5" t="str">
        <f>VLOOKUP(globalfreelancepreprocesseddata!A287,worksheet!A:P,3,FALSE)</f>
        <v>Mary Reed</v>
      </c>
      <c r="C287" s="5" t="str">
        <f>VLOOKUP(globalfreelancepreprocesseddata!A287,worksheet!A:P,5,FALSE)</f>
        <v>Female</v>
      </c>
      <c r="D287" s="5">
        <f>VLOOKUP(globalfreelancepreprocesseddata!A287,worksheet!A:P,6,FALSE)</f>
        <v>58</v>
      </c>
      <c r="E287" s="5" t="str">
        <f>VLOOKUP(globalfreelancepreprocesseddata!A287,worksheet!A:P,7,FALSE)</f>
        <v>South Africa</v>
      </c>
      <c r="F287" s="5" t="str">
        <f>VLOOKUP(globalfreelancepreprocesseddata!A287,worksheet!A:P,8,FALSE)</f>
        <v>Afrikaans</v>
      </c>
      <c r="G287" s="5" t="str">
        <f>VLOOKUP(globalfreelancepreprocesseddata!A287,worksheet!A:P,9,FALSE)</f>
        <v>Cybersecurity</v>
      </c>
      <c r="H287" s="5">
        <f>VLOOKUP(globalfreelancepreprocesseddata!A287,worksheet!A:P,10,FALSE)</f>
        <v>11</v>
      </c>
      <c r="I287" s="6">
        <f>VLOOKUP(globalfreelancepreprocesseddata!A287,worksheet!A:P,12,FALSE)</f>
        <v>50</v>
      </c>
      <c r="J287" s="5">
        <f>VLOOKUP(globalfreelancepreprocesseddata!A287,worksheet!A:P,13,FALSE)</f>
        <v>0</v>
      </c>
      <c r="K287" s="5">
        <f>VLOOKUP(globalfreelancepreprocesseddata!A287,worksheet!A:P,14,FALSE)</f>
        <v>0</v>
      </c>
      <c r="L287" s="7">
        <f>VLOOKUP(globalfreelancepreprocesseddata!A287,worksheet!A:P,16,FALSE)</f>
        <v>0.16</v>
      </c>
    </row>
    <row r="288" spans="1:12" x14ac:dyDescent="0.35">
      <c r="A288" s="5" t="s">
        <v>650</v>
      </c>
      <c r="B288" s="5" t="str">
        <f>VLOOKUP(globalfreelancepreprocesseddata!A288,worksheet!A:P,3,FALSE)</f>
        <v>Lauren Ross</v>
      </c>
      <c r="C288" s="5" t="str">
        <f>VLOOKUP(globalfreelancepreprocesseddata!A288,worksheet!A:P,5,FALSE)</f>
        <v>Female</v>
      </c>
      <c r="D288" s="5">
        <f>VLOOKUP(globalfreelancepreprocesseddata!A288,worksheet!A:P,6,FALSE)</f>
        <v>46</v>
      </c>
      <c r="E288" s="5" t="str">
        <f>VLOOKUP(globalfreelancepreprocesseddata!A288,worksheet!A:P,7,FALSE)</f>
        <v>South Korea</v>
      </c>
      <c r="F288" s="5" t="str">
        <f>VLOOKUP(globalfreelancepreprocesseddata!A288,worksheet!A:P,8,FALSE)</f>
        <v>Korean</v>
      </c>
      <c r="G288" s="5" t="str">
        <f>VLOOKUP(globalfreelancepreprocesseddata!A288,worksheet!A:P,9,FALSE)</f>
        <v>Machine Learning</v>
      </c>
      <c r="H288" s="5">
        <f>VLOOKUP(globalfreelancepreprocesseddata!A288,worksheet!A:P,10,FALSE)</f>
        <v>12</v>
      </c>
      <c r="I288" s="6">
        <f>VLOOKUP(globalfreelancepreprocesseddata!A288,worksheet!A:P,12,FALSE)</f>
        <v>20</v>
      </c>
      <c r="J288" s="5">
        <f>VLOOKUP(globalfreelancepreprocesseddata!A288,worksheet!A:P,13,FALSE)</f>
        <v>0</v>
      </c>
      <c r="K288" s="5">
        <f>VLOOKUP(globalfreelancepreprocesseddata!A288,worksheet!A:P,14,FALSE)</f>
        <v>0</v>
      </c>
      <c r="L288" s="7">
        <f>VLOOKUP(globalfreelancepreprocesseddata!A288,worksheet!A:P,16,FALSE)</f>
        <v>0.89</v>
      </c>
    </row>
    <row r="289" spans="1:12" x14ac:dyDescent="0.35">
      <c r="A289" s="5" t="s">
        <v>652</v>
      </c>
      <c r="B289" s="5" t="str">
        <f>VLOOKUP(globalfreelancepreprocesseddata!A289,worksheet!A:P,3,FALSE)</f>
        <v>Candice Wise</v>
      </c>
      <c r="C289" s="5" t="str">
        <f>VLOOKUP(globalfreelancepreprocesseddata!A289,worksheet!A:P,5,FALSE)</f>
        <v>Female</v>
      </c>
      <c r="D289" s="5">
        <f>VLOOKUP(globalfreelancepreprocesseddata!A289,worksheet!A:P,6,FALSE)</f>
        <v>45</v>
      </c>
      <c r="E289" s="5" t="str">
        <f>VLOOKUP(globalfreelancepreprocesseddata!A289,worksheet!A:P,7,FALSE)</f>
        <v>Spain</v>
      </c>
      <c r="F289" s="5" t="str">
        <f>VLOOKUP(globalfreelancepreprocesseddata!A289,worksheet!A:P,8,FALSE)</f>
        <v>Spanish</v>
      </c>
      <c r="G289" s="5" t="str">
        <f>VLOOKUP(globalfreelancepreprocesseddata!A289,worksheet!A:P,9,FALSE)</f>
        <v>Machine Learning</v>
      </c>
      <c r="H289" s="5">
        <f>VLOOKUP(globalfreelancepreprocesseddata!A289,worksheet!A:P,10,FALSE)</f>
        <v>1</v>
      </c>
      <c r="I289" s="6">
        <f>VLOOKUP(globalfreelancepreprocesseddata!A289,worksheet!A:P,12,FALSE)</f>
        <v>100</v>
      </c>
      <c r="J289" s="5">
        <f>VLOOKUP(globalfreelancepreprocesseddata!A289,worksheet!A:P,13,FALSE)</f>
        <v>1.5</v>
      </c>
      <c r="K289" s="5">
        <f>VLOOKUP(globalfreelancepreprocesseddata!A289,worksheet!A:P,14,FALSE)</f>
        <v>1</v>
      </c>
      <c r="L289" s="7">
        <f>VLOOKUP(globalfreelancepreprocesseddata!A289,worksheet!A:P,16,FALSE)</f>
        <v>0.01</v>
      </c>
    </row>
    <row r="290" spans="1:12" x14ac:dyDescent="0.35">
      <c r="A290" s="5" t="s">
        <v>654</v>
      </c>
      <c r="B290" s="5" t="str">
        <f>VLOOKUP(globalfreelancepreprocesseddata!A290,worksheet!A:P,3,FALSE)</f>
        <v>Joyce Humphrey</v>
      </c>
      <c r="C290" s="5" t="str">
        <f>VLOOKUP(globalfreelancepreprocesseddata!A290,worksheet!A:P,5,FALSE)</f>
        <v>Female</v>
      </c>
      <c r="D290" s="5">
        <f>VLOOKUP(globalfreelancepreprocesseddata!A290,worksheet!A:P,6,FALSE)</f>
        <v>56</v>
      </c>
      <c r="E290" s="5" t="str">
        <f>VLOOKUP(globalfreelancepreprocesseddata!A290,worksheet!A:P,7,FALSE)</f>
        <v>India</v>
      </c>
      <c r="F290" s="5" t="str">
        <f>VLOOKUP(globalfreelancepreprocesseddata!A290,worksheet!A:P,8,FALSE)</f>
        <v>Hindi</v>
      </c>
      <c r="G290" s="5" t="str">
        <f>VLOOKUP(globalfreelancepreprocesseddata!A290,worksheet!A:P,9,FALSE)</f>
        <v>Machine Learning</v>
      </c>
      <c r="H290" s="5">
        <f>VLOOKUP(globalfreelancepreprocesseddata!A290,worksheet!A:P,10,FALSE)</f>
        <v>2</v>
      </c>
      <c r="I290" s="6">
        <f>VLOOKUP(globalfreelancepreprocesseddata!A290,worksheet!A:P,12,FALSE)</f>
        <v>30</v>
      </c>
      <c r="J290" s="5">
        <f>VLOOKUP(globalfreelancepreprocesseddata!A290,worksheet!A:P,13,FALSE)</f>
        <v>1.9</v>
      </c>
      <c r="K290" s="5">
        <f>VLOOKUP(globalfreelancepreprocesseddata!A290,worksheet!A:P,14,FALSE)</f>
        <v>1</v>
      </c>
      <c r="L290" s="7">
        <f>VLOOKUP(globalfreelancepreprocesseddata!A290,worksheet!A:P,16,FALSE)</f>
        <v>0.81</v>
      </c>
    </row>
    <row r="291" spans="1:12" x14ac:dyDescent="0.35">
      <c r="A291" s="5" t="s">
        <v>656</v>
      </c>
      <c r="B291" s="5" t="str">
        <f>VLOOKUP(globalfreelancepreprocesseddata!A291,worksheet!A:P,3,FALSE)</f>
        <v>James Carr</v>
      </c>
      <c r="C291" s="5" t="str">
        <f>VLOOKUP(globalfreelancepreprocesseddata!A291,worksheet!A:P,5,FALSE)</f>
        <v>Male</v>
      </c>
      <c r="D291" s="5">
        <f>VLOOKUP(globalfreelancepreprocesseddata!A291,worksheet!A:P,6,FALSE)</f>
        <v>44</v>
      </c>
      <c r="E291" s="5" t="str">
        <f>VLOOKUP(globalfreelancepreprocesseddata!A291,worksheet!A:P,7,FALSE)</f>
        <v>United Kingdom</v>
      </c>
      <c r="F291" s="5" t="str">
        <f>VLOOKUP(globalfreelancepreprocesseddata!A291,worksheet!A:P,8,FALSE)</f>
        <v>English</v>
      </c>
      <c r="G291" s="5" t="str">
        <f>VLOOKUP(globalfreelancepreprocesseddata!A291,worksheet!A:P,9,FALSE)</f>
        <v>Blockchain Development</v>
      </c>
      <c r="H291" s="5">
        <f>VLOOKUP(globalfreelancepreprocesseddata!A291,worksheet!A:P,10,FALSE)</f>
        <v>13</v>
      </c>
      <c r="I291" s="6">
        <f>VLOOKUP(globalfreelancepreprocesseddata!A291,worksheet!A:P,12,FALSE)</f>
        <v>100</v>
      </c>
      <c r="J291" s="5">
        <f>VLOOKUP(globalfreelancepreprocesseddata!A291,worksheet!A:P,13,FALSE)</f>
        <v>3.1</v>
      </c>
      <c r="K291" s="5">
        <f>VLOOKUP(globalfreelancepreprocesseddata!A291,worksheet!A:P,14,FALSE)</f>
        <v>1</v>
      </c>
      <c r="L291" s="7">
        <f>VLOOKUP(globalfreelancepreprocesseddata!A291,worksheet!A:P,16,FALSE)</f>
        <v>0.95</v>
      </c>
    </row>
    <row r="292" spans="1:12" x14ac:dyDescent="0.35">
      <c r="A292" s="5" t="s">
        <v>658</v>
      </c>
      <c r="B292" s="5" t="str">
        <f>VLOOKUP(globalfreelancepreprocesseddata!A292,worksheet!A:P,3,FALSE)</f>
        <v>Joseph Mendoza</v>
      </c>
      <c r="C292" s="5" t="str">
        <f>VLOOKUP(globalfreelancepreprocesseddata!A292,worksheet!A:P,5,FALSE)</f>
        <v>Male</v>
      </c>
      <c r="D292" s="5">
        <f>VLOOKUP(globalfreelancepreprocesseddata!A292,worksheet!A:P,6,FALSE)</f>
        <v>46</v>
      </c>
      <c r="E292" s="5" t="str">
        <f>VLOOKUP(globalfreelancepreprocesseddata!A292,worksheet!A:P,7,FALSE)</f>
        <v>Indonesia</v>
      </c>
      <c r="F292" s="5" t="str">
        <f>VLOOKUP(globalfreelancepreprocesseddata!A292,worksheet!A:P,8,FALSE)</f>
        <v>Indonesian</v>
      </c>
      <c r="G292" s="5" t="str">
        <f>VLOOKUP(globalfreelancepreprocesseddata!A292,worksheet!A:P,9,FALSE)</f>
        <v>UI/UX Design</v>
      </c>
      <c r="H292" s="5">
        <f>VLOOKUP(globalfreelancepreprocesseddata!A292,worksheet!A:P,10,FALSE)</f>
        <v>11</v>
      </c>
      <c r="I292" s="6">
        <f>VLOOKUP(globalfreelancepreprocesseddata!A292,worksheet!A:P,12,FALSE)</f>
        <v>40</v>
      </c>
      <c r="J292" s="5">
        <f>VLOOKUP(globalfreelancepreprocesseddata!A292,worksheet!A:P,13,FALSE)</f>
        <v>1.8</v>
      </c>
      <c r="K292" s="5">
        <f>VLOOKUP(globalfreelancepreprocesseddata!A292,worksheet!A:P,14,FALSE)</f>
        <v>0</v>
      </c>
      <c r="L292" s="7">
        <f>VLOOKUP(globalfreelancepreprocesseddata!A292,worksheet!A:P,16,FALSE)</f>
        <v>0.88</v>
      </c>
    </row>
    <row r="293" spans="1:12" x14ac:dyDescent="0.35">
      <c r="A293" s="5" t="s">
        <v>660</v>
      </c>
      <c r="B293" s="5" t="str">
        <f>VLOOKUP(globalfreelancepreprocesseddata!A293,worksheet!A:P,3,FALSE)</f>
        <v>Cathy Baldwin</v>
      </c>
      <c r="C293" s="5" t="str">
        <f>VLOOKUP(globalfreelancepreprocesseddata!A293,worksheet!A:P,5,FALSE)</f>
        <v>Female</v>
      </c>
      <c r="D293" s="5">
        <f>VLOOKUP(globalfreelancepreprocesseddata!A293,worksheet!A:P,6,FALSE)</f>
        <v>27</v>
      </c>
      <c r="E293" s="5" t="str">
        <f>VLOOKUP(globalfreelancepreprocesseddata!A293,worksheet!A:P,7,FALSE)</f>
        <v>Japan</v>
      </c>
      <c r="F293" s="5" t="str">
        <f>VLOOKUP(globalfreelancepreprocesseddata!A293,worksheet!A:P,8,FALSE)</f>
        <v>Japanese</v>
      </c>
      <c r="G293" s="5" t="str">
        <f>VLOOKUP(globalfreelancepreprocesseddata!A293,worksheet!A:P,9,FALSE)</f>
        <v>Web Development</v>
      </c>
      <c r="H293" s="5">
        <f>VLOOKUP(globalfreelancepreprocesseddata!A293,worksheet!A:P,10,FALSE)</f>
        <v>7</v>
      </c>
      <c r="I293" s="6">
        <f>VLOOKUP(globalfreelancepreprocesseddata!A293,worksheet!A:P,12,FALSE)</f>
        <v>30</v>
      </c>
      <c r="J293" s="5">
        <f>VLOOKUP(globalfreelancepreprocesseddata!A293,worksheet!A:P,13,FALSE)</f>
        <v>2.4</v>
      </c>
      <c r="K293" s="5">
        <f>VLOOKUP(globalfreelancepreprocesseddata!A293,worksheet!A:P,14,FALSE)</f>
        <v>1</v>
      </c>
      <c r="L293" s="7">
        <f>VLOOKUP(globalfreelancepreprocesseddata!A293,worksheet!A:P,16,FALSE)</f>
        <v>0.66</v>
      </c>
    </row>
    <row r="294" spans="1:12" x14ac:dyDescent="0.35">
      <c r="A294" s="5" t="s">
        <v>662</v>
      </c>
      <c r="B294" s="5" t="str">
        <f>VLOOKUP(globalfreelancepreprocesseddata!A294,worksheet!A:P,3,FALSE)</f>
        <v>Christine Hart</v>
      </c>
      <c r="C294" s="5" t="str">
        <f>VLOOKUP(globalfreelancepreprocesseddata!A294,worksheet!A:P,5,FALSE)</f>
        <v>Female</v>
      </c>
      <c r="D294" s="5">
        <f>VLOOKUP(globalfreelancepreprocesseddata!A294,worksheet!A:P,6,FALSE)</f>
        <v>49</v>
      </c>
      <c r="E294" s="5" t="str">
        <f>VLOOKUP(globalfreelancepreprocesseddata!A294,worksheet!A:P,7,FALSE)</f>
        <v>India</v>
      </c>
      <c r="F294" s="5" t="str">
        <f>VLOOKUP(globalfreelancepreprocesseddata!A294,worksheet!A:P,8,FALSE)</f>
        <v>Hindi</v>
      </c>
      <c r="G294" s="5" t="str">
        <f>VLOOKUP(globalfreelancepreprocesseddata!A294,worksheet!A:P,9,FALSE)</f>
        <v>Blockchain Development</v>
      </c>
      <c r="H294" s="5">
        <f>VLOOKUP(globalfreelancepreprocesseddata!A294,worksheet!A:P,10,FALSE)</f>
        <v>13</v>
      </c>
      <c r="I294" s="6">
        <f>VLOOKUP(globalfreelancepreprocesseddata!A294,worksheet!A:P,12,FALSE)</f>
        <v>100</v>
      </c>
      <c r="J294" s="5">
        <f>VLOOKUP(globalfreelancepreprocesseddata!A294,worksheet!A:P,13,FALSE)</f>
        <v>4.2</v>
      </c>
      <c r="K294" s="5">
        <f>VLOOKUP(globalfreelancepreprocesseddata!A294,worksheet!A:P,14,FALSE)</f>
        <v>1</v>
      </c>
      <c r="L294" s="7">
        <f>VLOOKUP(globalfreelancepreprocesseddata!A294,worksheet!A:P,16,FALSE)</f>
        <v>0.84</v>
      </c>
    </row>
    <row r="295" spans="1:12" x14ac:dyDescent="0.35">
      <c r="A295" s="5" t="s">
        <v>664</v>
      </c>
      <c r="B295" s="5" t="str">
        <f>VLOOKUP(globalfreelancepreprocesseddata!A295,worksheet!A:P,3,FALSE)</f>
        <v>Mike Stanley</v>
      </c>
      <c r="C295" s="5" t="str">
        <f>VLOOKUP(globalfreelancepreprocesseddata!A295,worksheet!A:P,5,FALSE)</f>
        <v>Male</v>
      </c>
      <c r="D295" s="5">
        <f>VLOOKUP(globalfreelancepreprocesseddata!A295,worksheet!A:P,6,FALSE)</f>
        <v>53</v>
      </c>
      <c r="E295" s="5" t="str">
        <f>VLOOKUP(globalfreelancepreprocesseddata!A295,worksheet!A:P,7,FALSE)</f>
        <v>Mexico</v>
      </c>
      <c r="F295" s="5" t="str">
        <f>VLOOKUP(globalfreelancepreprocesseddata!A295,worksheet!A:P,8,FALSE)</f>
        <v>Spanish</v>
      </c>
      <c r="G295" s="5" t="str">
        <f>VLOOKUP(globalfreelancepreprocesseddata!A295,worksheet!A:P,9,FALSE)</f>
        <v>Web Development</v>
      </c>
      <c r="H295" s="5">
        <f>VLOOKUP(globalfreelancepreprocesseddata!A295,worksheet!A:P,10,FALSE)</f>
        <v>21</v>
      </c>
      <c r="I295" s="6">
        <f>VLOOKUP(globalfreelancepreprocesseddata!A295,worksheet!A:P,12,FALSE)</f>
        <v>50</v>
      </c>
      <c r="J295" s="5">
        <f>VLOOKUP(globalfreelancepreprocesseddata!A295,worksheet!A:P,13,FALSE)</f>
        <v>1.4</v>
      </c>
      <c r="K295" s="5">
        <f>VLOOKUP(globalfreelancepreprocesseddata!A295,worksheet!A:P,14,FALSE)</f>
        <v>0</v>
      </c>
      <c r="L295" s="7">
        <f>VLOOKUP(globalfreelancepreprocesseddata!A295,worksheet!A:P,16,FALSE)</f>
        <v>0.16</v>
      </c>
    </row>
    <row r="296" spans="1:12" x14ac:dyDescent="0.35">
      <c r="A296" s="5" t="s">
        <v>666</v>
      </c>
      <c r="B296" s="5" t="str">
        <f>VLOOKUP(globalfreelancepreprocesseddata!A296,worksheet!A:P,3,FALSE)</f>
        <v>Jeffrey Edwards</v>
      </c>
      <c r="C296" s="5" t="str">
        <f>VLOOKUP(globalfreelancepreprocesseddata!A296,worksheet!A:P,5,FALSE)</f>
        <v>Male</v>
      </c>
      <c r="D296" s="5">
        <f>VLOOKUP(globalfreelancepreprocesseddata!A296,worksheet!A:P,6,FALSE)</f>
        <v>56</v>
      </c>
      <c r="E296" s="5" t="str">
        <f>VLOOKUP(globalfreelancepreprocesseddata!A296,worksheet!A:P,7,FALSE)</f>
        <v>Australia</v>
      </c>
      <c r="F296" s="5" t="str">
        <f>VLOOKUP(globalfreelancepreprocesseddata!A296,worksheet!A:P,8,FALSE)</f>
        <v>English</v>
      </c>
      <c r="G296" s="5" t="str">
        <f>VLOOKUP(globalfreelancepreprocesseddata!A296,worksheet!A:P,9,FALSE)</f>
        <v>Web Development</v>
      </c>
      <c r="H296" s="5">
        <f>VLOOKUP(globalfreelancepreprocesseddata!A296,worksheet!A:P,10,FALSE)</f>
        <v>19</v>
      </c>
      <c r="I296" s="6">
        <f>VLOOKUP(globalfreelancepreprocesseddata!A296,worksheet!A:P,12,FALSE)</f>
        <v>40</v>
      </c>
      <c r="J296" s="5">
        <f>VLOOKUP(globalfreelancepreprocesseddata!A296,worksheet!A:P,13,FALSE)</f>
        <v>1.2</v>
      </c>
      <c r="K296" s="5">
        <f>VLOOKUP(globalfreelancepreprocesseddata!A296,worksheet!A:P,14,FALSE)</f>
        <v>1</v>
      </c>
      <c r="L296" s="7">
        <f>VLOOKUP(globalfreelancepreprocesseddata!A296,worksheet!A:P,16,FALSE)</f>
        <v>0.82</v>
      </c>
    </row>
    <row r="297" spans="1:12" x14ac:dyDescent="0.35">
      <c r="A297" s="5" t="s">
        <v>668</v>
      </c>
      <c r="B297" s="5" t="str">
        <f>VLOOKUP(globalfreelancepreprocesseddata!A297,worksheet!A:P,3,FALSE)</f>
        <v>Amy Lee</v>
      </c>
      <c r="C297" s="5" t="str">
        <f>VLOOKUP(globalfreelancepreprocesseddata!A297,worksheet!A:P,5,FALSE)</f>
        <v>Female</v>
      </c>
      <c r="D297" s="5">
        <f>VLOOKUP(globalfreelancepreprocesseddata!A297,worksheet!A:P,6,FALSE)</f>
        <v>56</v>
      </c>
      <c r="E297" s="5" t="str">
        <f>VLOOKUP(globalfreelancepreprocesseddata!A297,worksheet!A:P,7,FALSE)</f>
        <v>United Kingdom</v>
      </c>
      <c r="F297" s="5" t="str">
        <f>VLOOKUP(globalfreelancepreprocesseddata!A297,worksheet!A:P,8,FALSE)</f>
        <v>English</v>
      </c>
      <c r="G297" s="5" t="str">
        <f>VLOOKUP(globalfreelancepreprocesseddata!A297,worksheet!A:P,9,FALSE)</f>
        <v>DevOps</v>
      </c>
      <c r="H297" s="5">
        <f>VLOOKUP(globalfreelancepreprocesseddata!A297,worksheet!A:P,10,FALSE)</f>
        <v>34</v>
      </c>
      <c r="I297" s="6">
        <f>VLOOKUP(globalfreelancepreprocesseddata!A297,worksheet!A:P,12,FALSE)</f>
        <v>40</v>
      </c>
      <c r="J297" s="5">
        <f>VLOOKUP(globalfreelancepreprocesseddata!A297,worksheet!A:P,13,FALSE)</f>
        <v>2.1</v>
      </c>
      <c r="K297" s="5">
        <f>VLOOKUP(globalfreelancepreprocesseddata!A297,worksheet!A:P,14,FALSE)</f>
        <v>1</v>
      </c>
      <c r="L297" s="7">
        <f>VLOOKUP(globalfreelancepreprocesseddata!A297,worksheet!A:P,16,FALSE)</f>
        <v>0.84</v>
      </c>
    </row>
    <row r="298" spans="1:12" x14ac:dyDescent="0.35">
      <c r="A298" s="5" t="s">
        <v>670</v>
      </c>
      <c r="B298" s="5" t="str">
        <f>VLOOKUP(globalfreelancepreprocesseddata!A298,worksheet!A:P,3,FALSE)</f>
        <v>Mark Thompson</v>
      </c>
      <c r="C298" s="5" t="str">
        <f>VLOOKUP(globalfreelancepreprocesseddata!A298,worksheet!A:P,5,FALSE)</f>
        <v>Male</v>
      </c>
      <c r="D298" s="5">
        <f>VLOOKUP(globalfreelancepreprocesseddata!A298,worksheet!A:P,6,FALSE)</f>
        <v>38</v>
      </c>
      <c r="E298" s="5" t="str">
        <f>VLOOKUP(globalfreelancepreprocesseddata!A298,worksheet!A:P,7,FALSE)</f>
        <v>South Africa</v>
      </c>
      <c r="F298" s="5" t="str">
        <f>VLOOKUP(globalfreelancepreprocesseddata!A298,worksheet!A:P,8,FALSE)</f>
        <v>Afrikaans</v>
      </c>
      <c r="G298" s="5" t="str">
        <f>VLOOKUP(globalfreelancepreprocesseddata!A298,worksheet!A:P,9,FALSE)</f>
        <v>Data Analysis</v>
      </c>
      <c r="H298" s="5">
        <f>VLOOKUP(globalfreelancepreprocesseddata!A298,worksheet!A:P,10,FALSE)</f>
        <v>3</v>
      </c>
      <c r="I298" s="6">
        <f>VLOOKUP(globalfreelancepreprocesseddata!A298,worksheet!A:P,12,FALSE)</f>
        <v>100</v>
      </c>
      <c r="J298" s="5">
        <f>VLOOKUP(globalfreelancepreprocesseddata!A298,worksheet!A:P,13,FALSE)</f>
        <v>1.4</v>
      </c>
      <c r="K298" s="5">
        <f>VLOOKUP(globalfreelancepreprocesseddata!A298,worksheet!A:P,14,FALSE)</f>
        <v>0</v>
      </c>
      <c r="L298" s="7">
        <f>VLOOKUP(globalfreelancepreprocesseddata!A298,worksheet!A:P,16,FALSE)</f>
        <v>0.73</v>
      </c>
    </row>
    <row r="299" spans="1:12" x14ac:dyDescent="0.35">
      <c r="A299" s="5" t="s">
        <v>672</v>
      </c>
      <c r="B299" s="5" t="str">
        <f>VLOOKUP(globalfreelancepreprocesseddata!A299,worksheet!A:P,3,FALSE)</f>
        <v>Alex Wilson</v>
      </c>
      <c r="C299" s="5" t="str">
        <f>VLOOKUP(globalfreelancepreprocesseddata!A299,worksheet!A:P,5,FALSE)</f>
        <v>Male</v>
      </c>
      <c r="D299" s="5">
        <f>VLOOKUP(globalfreelancepreprocesseddata!A299,worksheet!A:P,6,FALSE)</f>
        <v>20</v>
      </c>
      <c r="E299" s="5" t="str">
        <f>VLOOKUP(globalfreelancepreprocesseddata!A299,worksheet!A:P,7,FALSE)</f>
        <v>South Korea</v>
      </c>
      <c r="F299" s="5" t="str">
        <f>VLOOKUP(globalfreelancepreprocesseddata!A299,worksheet!A:P,8,FALSE)</f>
        <v>Korean</v>
      </c>
      <c r="G299" s="5" t="str">
        <f>VLOOKUP(globalfreelancepreprocesseddata!A299,worksheet!A:P,9,FALSE)</f>
        <v>Mobile Apps</v>
      </c>
      <c r="H299" s="5">
        <f>VLOOKUP(globalfreelancepreprocesseddata!A299,worksheet!A:P,10,FALSE)</f>
        <v>11</v>
      </c>
      <c r="I299" s="6">
        <f>VLOOKUP(globalfreelancepreprocesseddata!A299,worksheet!A:P,12,FALSE)</f>
        <v>30</v>
      </c>
      <c r="J299" s="5">
        <f>VLOOKUP(globalfreelancepreprocesseddata!A299,worksheet!A:P,13,FALSE)</f>
        <v>3.8</v>
      </c>
      <c r="K299" s="5">
        <f>VLOOKUP(globalfreelancepreprocesseddata!A299,worksheet!A:P,14,FALSE)</f>
        <v>1</v>
      </c>
      <c r="L299" s="7">
        <f>VLOOKUP(globalfreelancepreprocesseddata!A299,worksheet!A:P,16,FALSE)</f>
        <v>0.93</v>
      </c>
    </row>
    <row r="300" spans="1:12" x14ac:dyDescent="0.35">
      <c r="A300" s="5" t="s">
        <v>674</v>
      </c>
      <c r="B300" s="5" t="str">
        <f>VLOOKUP(globalfreelancepreprocesseddata!A300,worksheet!A:P,3,FALSE)</f>
        <v>Nancy Mendez</v>
      </c>
      <c r="C300" s="5" t="str">
        <f>VLOOKUP(globalfreelancepreprocesseddata!A300,worksheet!A:P,5,FALSE)</f>
        <v>Female</v>
      </c>
      <c r="D300" s="5">
        <f>VLOOKUP(globalfreelancepreprocesseddata!A300,worksheet!A:P,6,FALSE)</f>
        <v>38</v>
      </c>
      <c r="E300" s="5" t="str">
        <f>VLOOKUP(globalfreelancepreprocesseddata!A300,worksheet!A:P,7,FALSE)</f>
        <v>Canada</v>
      </c>
      <c r="F300" s="5" t="str">
        <f>VLOOKUP(globalfreelancepreprocesseddata!A300,worksheet!A:P,8,FALSE)</f>
        <v>English</v>
      </c>
      <c r="G300" s="5" t="str">
        <f>VLOOKUP(globalfreelancepreprocesseddata!A300,worksheet!A:P,9,FALSE)</f>
        <v>Machine Learning</v>
      </c>
      <c r="H300" s="5">
        <f>VLOOKUP(globalfreelancepreprocesseddata!A300,worksheet!A:P,10,FALSE)</f>
        <v>20</v>
      </c>
      <c r="I300" s="6">
        <f>VLOOKUP(globalfreelancepreprocesseddata!A300,worksheet!A:P,12,FALSE)</f>
        <v>50</v>
      </c>
      <c r="J300" s="5">
        <f>VLOOKUP(globalfreelancepreprocesseddata!A300,worksheet!A:P,13,FALSE)</f>
        <v>0</v>
      </c>
      <c r="K300" s="5">
        <f>VLOOKUP(globalfreelancepreprocesseddata!A300,worksheet!A:P,14,FALSE)</f>
        <v>1</v>
      </c>
      <c r="L300" s="7">
        <f>VLOOKUP(globalfreelancepreprocesseddata!A300,worksheet!A:P,16,FALSE)</f>
        <v>0.64</v>
      </c>
    </row>
    <row r="301" spans="1:12" x14ac:dyDescent="0.35">
      <c r="A301" s="5" t="s">
        <v>676</v>
      </c>
      <c r="B301" s="5" t="str">
        <f>VLOOKUP(globalfreelancepreprocesseddata!A301,worksheet!A:P,3,FALSE)</f>
        <v>Beth Crane</v>
      </c>
      <c r="C301" s="5" t="str">
        <f>VLOOKUP(globalfreelancepreprocesseddata!A301,worksheet!A:P,5,FALSE)</f>
        <v>Female</v>
      </c>
      <c r="D301" s="5">
        <f>VLOOKUP(globalfreelancepreprocesseddata!A301,worksheet!A:P,6,FALSE)</f>
        <v>41</v>
      </c>
      <c r="E301" s="5" t="str">
        <f>VLOOKUP(globalfreelancepreprocesseddata!A301,worksheet!A:P,7,FALSE)</f>
        <v>Netherlands</v>
      </c>
      <c r="F301" s="5" t="str">
        <f>VLOOKUP(globalfreelancepreprocesseddata!A301,worksheet!A:P,8,FALSE)</f>
        <v>Dutch</v>
      </c>
      <c r="G301" s="5" t="str">
        <f>VLOOKUP(globalfreelancepreprocesseddata!A301,worksheet!A:P,9,FALSE)</f>
        <v>Mobile Apps</v>
      </c>
      <c r="H301" s="5">
        <f>VLOOKUP(globalfreelancepreprocesseddata!A301,worksheet!A:P,10,FALSE)</f>
        <v>6</v>
      </c>
      <c r="I301" s="6">
        <f>VLOOKUP(globalfreelancepreprocesseddata!A301,worksheet!A:P,12,FALSE)</f>
        <v>40</v>
      </c>
      <c r="J301" s="5">
        <f>VLOOKUP(globalfreelancepreprocesseddata!A301,worksheet!A:P,13,FALSE)</f>
        <v>3.5</v>
      </c>
      <c r="K301" s="5">
        <f>VLOOKUP(globalfreelancepreprocesseddata!A301,worksheet!A:P,14,FALSE)</f>
        <v>0</v>
      </c>
      <c r="L301" s="7">
        <f>VLOOKUP(globalfreelancepreprocesseddata!A301,worksheet!A:P,16,FALSE)</f>
        <v>0.76</v>
      </c>
    </row>
    <row r="302" spans="1:12" x14ac:dyDescent="0.35">
      <c r="A302" s="5" t="s">
        <v>678</v>
      </c>
      <c r="B302" s="5" t="str">
        <f>VLOOKUP(globalfreelancepreprocesseddata!A302,worksheet!A:P,3,FALSE)</f>
        <v>Miguel Rogers</v>
      </c>
      <c r="C302" s="5" t="str">
        <f>VLOOKUP(globalfreelancepreprocesseddata!A302,worksheet!A:P,5,FALSE)</f>
        <v>Male</v>
      </c>
      <c r="D302" s="5">
        <f>VLOOKUP(globalfreelancepreprocesseddata!A302,worksheet!A:P,6,FALSE)</f>
        <v>46</v>
      </c>
      <c r="E302" s="5" t="str">
        <f>VLOOKUP(globalfreelancepreprocesseddata!A302,worksheet!A:P,7,FALSE)</f>
        <v>India</v>
      </c>
      <c r="F302" s="5" t="str">
        <f>VLOOKUP(globalfreelancepreprocesseddata!A302,worksheet!A:P,8,FALSE)</f>
        <v>Hindi</v>
      </c>
      <c r="G302" s="5" t="str">
        <f>VLOOKUP(globalfreelancepreprocesseddata!A302,worksheet!A:P,9,FALSE)</f>
        <v>Machine Learning</v>
      </c>
      <c r="H302" s="5">
        <f>VLOOKUP(globalfreelancepreprocesseddata!A302,worksheet!A:P,10,FALSE)</f>
        <v>13</v>
      </c>
      <c r="I302" s="6">
        <f>VLOOKUP(globalfreelancepreprocesseddata!A302,worksheet!A:P,12,FALSE)</f>
        <v>100</v>
      </c>
      <c r="J302" s="5">
        <f>VLOOKUP(globalfreelancepreprocesseddata!A302,worksheet!A:P,13,FALSE)</f>
        <v>0</v>
      </c>
      <c r="K302" s="5">
        <f>VLOOKUP(globalfreelancepreprocesseddata!A302,worksheet!A:P,14,FALSE)</f>
        <v>1</v>
      </c>
      <c r="L302" s="7">
        <f>VLOOKUP(globalfreelancepreprocesseddata!A302,worksheet!A:P,16,FALSE)</f>
        <v>0.97</v>
      </c>
    </row>
    <row r="303" spans="1:12" x14ac:dyDescent="0.35">
      <c r="A303" s="5" t="s">
        <v>680</v>
      </c>
      <c r="B303" s="5" t="str">
        <f>VLOOKUP(globalfreelancepreprocesseddata!A303,worksheet!A:P,3,FALSE)</f>
        <v>Thomas Robles</v>
      </c>
      <c r="C303" s="5" t="str">
        <f>VLOOKUP(globalfreelancepreprocesseddata!A303,worksheet!A:P,5,FALSE)</f>
        <v>Male</v>
      </c>
      <c r="D303" s="5">
        <f>VLOOKUP(globalfreelancepreprocesseddata!A303,worksheet!A:P,6,FALSE)</f>
        <v>36</v>
      </c>
      <c r="E303" s="5" t="str">
        <f>VLOOKUP(globalfreelancepreprocesseddata!A303,worksheet!A:P,7,FALSE)</f>
        <v>South Africa</v>
      </c>
      <c r="F303" s="5" t="str">
        <f>VLOOKUP(globalfreelancepreprocesseddata!A303,worksheet!A:P,8,FALSE)</f>
        <v>Afrikaans</v>
      </c>
      <c r="G303" s="5" t="str">
        <f>VLOOKUP(globalfreelancepreprocesseddata!A303,worksheet!A:P,9,FALSE)</f>
        <v>Data Analysis</v>
      </c>
      <c r="H303" s="5">
        <f>VLOOKUP(globalfreelancepreprocesseddata!A303,worksheet!A:P,10,FALSE)</f>
        <v>9</v>
      </c>
      <c r="I303" s="6">
        <f>VLOOKUP(globalfreelancepreprocesseddata!A303,worksheet!A:P,12,FALSE)</f>
        <v>75</v>
      </c>
      <c r="J303" s="5">
        <f>VLOOKUP(globalfreelancepreprocesseddata!A303,worksheet!A:P,13,FALSE)</f>
        <v>2.2000000000000002</v>
      </c>
      <c r="K303" s="5">
        <f>VLOOKUP(globalfreelancepreprocesseddata!A303,worksheet!A:P,14,FALSE)</f>
        <v>0</v>
      </c>
      <c r="L303" s="7">
        <f>VLOOKUP(globalfreelancepreprocesseddata!A303,worksheet!A:P,16,FALSE)</f>
        <v>0.95</v>
      </c>
    </row>
    <row r="304" spans="1:12" x14ac:dyDescent="0.35">
      <c r="A304" s="5" t="s">
        <v>682</v>
      </c>
      <c r="B304" s="5" t="str">
        <f>VLOOKUP(globalfreelancepreprocesseddata!A304,worksheet!A:P,3,FALSE)</f>
        <v>Joel Brown Iii</v>
      </c>
      <c r="C304" s="5" t="str">
        <f>VLOOKUP(globalfreelancepreprocesseddata!A304,worksheet!A:P,5,FALSE)</f>
        <v>Male</v>
      </c>
      <c r="D304" s="5">
        <f>VLOOKUP(globalfreelancepreprocesseddata!A304,worksheet!A:P,6,FALSE)</f>
        <v>33</v>
      </c>
      <c r="E304" s="5" t="str">
        <f>VLOOKUP(globalfreelancepreprocesseddata!A304,worksheet!A:P,7,FALSE)</f>
        <v>Russia</v>
      </c>
      <c r="F304" s="5" t="str">
        <f>VLOOKUP(globalfreelancepreprocesseddata!A304,worksheet!A:P,8,FALSE)</f>
        <v>Russian</v>
      </c>
      <c r="G304" s="5" t="str">
        <f>VLOOKUP(globalfreelancepreprocesseddata!A304,worksheet!A:P,9,FALSE)</f>
        <v>Web Development</v>
      </c>
      <c r="H304" s="5">
        <f>VLOOKUP(globalfreelancepreprocesseddata!A304,worksheet!A:P,10,FALSE)</f>
        <v>2</v>
      </c>
      <c r="I304" s="6">
        <f>VLOOKUP(globalfreelancepreprocesseddata!A304,worksheet!A:P,12,FALSE)</f>
        <v>75</v>
      </c>
      <c r="J304" s="5">
        <f>VLOOKUP(globalfreelancepreprocesseddata!A304,worksheet!A:P,13,FALSE)</f>
        <v>2.5</v>
      </c>
      <c r="K304" s="5">
        <f>VLOOKUP(globalfreelancepreprocesseddata!A304,worksheet!A:P,14,FALSE)</f>
        <v>0</v>
      </c>
      <c r="L304" s="7">
        <f>VLOOKUP(globalfreelancepreprocesseddata!A304,worksheet!A:P,16,FALSE)</f>
        <v>0.65</v>
      </c>
    </row>
    <row r="305" spans="1:12" x14ac:dyDescent="0.35">
      <c r="A305" s="5" t="s">
        <v>684</v>
      </c>
      <c r="B305" s="5" t="str">
        <f>VLOOKUP(globalfreelancepreprocesseddata!A305,worksheet!A:P,3,FALSE)</f>
        <v>Olivia Schultz</v>
      </c>
      <c r="C305" s="5" t="str">
        <f>VLOOKUP(globalfreelancepreprocesseddata!A305,worksheet!A:P,5,FALSE)</f>
        <v>Female</v>
      </c>
      <c r="D305" s="5">
        <f>VLOOKUP(globalfreelancepreprocesseddata!A305,worksheet!A:P,6,FALSE)</f>
        <v>37</v>
      </c>
      <c r="E305" s="5" t="str">
        <f>VLOOKUP(globalfreelancepreprocesseddata!A305,worksheet!A:P,7,FALSE)</f>
        <v>Canada</v>
      </c>
      <c r="F305" s="5" t="str">
        <f>VLOOKUP(globalfreelancepreprocesseddata!A305,worksheet!A:P,8,FALSE)</f>
        <v>English</v>
      </c>
      <c r="G305" s="5" t="str">
        <f>VLOOKUP(globalfreelancepreprocesseddata!A305,worksheet!A:P,9,FALSE)</f>
        <v>Graphic Design</v>
      </c>
      <c r="H305" s="5">
        <f>VLOOKUP(globalfreelancepreprocesseddata!A305,worksheet!A:P,10,FALSE)</f>
        <v>11</v>
      </c>
      <c r="I305" s="6" t="str">
        <f>VLOOKUP(globalfreelancepreprocesseddata!A305,worksheet!A:P,12,FALSE)</f>
        <v>$ 50</v>
      </c>
      <c r="J305" s="5">
        <f>VLOOKUP(globalfreelancepreprocesseddata!A305,worksheet!A:P,13,FALSE)</f>
        <v>4.7</v>
      </c>
      <c r="K305" s="5">
        <f>VLOOKUP(globalfreelancepreprocesseddata!A305,worksheet!A:P,14,FALSE)</f>
        <v>0</v>
      </c>
      <c r="L305" s="7">
        <f>VLOOKUP(globalfreelancepreprocesseddata!A305,worksheet!A:P,16,FALSE)</f>
        <v>0.77</v>
      </c>
    </row>
    <row r="306" spans="1:12" x14ac:dyDescent="0.35">
      <c r="A306" s="5" t="s">
        <v>686</v>
      </c>
      <c r="B306" s="5" t="str">
        <f>VLOOKUP(globalfreelancepreprocesseddata!A306,worksheet!A:P,3,FALSE)</f>
        <v>Clayton Pena</v>
      </c>
      <c r="C306" s="5" t="str">
        <f>VLOOKUP(globalfreelancepreprocesseddata!A306,worksheet!A:P,5,FALSE)</f>
        <v>Male</v>
      </c>
      <c r="D306" s="5">
        <f>VLOOKUP(globalfreelancepreprocesseddata!A306,worksheet!A:P,6,FALSE)</f>
        <v>20</v>
      </c>
      <c r="E306" s="5" t="str">
        <f>VLOOKUP(globalfreelancepreprocesseddata!A306,worksheet!A:P,7,FALSE)</f>
        <v>Egypt</v>
      </c>
      <c r="F306" s="5" t="str">
        <f>VLOOKUP(globalfreelancepreprocesseddata!A306,worksheet!A:P,8,FALSE)</f>
        <v>Arabic</v>
      </c>
      <c r="G306" s="5" t="str">
        <f>VLOOKUP(globalfreelancepreprocesseddata!A306,worksheet!A:P,9,FALSE)</f>
        <v>Data Analysis</v>
      </c>
      <c r="H306" s="5">
        <f>VLOOKUP(globalfreelancepreprocesseddata!A306,worksheet!A:P,10,FALSE)</f>
        <v>11</v>
      </c>
      <c r="I306" s="6">
        <f>VLOOKUP(globalfreelancepreprocesseddata!A306,worksheet!A:P,12,FALSE)</f>
        <v>20</v>
      </c>
      <c r="J306" s="5">
        <f>VLOOKUP(globalfreelancepreprocesseddata!A306,worksheet!A:P,13,FALSE)</f>
        <v>3.9</v>
      </c>
      <c r="K306" s="5">
        <f>VLOOKUP(globalfreelancepreprocesseddata!A306,worksheet!A:P,14,FALSE)</f>
        <v>0</v>
      </c>
      <c r="L306" s="7">
        <f>VLOOKUP(globalfreelancepreprocesseddata!A306,worksheet!A:P,16,FALSE)</f>
        <v>0.16</v>
      </c>
    </row>
    <row r="307" spans="1:12" x14ac:dyDescent="0.35">
      <c r="A307" s="5" t="s">
        <v>688</v>
      </c>
      <c r="B307" s="5" t="str">
        <f>VLOOKUP(globalfreelancepreprocesseddata!A307,worksheet!A:P,3,FALSE)</f>
        <v>Ashley Salazar</v>
      </c>
      <c r="C307" s="5" t="str">
        <f>VLOOKUP(globalfreelancepreprocesseddata!A307,worksheet!A:P,5,FALSE)</f>
        <v>Female</v>
      </c>
      <c r="D307" s="5">
        <f>VLOOKUP(globalfreelancepreprocesseddata!A307,worksheet!A:P,6,FALSE)</f>
        <v>48</v>
      </c>
      <c r="E307" s="5" t="str">
        <f>VLOOKUP(globalfreelancepreprocesseddata!A307,worksheet!A:P,7,FALSE)</f>
        <v>China</v>
      </c>
      <c r="F307" s="5" t="str">
        <f>VLOOKUP(globalfreelancepreprocesseddata!A307,worksheet!A:P,8,FALSE)</f>
        <v>Mandarin</v>
      </c>
      <c r="G307" s="5" t="str">
        <f>VLOOKUP(globalfreelancepreprocesseddata!A307,worksheet!A:P,9,FALSE)</f>
        <v>Data Analysis</v>
      </c>
      <c r="H307" s="5">
        <f>VLOOKUP(globalfreelancepreprocesseddata!A307,worksheet!A:P,10,FALSE)</f>
        <v>2</v>
      </c>
      <c r="I307" s="6">
        <f>VLOOKUP(globalfreelancepreprocesseddata!A307,worksheet!A:P,12,FALSE)</f>
        <v>75</v>
      </c>
      <c r="J307" s="5">
        <f>VLOOKUP(globalfreelancepreprocesseddata!A307,worksheet!A:P,13,FALSE)</f>
        <v>1.6</v>
      </c>
      <c r="K307" s="5">
        <f>VLOOKUP(globalfreelancepreprocesseddata!A307,worksheet!A:P,14,FALSE)</f>
        <v>0</v>
      </c>
      <c r="L307" s="7">
        <f>VLOOKUP(globalfreelancepreprocesseddata!A307,worksheet!A:P,16,FALSE)</f>
        <v>0.67</v>
      </c>
    </row>
    <row r="308" spans="1:12" x14ac:dyDescent="0.35">
      <c r="A308" s="5" t="s">
        <v>690</v>
      </c>
      <c r="B308" s="5" t="str">
        <f>VLOOKUP(globalfreelancepreprocesseddata!A308,worksheet!A:P,3,FALSE)</f>
        <v>Robert Lucas</v>
      </c>
      <c r="C308" s="5" t="str">
        <f>VLOOKUP(globalfreelancepreprocesseddata!A308,worksheet!A:P,5,FALSE)</f>
        <v>Male</v>
      </c>
      <c r="D308" s="5">
        <f>VLOOKUP(globalfreelancepreprocesseddata!A308,worksheet!A:P,6,FALSE)</f>
        <v>27</v>
      </c>
      <c r="E308" s="5" t="str">
        <f>VLOOKUP(globalfreelancepreprocesseddata!A308,worksheet!A:P,7,FALSE)</f>
        <v>France</v>
      </c>
      <c r="F308" s="5" t="str">
        <f>VLOOKUP(globalfreelancepreprocesseddata!A308,worksheet!A:P,8,FALSE)</f>
        <v>French</v>
      </c>
      <c r="G308" s="5" t="str">
        <f>VLOOKUP(globalfreelancepreprocesseddata!A308,worksheet!A:P,9,FALSE)</f>
        <v>Cybersecurity</v>
      </c>
      <c r="H308" s="5">
        <f>VLOOKUP(globalfreelancepreprocesseddata!A308,worksheet!A:P,10,FALSE)</f>
        <v>2</v>
      </c>
      <c r="I308" s="6">
        <f>VLOOKUP(globalfreelancepreprocesseddata!A308,worksheet!A:P,12,FALSE)</f>
        <v>50</v>
      </c>
      <c r="J308" s="5">
        <f>VLOOKUP(globalfreelancepreprocesseddata!A308,worksheet!A:P,13,FALSE)</f>
        <v>3</v>
      </c>
      <c r="K308" s="5">
        <f>VLOOKUP(globalfreelancepreprocesseddata!A308,worksheet!A:P,14,FALSE)</f>
        <v>0</v>
      </c>
      <c r="L308" s="7">
        <f>VLOOKUP(globalfreelancepreprocesseddata!A308,worksheet!A:P,16,FALSE)</f>
        <v>0.84</v>
      </c>
    </row>
    <row r="309" spans="1:12" x14ac:dyDescent="0.35">
      <c r="A309" s="5" t="s">
        <v>692</v>
      </c>
      <c r="B309" s="5" t="str">
        <f>VLOOKUP(globalfreelancepreprocesseddata!A309,worksheet!A:P,3,FALSE)</f>
        <v>David Cox</v>
      </c>
      <c r="C309" s="5" t="str">
        <f>VLOOKUP(globalfreelancepreprocesseddata!A309,worksheet!A:P,5,FALSE)</f>
        <v>Male</v>
      </c>
      <c r="D309" s="5">
        <f>VLOOKUP(globalfreelancepreprocesseddata!A309,worksheet!A:P,6,FALSE)</f>
        <v>34</v>
      </c>
      <c r="E309" s="5" t="str">
        <f>VLOOKUP(globalfreelancepreprocesseddata!A309,worksheet!A:P,7,FALSE)</f>
        <v>South Korea</v>
      </c>
      <c r="F309" s="5" t="str">
        <f>VLOOKUP(globalfreelancepreprocesseddata!A309,worksheet!A:P,8,FALSE)</f>
        <v>Korean</v>
      </c>
      <c r="G309" s="5" t="str">
        <f>VLOOKUP(globalfreelancepreprocesseddata!A309,worksheet!A:P,9,FALSE)</f>
        <v>Mobile Apps</v>
      </c>
      <c r="H309" s="5">
        <f>VLOOKUP(globalfreelancepreprocesseddata!A309,worksheet!A:P,10,FALSE)</f>
        <v>1</v>
      </c>
      <c r="I309" s="6">
        <f>VLOOKUP(globalfreelancepreprocesseddata!A309,worksheet!A:P,12,FALSE)</f>
        <v>30</v>
      </c>
      <c r="J309" s="5">
        <f>VLOOKUP(globalfreelancepreprocesseddata!A309,worksheet!A:P,13,FALSE)</f>
        <v>3.6</v>
      </c>
      <c r="K309" s="5">
        <f>VLOOKUP(globalfreelancepreprocesseddata!A309,worksheet!A:P,14,FALSE)</f>
        <v>1</v>
      </c>
      <c r="L309" s="7">
        <f>VLOOKUP(globalfreelancepreprocesseddata!A309,worksheet!A:P,16,FALSE)</f>
        <v>0.87</v>
      </c>
    </row>
    <row r="310" spans="1:12" x14ac:dyDescent="0.35">
      <c r="A310" s="5" t="s">
        <v>694</v>
      </c>
      <c r="B310" s="5" t="str">
        <f>VLOOKUP(globalfreelancepreprocesseddata!A310,worksheet!A:P,3,FALSE)</f>
        <v>Christian Campbell</v>
      </c>
      <c r="C310" s="5" t="str">
        <f>VLOOKUP(globalfreelancepreprocesseddata!A310,worksheet!A:P,5,FALSE)</f>
        <v>Male</v>
      </c>
      <c r="D310" s="5">
        <f>VLOOKUP(globalfreelancepreprocesseddata!A310,worksheet!A:P,6,FALSE)</f>
        <v>55</v>
      </c>
      <c r="E310" s="5" t="str">
        <f>VLOOKUP(globalfreelancepreprocesseddata!A310,worksheet!A:P,7,FALSE)</f>
        <v>Brazil</v>
      </c>
      <c r="F310" s="5" t="str">
        <f>VLOOKUP(globalfreelancepreprocesseddata!A310,worksheet!A:P,8,FALSE)</f>
        <v>Portuguese</v>
      </c>
      <c r="G310" s="5" t="str">
        <f>VLOOKUP(globalfreelancepreprocesseddata!A310,worksheet!A:P,9,FALSE)</f>
        <v>Machine Learning</v>
      </c>
      <c r="H310" s="5">
        <f>VLOOKUP(globalfreelancepreprocesseddata!A310,worksheet!A:P,10,FALSE)</f>
        <v>14</v>
      </c>
      <c r="I310" s="6" t="str">
        <f>VLOOKUP(globalfreelancepreprocesseddata!A310,worksheet!A:P,12,FALSE)</f>
        <v>$ 30</v>
      </c>
      <c r="J310" s="5">
        <f>VLOOKUP(globalfreelancepreprocesseddata!A310,worksheet!A:P,13,FALSE)</f>
        <v>1.2</v>
      </c>
      <c r="K310" s="5">
        <f>VLOOKUP(globalfreelancepreprocesseddata!A310,worksheet!A:P,14,FALSE)</f>
        <v>1</v>
      </c>
      <c r="L310" s="7">
        <f>VLOOKUP(globalfreelancepreprocesseddata!A310,worksheet!A:P,16,FALSE)</f>
        <v>0.91</v>
      </c>
    </row>
    <row r="311" spans="1:12" x14ac:dyDescent="0.35">
      <c r="A311" s="5" t="s">
        <v>696</v>
      </c>
      <c r="B311" s="5" t="str">
        <f>VLOOKUP(globalfreelancepreprocesseddata!A311,worksheet!A:P,3,FALSE)</f>
        <v>Mrs. Angela Ward</v>
      </c>
      <c r="C311" s="5" t="str">
        <f>VLOOKUP(globalfreelancepreprocesseddata!A311,worksheet!A:P,5,FALSE)</f>
        <v>Female</v>
      </c>
      <c r="D311" s="5">
        <f>VLOOKUP(globalfreelancepreprocesseddata!A311,worksheet!A:P,6,FALSE)</f>
        <v>44</v>
      </c>
      <c r="E311" s="5" t="str">
        <f>VLOOKUP(globalfreelancepreprocesseddata!A311,worksheet!A:P,7,FALSE)</f>
        <v>South Africa</v>
      </c>
      <c r="F311" s="5" t="str">
        <f>VLOOKUP(globalfreelancepreprocesseddata!A311,worksheet!A:P,8,FALSE)</f>
        <v>Afrikaans</v>
      </c>
      <c r="G311" s="5" t="str">
        <f>VLOOKUP(globalfreelancepreprocesseddata!A311,worksheet!A:P,9,FALSE)</f>
        <v>Machine Learning</v>
      </c>
      <c r="H311" s="5">
        <f>VLOOKUP(globalfreelancepreprocesseddata!A311,worksheet!A:P,10,FALSE)</f>
        <v>14</v>
      </c>
      <c r="I311" s="6" t="str">
        <f>VLOOKUP(globalfreelancepreprocesseddata!A311,worksheet!A:P,12,FALSE)</f>
        <v>$ 75</v>
      </c>
      <c r="J311" s="5">
        <f>VLOOKUP(globalfreelancepreprocesseddata!A311,worksheet!A:P,13,FALSE)</f>
        <v>3</v>
      </c>
      <c r="K311" s="5">
        <f>VLOOKUP(globalfreelancepreprocesseddata!A311,worksheet!A:P,14,FALSE)</f>
        <v>0</v>
      </c>
      <c r="L311" s="7">
        <f>VLOOKUP(globalfreelancepreprocesseddata!A311,worksheet!A:P,16,FALSE)</f>
        <v>0.78</v>
      </c>
    </row>
    <row r="312" spans="1:12" x14ac:dyDescent="0.35">
      <c r="A312" s="5" t="s">
        <v>698</v>
      </c>
      <c r="B312" s="5" t="str">
        <f>VLOOKUP(globalfreelancepreprocesseddata!A312,worksheet!A:P,3,FALSE)</f>
        <v>Lucas Chen</v>
      </c>
      <c r="C312" s="5" t="str">
        <f>VLOOKUP(globalfreelancepreprocesseddata!A312,worksheet!A:P,5,FALSE)</f>
        <v>Male</v>
      </c>
      <c r="D312" s="5">
        <f>VLOOKUP(globalfreelancepreprocesseddata!A312,worksheet!A:P,6,FALSE)</f>
        <v>31</v>
      </c>
      <c r="E312" s="5" t="str">
        <f>VLOOKUP(globalfreelancepreprocesseddata!A312,worksheet!A:P,7,FALSE)</f>
        <v>Netherlands</v>
      </c>
      <c r="F312" s="5" t="str">
        <f>VLOOKUP(globalfreelancepreprocesseddata!A312,worksheet!A:P,8,FALSE)</f>
        <v>Dutch</v>
      </c>
      <c r="G312" s="5" t="str">
        <f>VLOOKUP(globalfreelancepreprocesseddata!A312,worksheet!A:P,9,FALSE)</f>
        <v>UI/UX Design</v>
      </c>
      <c r="H312" s="5">
        <f>VLOOKUP(globalfreelancepreprocesseddata!A312,worksheet!A:P,10,FALSE)</f>
        <v>2</v>
      </c>
      <c r="I312" s="6">
        <f>VLOOKUP(globalfreelancepreprocesseddata!A312,worksheet!A:P,12,FALSE)</f>
        <v>50</v>
      </c>
      <c r="J312" s="5">
        <f>VLOOKUP(globalfreelancepreprocesseddata!A312,worksheet!A:P,13,FALSE)</f>
        <v>3.9</v>
      </c>
      <c r="K312" s="5">
        <f>VLOOKUP(globalfreelancepreprocesseddata!A312,worksheet!A:P,14,FALSE)</f>
        <v>0</v>
      </c>
      <c r="L312" s="7">
        <f>VLOOKUP(globalfreelancepreprocesseddata!A312,worksheet!A:P,16,FALSE)</f>
        <v>0.16</v>
      </c>
    </row>
    <row r="313" spans="1:12" x14ac:dyDescent="0.35">
      <c r="A313" s="5" t="s">
        <v>700</v>
      </c>
      <c r="B313" s="5" t="str">
        <f>VLOOKUP(globalfreelancepreprocesseddata!A313,worksheet!A:P,3,FALSE)</f>
        <v>Ruben Nelson</v>
      </c>
      <c r="C313" s="5" t="str">
        <f>VLOOKUP(globalfreelancepreprocesseddata!A313,worksheet!A:P,5,FALSE)</f>
        <v>Male</v>
      </c>
      <c r="D313" s="5">
        <f>VLOOKUP(globalfreelancepreprocesseddata!A313,worksheet!A:P,6,FALSE)</f>
        <v>34</v>
      </c>
      <c r="E313" s="5" t="str">
        <f>VLOOKUP(globalfreelancepreprocesseddata!A313,worksheet!A:P,7,FALSE)</f>
        <v>Australia</v>
      </c>
      <c r="F313" s="5" t="str">
        <f>VLOOKUP(globalfreelancepreprocesseddata!A313,worksheet!A:P,8,FALSE)</f>
        <v>English</v>
      </c>
      <c r="G313" s="5" t="str">
        <f>VLOOKUP(globalfreelancepreprocesseddata!A313,worksheet!A:P,9,FALSE)</f>
        <v>DevOps</v>
      </c>
      <c r="H313" s="5">
        <f>VLOOKUP(globalfreelancepreprocesseddata!A313,worksheet!A:P,10,FALSE)</f>
        <v>1</v>
      </c>
      <c r="I313" s="6">
        <f>VLOOKUP(globalfreelancepreprocesseddata!A313,worksheet!A:P,12,FALSE)</f>
        <v>40</v>
      </c>
      <c r="J313" s="5">
        <f>VLOOKUP(globalfreelancepreprocesseddata!A313,worksheet!A:P,13,FALSE)</f>
        <v>1.7</v>
      </c>
      <c r="K313" s="5">
        <f>VLOOKUP(globalfreelancepreprocesseddata!A313,worksheet!A:P,14,FALSE)</f>
        <v>1</v>
      </c>
      <c r="L313" s="7">
        <f>VLOOKUP(globalfreelancepreprocesseddata!A313,worksheet!A:P,16,FALSE)</f>
        <v>0.74</v>
      </c>
    </row>
    <row r="314" spans="1:12" x14ac:dyDescent="0.35">
      <c r="A314" s="5" t="s">
        <v>702</v>
      </c>
      <c r="B314" s="5" t="str">
        <f>VLOOKUP(globalfreelancepreprocesseddata!A314,worksheet!A:P,3,FALSE)</f>
        <v>Brenda Briggs</v>
      </c>
      <c r="C314" s="5" t="str">
        <f>VLOOKUP(globalfreelancepreprocesseddata!A314,worksheet!A:P,5,FALSE)</f>
        <v>Female</v>
      </c>
      <c r="D314" s="5">
        <f>VLOOKUP(globalfreelancepreprocesseddata!A314,worksheet!A:P,6,FALSE)</f>
        <v>47</v>
      </c>
      <c r="E314" s="5" t="str">
        <f>VLOOKUP(globalfreelancepreprocesseddata!A314,worksheet!A:P,7,FALSE)</f>
        <v>Brazil</v>
      </c>
      <c r="F314" s="5" t="str">
        <f>VLOOKUP(globalfreelancepreprocesseddata!A314,worksheet!A:P,8,FALSE)</f>
        <v>Portuguese</v>
      </c>
      <c r="G314" s="5" t="str">
        <f>VLOOKUP(globalfreelancepreprocesseddata!A314,worksheet!A:P,9,FALSE)</f>
        <v>DevOps</v>
      </c>
      <c r="H314" s="5">
        <f>VLOOKUP(globalfreelancepreprocesseddata!A314,worksheet!A:P,10,FALSE)</f>
        <v>13</v>
      </c>
      <c r="I314" s="6">
        <f>VLOOKUP(globalfreelancepreprocesseddata!A314,worksheet!A:P,12,FALSE)</f>
        <v>20</v>
      </c>
      <c r="J314" s="5">
        <f>VLOOKUP(globalfreelancepreprocesseddata!A314,worksheet!A:P,13,FALSE)</f>
        <v>4.5</v>
      </c>
      <c r="K314" s="5">
        <f>VLOOKUP(globalfreelancepreprocesseddata!A314,worksheet!A:P,14,FALSE)</f>
        <v>1</v>
      </c>
      <c r="L314" s="7">
        <f>VLOOKUP(globalfreelancepreprocesseddata!A314,worksheet!A:P,16,FALSE)</f>
        <v>0.91</v>
      </c>
    </row>
    <row r="315" spans="1:12" x14ac:dyDescent="0.35">
      <c r="A315" s="5" t="s">
        <v>704</v>
      </c>
      <c r="B315" s="5" t="str">
        <f>VLOOKUP(globalfreelancepreprocesseddata!A315,worksheet!A:P,3,FALSE)</f>
        <v>Ronald Smith</v>
      </c>
      <c r="C315" s="5" t="str">
        <f>VLOOKUP(globalfreelancepreprocesseddata!A315,worksheet!A:P,5,FALSE)</f>
        <v>Male</v>
      </c>
      <c r="D315" s="5">
        <f>VLOOKUP(globalfreelancepreprocesseddata!A315,worksheet!A:P,6,FALSE)</f>
        <v>50</v>
      </c>
      <c r="E315" s="5" t="str">
        <f>VLOOKUP(globalfreelancepreprocesseddata!A315,worksheet!A:P,7,FALSE)</f>
        <v>United States</v>
      </c>
      <c r="F315" s="5" t="str">
        <f>VLOOKUP(globalfreelancepreprocesseddata!A315,worksheet!A:P,8,FALSE)</f>
        <v>English</v>
      </c>
      <c r="G315" s="5" t="str">
        <f>VLOOKUP(globalfreelancepreprocesseddata!A315,worksheet!A:P,9,FALSE)</f>
        <v>Graphic Design</v>
      </c>
      <c r="H315" s="5">
        <f>VLOOKUP(globalfreelancepreprocesseddata!A315,worksheet!A:P,10,FALSE)</f>
        <v>23</v>
      </c>
      <c r="I315" s="6">
        <f>VLOOKUP(globalfreelancepreprocesseddata!A315,worksheet!A:P,12,FALSE)</f>
        <v>40</v>
      </c>
      <c r="J315" s="5">
        <f>VLOOKUP(globalfreelancepreprocesseddata!A315,worksheet!A:P,13,FALSE)</f>
        <v>3.6</v>
      </c>
      <c r="K315" s="5">
        <f>VLOOKUP(globalfreelancepreprocesseddata!A315,worksheet!A:P,14,FALSE)</f>
        <v>1</v>
      </c>
      <c r="L315" s="7">
        <f>VLOOKUP(globalfreelancepreprocesseddata!A315,worksheet!A:P,16,FALSE)</f>
        <v>0.71</v>
      </c>
    </row>
    <row r="316" spans="1:12" x14ac:dyDescent="0.35">
      <c r="A316" s="5" t="s">
        <v>706</v>
      </c>
      <c r="B316" s="5" t="str">
        <f>VLOOKUP(globalfreelancepreprocesseddata!A316,worksheet!A:P,3,FALSE)</f>
        <v>Dakota Giles</v>
      </c>
      <c r="C316" s="5" t="str">
        <f>VLOOKUP(globalfreelancepreprocesseddata!A316,worksheet!A:P,5,FALSE)</f>
        <v>Male</v>
      </c>
      <c r="D316" s="5">
        <f>VLOOKUP(globalfreelancepreprocesseddata!A316,worksheet!A:P,6,FALSE)</f>
        <v>39</v>
      </c>
      <c r="E316" s="5" t="str">
        <f>VLOOKUP(globalfreelancepreprocesseddata!A316,worksheet!A:P,7,FALSE)</f>
        <v>Germany</v>
      </c>
      <c r="F316" s="5" t="str">
        <f>VLOOKUP(globalfreelancepreprocesseddata!A316,worksheet!A:P,8,FALSE)</f>
        <v>German</v>
      </c>
      <c r="G316" s="5" t="str">
        <f>VLOOKUP(globalfreelancepreprocesseddata!A316,worksheet!A:P,9,FALSE)</f>
        <v>Cybersecurity</v>
      </c>
      <c r="H316" s="5">
        <f>VLOOKUP(globalfreelancepreprocesseddata!A316,worksheet!A:P,10,FALSE)</f>
        <v>11</v>
      </c>
      <c r="I316" s="6" t="str">
        <f>VLOOKUP(globalfreelancepreprocesseddata!A316,worksheet!A:P,12,FALSE)</f>
        <v>$ 75</v>
      </c>
      <c r="J316" s="5">
        <f>VLOOKUP(globalfreelancepreprocesseddata!A316,worksheet!A:P,13,FALSE)</f>
        <v>3.6</v>
      </c>
      <c r="K316" s="5">
        <f>VLOOKUP(globalfreelancepreprocesseddata!A316,worksheet!A:P,14,FALSE)</f>
        <v>1</v>
      </c>
      <c r="L316" s="7">
        <f>VLOOKUP(globalfreelancepreprocesseddata!A316,worksheet!A:P,16,FALSE)</f>
        <v>0.87</v>
      </c>
    </row>
    <row r="317" spans="1:12" x14ac:dyDescent="0.35">
      <c r="A317" s="5" t="s">
        <v>708</v>
      </c>
      <c r="B317" s="5" t="str">
        <f>VLOOKUP(globalfreelancepreprocesseddata!A317,worksheet!A:P,3,FALSE)</f>
        <v>Angela Castillo</v>
      </c>
      <c r="C317" s="5" t="str">
        <f>VLOOKUP(globalfreelancepreprocesseddata!A317,worksheet!A:P,5,FALSE)</f>
        <v>Female</v>
      </c>
      <c r="D317" s="5">
        <f>VLOOKUP(globalfreelancepreprocesseddata!A317,worksheet!A:P,6,FALSE)</f>
        <v>26</v>
      </c>
      <c r="E317" s="5" t="str">
        <f>VLOOKUP(globalfreelancepreprocesseddata!A317,worksheet!A:P,7,FALSE)</f>
        <v>Argentina</v>
      </c>
      <c r="F317" s="5" t="str">
        <f>VLOOKUP(globalfreelancepreprocesseddata!A317,worksheet!A:P,8,FALSE)</f>
        <v>Spanish</v>
      </c>
      <c r="G317" s="5" t="str">
        <f>VLOOKUP(globalfreelancepreprocesseddata!A317,worksheet!A:P,9,FALSE)</f>
        <v>Blockchain Development</v>
      </c>
      <c r="H317" s="5">
        <f>VLOOKUP(globalfreelancepreprocesseddata!A317,worksheet!A:P,10,FALSE)</f>
        <v>3</v>
      </c>
      <c r="I317" s="6" t="str">
        <f>VLOOKUP(globalfreelancepreprocesseddata!A317,worksheet!A:P,12,FALSE)</f>
        <v>$ 100</v>
      </c>
      <c r="J317" s="5">
        <f>VLOOKUP(globalfreelancepreprocesseddata!A317,worksheet!A:P,13,FALSE)</f>
        <v>2.8</v>
      </c>
      <c r="K317" s="5">
        <f>VLOOKUP(globalfreelancepreprocesseddata!A317,worksheet!A:P,14,FALSE)</f>
        <v>1</v>
      </c>
      <c r="L317" s="7">
        <f>VLOOKUP(globalfreelancepreprocesseddata!A317,worksheet!A:P,16,FALSE)</f>
        <v>0.61</v>
      </c>
    </row>
    <row r="318" spans="1:12" x14ac:dyDescent="0.35">
      <c r="A318" s="5" t="s">
        <v>710</v>
      </c>
      <c r="B318" s="5" t="str">
        <f>VLOOKUP(globalfreelancepreprocesseddata!A318,worksheet!A:P,3,FALSE)</f>
        <v>Allen Lee</v>
      </c>
      <c r="C318" s="5" t="str">
        <f>VLOOKUP(globalfreelancepreprocesseddata!A318,worksheet!A:P,5,FALSE)</f>
        <v>Male</v>
      </c>
      <c r="D318" s="5">
        <f>VLOOKUP(globalfreelancepreprocesseddata!A318,worksheet!A:P,6,FALSE)</f>
        <v>41</v>
      </c>
      <c r="E318" s="5" t="str">
        <f>VLOOKUP(globalfreelancepreprocesseddata!A318,worksheet!A:P,7,FALSE)</f>
        <v>Netherlands</v>
      </c>
      <c r="F318" s="5" t="str">
        <f>VLOOKUP(globalfreelancepreprocesseddata!A318,worksheet!A:P,8,FALSE)</f>
        <v>Dutch</v>
      </c>
      <c r="G318" s="5" t="str">
        <f>VLOOKUP(globalfreelancepreprocesseddata!A318,worksheet!A:P,9,FALSE)</f>
        <v>DevOps</v>
      </c>
      <c r="H318" s="5">
        <f>VLOOKUP(globalfreelancepreprocesseddata!A318,worksheet!A:P,10,FALSE)</f>
        <v>11</v>
      </c>
      <c r="I318" s="6">
        <f>VLOOKUP(globalfreelancepreprocesseddata!A318,worksheet!A:P,12,FALSE)</f>
        <v>100</v>
      </c>
      <c r="J318" s="5">
        <f>VLOOKUP(globalfreelancepreprocesseddata!A318,worksheet!A:P,13,FALSE)</f>
        <v>5</v>
      </c>
      <c r="K318" s="5">
        <f>VLOOKUP(globalfreelancepreprocesseddata!A318,worksheet!A:P,14,FALSE)</f>
        <v>0</v>
      </c>
      <c r="L318" s="7">
        <f>VLOOKUP(globalfreelancepreprocesseddata!A318,worksheet!A:P,16,FALSE)</f>
        <v>0.16</v>
      </c>
    </row>
    <row r="319" spans="1:12" x14ac:dyDescent="0.35">
      <c r="A319" s="5" t="s">
        <v>712</v>
      </c>
      <c r="B319" s="5" t="str">
        <f>VLOOKUP(globalfreelancepreprocesseddata!A319,worksheet!A:P,3,FALSE)</f>
        <v>Michael Rogers</v>
      </c>
      <c r="C319" s="5" t="str">
        <f>VLOOKUP(globalfreelancepreprocesseddata!A319,worksheet!A:P,5,FALSE)</f>
        <v>Male</v>
      </c>
      <c r="D319" s="5">
        <f>VLOOKUP(globalfreelancepreprocesseddata!A319,worksheet!A:P,6,FALSE)</f>
        <v>32</v>
      </c>
      <c r="E319" s="5" t="str">
        <f>VLOOKUP(globalfreelancepreprocesseddata!A319,worksheet!A:P,7,FALSE)</f>
        <v>Germany</v>
      </c>
      <c r="F319" s="5" t="str">
        <f>VLOOKUP(globalfreelancepreprocesseddata!A319,worksheet!A:P,8,FALSE)</f>
        <v>German</v>
      </c>
      <c r="G319" s="5" t="str">
        <f>VLOOKUP(globalfreelancepreprocesseddata!A319,worksheet!A:P,9,FALSE)</f>
        <v>Graphic Design</v>
      </c>
      <c r="H319" s="5">
        <f>VLOOKUP(globalfreelancepreprocesseddata!A319,worksheet!A:P,10,FALSE)</f>
        <v>11</v>
      </c>
      <c r="I319" s="6">
        <f>VLOOKUP(globalfreelancepreprocesseddata!A319,worksheet!A:P,12,FALSE)</f>
        <v>100</v>
      </c>
      <c r="J319" s="5">
        <f>VLOOKUP(globalfreelancepreprocesseddata!A319,worksheet!A:P,13,FALSE)</f>
        <v>1.4</v>
      </c>
      <c r="K319" s="5">
        <f>VLOOKUP(globalfreelancepreprocesseddata!A319,worksheet!A:P,14,FALSE)</f>
        <v>1</v>
      </c>
      <c r="L319" s="7">
        <f>VLOOKUP(globalfreelancepreprocesseddata!A319,worksheet!A:P,16,FALSE)</f>
        <v>0.81</v>
      </c>
    </row>
    <row r="320" spans="1:12" x14ac:dyDescent="0.35">
      <c r="A320" s="5" t="s">
        <v>714</v>
      </c>
      <c r="B320" s="5" t="str">
        <f>VLOOKUP(globalfreelancepreprocesseddata!A320,worksheet!A:P,3,FALSE)</f>
        <v>Danielle Costa</v>
      </c>
      <c r="C320" s="5" t="str">
        <f>VLOOKUP(globalfreelancepreprocesseddata!A320,worksheet!A:P,5,FALSE)</f>
        <v>Female</v>
      </c>
      <c r="D320" s="5">
        <f>VLOOKUP(globalfreelancepreprocesseddata!A320,worksheet!A:P,6,FALSE)</f>
        <v>55</v>
      </c>
      <c r="E320" s="5" t="str">
        <f>VLOOKUP(globalfreelancepreprocesseddata!A320,worksheet!A:P,7,FALSE)</f>
        <v>Russia</v>
      </c>
      <c r="F320" s="5" t="str">
        <f>VLOOKUP(globalfreelancepreprocesseddata!A320,worksheet!A:P,8,FALSE)</f>
        <v>Russian</v>
      </c>
      <c r="G320" s="5" t="str">
        <f>VLOOKUP(globalfreelancepreprocesseddata!A320,worksheet!A:P,9,FALSE)</f>
        <v>Data Analysis</v>
      </c>
      <c r="H320" s="5">
        <f>VLOOKUP(globalfreelancepreprocesseddata!A320,worksheet!A:P,10,FALSE)</f>
        <v>17</v>
      </c>
      <c r="I320" s="6">
        <f>VLOOKUP(globalfreelancepreprocesseddata!A320,worksheet!A:P,12,FALSE)</f>
        <v>30</v>
      </c>
      <c r="J320" s="5">
        <f>VLOOKUP(globalfreelancepreprocesseddata!A320,worksheet!A:P,13,FALSE)</f>
        <v>3</v>
      </c>
      <c r="K320" s="5">
        <f>VLOOKUP(globalfreelancepreprocesseddata!A320,worksheet!A:P,14,FALSE)</f>
        <v>1</v>
      </c>
      <c r="L320" s="7">
        <f>VLOOKUP(globalfreelancepreprocesseddata!A320,worksheet!A:P,16,FALSE)</f>
        <v>0.16</v>
      </c>
    </row>
    <row r="321" spans="1:12" x14ac:dyDescent="0.35">
      <c r="A321" s="5" t="s">
        <v>716</v>
      </c>
      <c r="B321" s="5" t="str">
        <f>VLOOKUP(globalfreelancepreprocesseddata!A321,worksheet!A:P,3,FALSE)</f>
        <v>William Nunez</v>
      </c>
      <c r="C321" s="5" t="str">
        <f>VLOOKUP(globalfreelancepreprocesseddata!A321,worksheet!A:P,5,FALSE)</f>
        <v>Male</v>
      </c>
      <c r="D321" s="5">
        <f>VLOOKUP(globalfreelancepreprocesseddata!A321,worksheet!A:P,6,FALSE)</f>
        <v>32</v>
      </c>
      <c r="E321" s="5" t="str">
        <f>VLOOKUP(globalfreelancepreprocesseddata!A321,worksheet!A:P,7,FALSE)</f>
        <v>Argentina</v>
      </c>
      <c r="F321" s="5" t="str">
        <f>VLOOKUP(globalfreelancepreprocesseddata!A321,worksheet!A:P,8,FALSE)</f>
        <v>Spanish</v>
      </c>
      <c r="G321" s="5" t="str">
        <f>VLOOKUP(globalfreelancepreprocesseddata!A321,worksheet!A:P,9,FALSE)</f>
        <v>Machine Learning</v>
      </c>
      <c r="H321" s="5">
        <f>VLOOKUP(globalfreelancepreprocesseddata!A321,worksheet!A:P,10,FALSE)</f>
        <v>9</v>
      </c>
      <c r="I321" s="6" t="str">
        <f>VLOOKUP(globalfreelancepreprocesseddata!A321,worksheet!A:P,12,FALSE)</f>
        <v>$ 40</v>
      </c>
      <c r="J321" s="5">
        <f>VLOOKUP(globalfreelancepreprocesseddata!A321,worksheet!A:P,13,FALSE)</f>
        <v>4.5999999999999996</v>
      </c>
      <c r="K321" s="5">
        <f>VLOOKUP(globalfreelancepreprocesseddata!A321,worksheet!A:P,14,FALSE)</f>
        <v>1</v>
      </c>
      <c r="L321" s="7">
        <f>VLOOKUP(globalfreelancepreprocesseddata!A321,worksheet!A:P,16,FALSE)</f>
        <v>0.84</v>
      </c>
    </row>
    <row r="322" spans="1:12" x14ac:dyDescent="0.35">
      <c r="A322" s="5" t="s">
        <v>718</v>
      </c>
      <c r="B322" s="5" t="str">
        <f>VLOOKUP(globalfreelancepreprocesseddata!A322,worksheet!A:P,3,FALSE)</f>
        <v>Christopher Riggs</v>
      </c>
      <c r="C322" s="5" t="str">
        <f>VLOOKUP(globalfreelancepreprocesseddata!A322,worksheet!A:P,5,FALSE)</f>
        <v>Male</v>
      </c>
      <c r="D322" s="5">
        <f>VLOOKUP(globalfreelancepreprocesseddata!A322,worksheet!A:P,6,FALSE)</f>
        <v>30</v>
      </c>
      <c r="E322" s="5" t="str">
        <f>VLOOKUP(globalfreelancepreprocesseddata!A322,worksheet!A:P,7,FALSE)</f>
        <v>South Korea</v>
      </c>
      <c r="F322" s="5" t="str">
        <f>VLOOKUP(globalfreelancepreprocesseddata!A322,worksheet!A:P,8,FALSE)</f>
        <v>Korean</v>
      </c>
      <c r="G322" s="5" t="str">
        <f>VLOOKUP(globalfreelancepreprocesseddata!A322,worksheet!A:P,9,FALSE)</f>
        <v>Blockchain Development</v>
      </c>
      <c r="H322" s="5">
        <f>VLOOKUP(globalfreelancepreprocesseddata!A322,worksheet!A:P,10,FALSE)</f>
        <v>4</v>
      </c>
      <c r="I322" s="6">
        <f>VLOOKUP(globalfreelancepreprocesseddata!A322,worksheet!A:P,12,FALSE)</f>
        <v>20</v>
      </c>
      <c r="J322" s="5">
        <f>VLOOKUP(globalfreelancepreprocesseddata!A322,worksheet!A:P,13,FALSE)</f>
        <v>3.3</v>
      </c>
      <c r="K322" s="5">
        <f>VLOOKUP(globalfreelancepreprocesseddata!A322,worksheet!A:P,14,FALSE)</f>
        <v>1</v>
      </c>
      <c r="L322" s="7">
        <f>VLOOKUP(globalfreelancepreprocesseddata!A322,worksheet!A:P,16,FALSE)</f>
        <v>0.16</v>
      </c>
    </row>
    <row r="323" spans="1:12" x14ac:dyDescent="0.35">
      <c r="A323" s="5" t="s">
        <v>720</v>
      </c>
      <c r="B323" s="5" t="str">
        <f>VLOOKUP(globalfreelancepreprocesseddata!A323,worksheet!A:P,3,FALSE)</f>
        <v>Kathryn Myers</v>
      </c>
      <c r="C323" s="5" t="str">
        <f>VLOOKUP(globalfreelancepreprocesseddata!A323,worksheet!A:P,5,FALSE)</f>
        <v>Female</v>
      </c>
      <c r="D323" s="5">
        <f>VLOOKUP(globalfreelancepreprocesseddata!A323,worksheet!A:P,6,FALSE)</f>
        <v>37</v>
      </c>
      <c r="E323" s="5" t="str">
        <f>VLOOKUP(globalfreelancepreprocesseddata!A323,worksheet!A:P,7,FALSE)</f>
        <v>Canada</v>
      </c>
      <c r="F323" s="5" t="str">
        <f>VLOOKUP(globalfreelancepreprocesseddata!A323,worksheet!A:P,8,FALSE)</f>
        <v>English</v>
      </c>
      <c r="G323" s="5" t="str">
        <f>VLOOKUP(globalfreelancepreprocesseddata!A323,worksheet!A:P,9,FALSE)</f>
        <v>Cybersecurity</v>
      </c>
      <c r="H323" s="5">
        <f>VLOOKUP(globalfreelancepreprocesseddata!A323,worksheet!A:P,10,FALSE)</f>
        <v>11</v>
      </c>
      <c r="I323" s="6">
        <f>VLOOKUP(globalfreelancepreprocesseddata!A323,worksheet!A:P,12,FALSE)</f>
        <v>40</v>
      </c>
      <c r="J323" s="5">
        <f>VLOOKUP(globalfreelancepreprocesseddata!A323,worksheet!A:P,13,FALSE)</f>
        <v>3.7</v>
      </c>
      <c r="K323" s="5">
        <f>VLOOKUP(globalfreelancepreprocesseddata!A323,worksheet!A:P,14,FALSE)</f>
        <v>1</v>
      </c>
      <c r="L323" s="7">
        <f>VLOOKUP(globalfreelancepreprocesseddata!A323,worksheet!A:P,16,FALSE)</f>
        <v>0.16</v>
      </c>
    </row>
    <row r="324" spans="1:12" x14ac:dyDescent="0.35">
      <c r="A324" s="5" t="s">
        <v>722</v>
      </c>
      <c r="B324" s="5" t="str">
        <f>VLOOKUP(globalfreelancepreprocesseddata!A324,worksheet!A:P,3,FALSE)</f>
        <v>Robert Walls</v>
      </c>
      <c r="C324" s="5" t="str">
        <f>VLOOKUP(globalfreelancepreprocesseddata!A324,worksheet!A:P,5,FALSE)</f>
        <v>Male</v>
      </c>
      <c r="D324" s="5">
        <f>VLOOKUP(globalfreelancepreprocesseddata!A324,worksheet!A:P,6,FALSE)</f>
        <v>52</v>
      </c>
      <c r="E324" s="5" t="str">
        <f>VLOOKUP(globalfreelancepreprocesseddata!A324,worksheet!A:P,7,FALSE)</f>
        <v>Brazil</v>
      </c>
      <c r="F324" s="5" t="str">
        <f>VLOOKUP(globalfreelancepreprocesseddata!A324,worksheet!A:P,8,FALSE)</f>
        <v>Portuguese</v>
      </c>
      <c r="G324" s="5" t="str">
        <f>VLOOKUP(globalfreelancepreprocesseddata!A324,worksheet!A:P,9,FALSE)</f>
        <v>Graphic Design</v>
      </c>
      <c r="H324" s="5">
        <f>VLOOKUP(globalfreelancepreprocesseddata!A324,worksheet!A:P,10,FALSE)</f>
        <v>33</v>
      </c>
      <c r="I324" s="6">
        <f>VLOOKUP(globalfreelancepreprocesseddata!A324,worksheet!A:P,12,FALSE)</f>
        <v>40</v>
      </c>
      <c r="J324" s="5">
        <f>VLOOKUP(globalfreelancepreprocesseddata!A324,worksheet!A:P,13,FALSE)</f>
        <v>0</v>
      </c>
      <c r="K324" s="5">
        <f>VLOOKUP(globalfreelancepreprocesseddata!A324,worksheet!A:P,14,FALSE)</f>
        <v>1</v>
      </c>
      <c r="L324" s="7">
        <f>VLOOKUP(globalfreelancepreprocesseddata!A324,worksheet!A:P,16,FALSE)</f>
        <v>0.6</v>
      </c>
    </row>
    <row r="325" spans="1:12" x14ac:dyDescent="0.35">
      <c r="A325" s="5" t="s">
        <v>724</v>
      </c>
      <c r="B325" s="5" t="str">
        <f>VLOOKUP(globalfreelancepreprocesseddata!A325,worksheet!A:P,3,FALSE)</f>
        <v>Justin Johnson</v>
      </c>
      <c r="C325" s="5" t="str">
        <f>VLOOKUP(globalfreelancepreprocesseddata!A325,worksheet!A:P,5,FALSE)</f>
        <v>Male</v>
      </c>
      <c r="D325" s="5">
        <f>VLOOKUP(globalfreelancepreprocesseddata!A325,worksheet!A:P,6,FALSE)</f>
        <v>48</v>
      </c>
      <c r="E325" s="5" t="str">
        <f>VLOOKUP(globalfreelancepreprocesseddata!A325,worksheet!A:P,7,FALSE)</f>
        <v>India</v>
      </c>
      <c r="F325" s="5" t="str">
        <f>VLOOKUP(globalfreelancepreprocesseddata!A325,worksheet!A:P,8,FALSE)</f>
        <v>Hindi</v>
      </c>
      <c r="G325" s="5" t="str">
        <f>VLOOKUP(globalfreelancepreprocesseddata!A325,worksheet!A:P,9,FALSE)</f>
        <v>Cybersecurity</v>
      </c>
      <c r="H325" s="5">
        <f>VLOOKUP(globalfreelancepreprocesseddata!A325,worksheet!A:P,10,FALSE)</f>
        <v>18</v>
      </c>
      <c r="I325" s="6">
        <f>VLOOKUP(globalfreelancepreprocesseddata!A325,worksheet!A:P,12,FALSE)</f>
        <v>50</v>
      </c>
      <c r="J325" s="5">
        <f>VLOOKUP(globalfreelancepreprocesseddata!A325,worksheet!A:P,13,FALSE)</f>
        <v>0</v>
      </c>
      <c r="K325" s="5">
        <f>VLOOKUP(globalfreelancepreprocesseddata!A325,worksheet!A:P,14,FALSE)</f>
        <v>1</v>
      </c>
      <c r="L325" s="7">
        <f>VLOOKUP(globalfreelancepreprocesseddata!A325,worksheet!A:P,16,FALSE)</f>
        <v>0.64</v>
      </c>
    </row>
    <row r="326" spans="1:12" x14ac:dyDescent="0.35">
      <c r="A326" s="5" t="s">
        <v>726</v>
      </c>
      <c r="B326" s="5" t="str">
        <f>VLOOKUP(globalfreelancepreprocesseddata!A326,worksheet!A:P,3,FALSE)</f>
        <v>Paula Stevens</v>
      </c>
      <c r="C326" s="5" t="str">
        <f>VLOOKUP(globalfreelancepreprocesseddata!A326,worksheet!A:P,5,FALSE)</f>
        <v>Female</v>
      </c>
      <c r="D326" s="5">
        <f>VLOOKUP(globalfreelancepreprocesseddata!A326,worksheet!A:P,6,FALSE)</f>
        <v>28</v>
      </c>
      <c r="E326" s="5" t="str">
        <f>VLOOKUP(globalfreelancepreprocesseddata!A326,worksheet!A:P,7,FALSE)</f>
        <v>Japan</v>
      </c>
      <c r="F326" s="5" t="str">
        <f>VLOOKUP(globalfreelancepreprocesseddata!A326,worksheet!A:P,8,FALSE)</f>
        <v>Japanese</v>
      </c>
      <c r="G326" s="5" t="str">
        <f>VLOOKUP(globalfreelancepreprocesseddata!A326,worksheet!A:P,9,FALSE)</f>
        <v>Mobile Apps</v>
      </c>
      <c r="H326" s="5">
        <f>VLOOKUP(globalfreelancepreprocesseddata!A326,worksheet!A:P,10,FALSE)</f>
        <v>9</v>
      </c>
      <c r="I326" s="6">
        <f>VLOOKUP(globalfreelancepreprocesseddata!A326,worksheet!A:P,12,FALSE)</f>
        <v>40</v>
      </c>
      <c r="J326" s="5">
        <f>VLOOKUP(globalfreelancepreprocesseddata!A326,worksheet!A:P,13,FALSE)</f>
        <v>3</v>
      </c>
      <c r="K326" s="5">
        <f>VLOOKUP(globalfreelancepreprocesseddata!A326,worksheet!A:P,14,FALSE)</f>
        <v>1</v>
      </c>
      <c r="L326" s="7">
        <f>VLOOKUP(globalfreelancepreprocesseddata!A326,worksheet!A:P,16,FALSE)</f>
        <v>0.64</v>
      </c>
    </row>
    <row r="327" spans="1:12" x14ac:dyDescent="0.35">
      <c r="A327" s="5" t="s">
        <v>728</v>
      </c>
      <c r="B327" s="5" t="str">
        <f>VLOOKUP(globalfreelancepreprocesseddata!A327,worksheet!A:P,3,FALSE)</f>
        <v>Jennifer Allen</v>
      </c>
      <c r="C327" s="5" t="str">
        <f>VLOOKUP(globalfreelancepreprocesseddata!A327,worksheet!A:P,5,FALSE)</f>
        <v>Female</v>
      </c>
      <c r="D327" s="5">
        <f>VLOOKUP(globalfreelancepreprocesseddata!A327,worksheet!A:P,6,FALSE)</f>
        <v>58</v>
      </c>
      <c r="E327" s="5" t="str">
        <f>VLOOKUP(globalfreelancepreprocesseddata!A327,worksheet!A:P,7,FALSE)</f>
        <v>Spain</v>
      </c>
      <c r="F327" s="5" t="str">
        <f>VLOOKUP(globalfreelancepreprocesseddata!A327,worksheet!A:P,8,FALSE)</f>
        <v>Spanish</v>
      </c>
      <c r="G327" s="5" t="str">
        <f>VLOOKUP(globalfreelancepreprocesseddata!A327,worksheet!A:P,9,FALSE)</f>
        <v>Data Analysis</v>
      </c>
      <c r="H327" s="5">
        <f>VLOOKUP(globalfreelancepreprocesseddata!A327,worksheet!A:P,10,FALSE)</f>
        <v>40</v>
      </c>
      <c r="I327" s="6">
        <f>VLOOKUP(globalfreelancepreprocesseddata!A327,worksheet!A:P,12,FALSE)</f>
        <v>75</v>
      </c>
      <c r="J327" s="5">
        <f>VLOOKUP(globalfreelancepreprocesseddata!A327,worksheet!A:P,13,FALSE)</f>
        <v>3.4</v>
      </c>
      <c r="K327" s="5">
        <f>VLOOKUP(globalfreelancepreprocesseddata!A327,worksheet!A:P,14,FALSE)</f>
        <v>1</v>
      </c>
      <c r="L327" s="7">
        <f>VLOOKUP(globalfreelancepreprocesseddata!A327,worksheet!A:P,16,FALSE)</f>
        <v>0.01</v>
      </c>
    </row>
    <row r="328" spans="1:12" x14ac:dyDescent="0.35">
      <c r="A328" s="5" t="s">
        <v>730</v>
      </c>
      <c r="B328" s="5" t="str">
        <f>VLOOKUP(globalfreelancepreprocesseddata!A328,worksheet!A:P,3,FALSE)</f>
        <v>Mark Hudson</v>
      </c>
      <c r="C328" s="5" t="str">
        <f>VLOOKUP(globalfreelancepreprocesseddata!A328,worksheet!A:P,5,FALSE)</f>
        <v>Male</v>
      </c>
      <c r="D328" s="5">
        <f>VLOOKUP(globalfreelancepreprocesseddata!A328,worksheet!A:P,6,FALSE)</f>
        <v>30</v>
      </c>
      <c r="E328" s="5" t="str">
        <f>VLOOKUP(globalfreelancepreprocesseddata!A328,worksheet!A:P,7,FALSE)</f>
        <v>Argentina</v>
      </c>
      <c r="F328" s="5" t="str">
        <f>VLOOKUP(globalfreelancepreprocesseddata!A328,worksheet!A:P,8,FALSE)</f>
        <v>Spanish</v>
      </c>
      <c r="G328" s="5" t="str">
        <f>VLOOKUP(globalfreelancepreprocesseddata!A328,worksheet!A:P,9,FALSE)</f>
        <v>Web Development</v>
      </c>
      <c r="H328" s="5">
        <f>VLOOKUP(globalfreelancepreprocesseddata!A328,worksheet!A:P,10,FALSE)</f>
        <v>1</v>
      </c>
      <c r="I328" s="6">
        <f>VLOOKUP(globalfreelancepreprocesseddata!A328,worksheet!A:P,12,FALSE)</f>
        <v>40</v>
      </c>
      <c r="J328" s="5">
        <f>VLOOKUP(globalfreelancepreprocesseddata!A328,worksheet!A:P,13,FALSE)</f>
        <v>1.6</v>
      </c>
      <c r="K328" s="5">
        <f>VLOOKUP(globalfreelancepreprocesseddata!A328,worksheet!A:P,14,FALSE)</f>
        <v>1</v>
      </c>
      <c r="L328" s="7">
        <f>VLOOKUP(globalfreelancepreprocesseddata!A328,worksheet!A:P,16,FALSE)</f>
        <v>1</v>
      </c>
    </row>
    <row r="329" spans="1:12" x14ac:dyDescent="0.35">
      <c r="A329" s="5" t="s">
        <v>732</v>
      </c>
      <c r="B329" s="5" t="str">
        <f>VLOOKUP(globalfreelancepreprocesseddata!A329,worksheet!A:P,3,FALSE)</f>
        <v>Jessica Smith</v>
      </c>
      <c r="C329" s="5" t="str">
        <f>VLOOKUP(globalfreelancepreprocesseddata!A329,worksheet!A:P,5,FALSE)</f>
        <v>Female</v>
      </c>
      <c r="D329" s="5">
        <f>VLOOKUP(globalfreelancepreprocesseddata!A329,worksheet!A:P,6,FALSE)</f>
        <v>47</v>
      </c>
      <c r="E329" s="5" t="str">
        <f>VLOOKUP(globalfreelancepreprocesseddata!A329,worksheet!A:P,7,FALSE)</f>
        <v>China</v>
      </c>
      <c r="F329" s="5" t="str">
        <f>VLOOKUP(globalfreelancepreprocesseddata!A329,worksheet!A:P,8,FALSE)</f>
        <v>Mandarin</v>
      </c>
      <c r="G329" s="5" t="str">
        <f>VLOOKUP(globalfreelancepreprocesseddata!A329,worksheet!A:P,9,FALSE)</f>
        <v>Mobile Apps</v>
      </c>
      <c r="H329" s="5">
        <f>VLOOKUP(globalfreelancepreprocesseddata!A329,worksheet!A:P,10,FALSE)</f>
        <v>5</v>
      </c>
      <c r="I329" s="6">
        <f>VLOOKUP(globalfreelancepreprocesseddata!A329,worksheet!A:P,12,FALSE)</f>
        <v>20</v>
      </c>
      <c r="J329" s="5">
        <f>VLOOKUP(globalfreelancepreprocesseddata!A329,worksheet!A:P,13,FALSE)</f>
        <v>1.9</v>
      </c>
      <c r="K329" s="5">
        <f>VLOOKUP(globalfreelancepreprocesseddata!A329,worksheet!A:P,14,FALSE)</f>
        <v>0</v>
      </c>
      <c r="L329" s="7">
        <f>VLOOKUP(globalfreelancepreprocesseddata!A329,worksheet!A:P,16,FALSE)</f>
        <v>0.16</v>
      </c>
    </row>
    <row r="330" spans="1:12" x14ac:dyDescent="0.35">
      <c r="A330" s="5" t="s">
        <v>734</v>
      </c>
      <c r="B330" s="5" t="str">
        <f>VLOOKUP(globalfreelancepreprocesseddata!A330,worksheet!A:P,3,FALSE)</f>
        <v>Mike Dean</v>
      </c>
      <c r="C330" s="5" t="str">
        <f>VLOOKUP(globalfreelancepreprocesseddata!A330,worksheet!A:P,5,FALSE)</f>
        <v>Male</v>
      </c>
      <c r="D330" s="5">
        <f>VLOOKUP(globalfreelancepreprocesseddata!A330,worksheet!A:P,6,FALSE)</f>
        <v>44</v>
      </c>
      <c r="E330" s="5" t="str">
        <f>VLOOKUP(globalfreelancepreprocesseddata!A330,worksheet!A:P,7,FALSE)</f>
        <v>Argentina</v>
      </c>
      <c r="F330" s="5" t="str">
        <f>VLOOKUP(globalfreelancepreprocesseddata!A330,worksheet!A:P,8,FALSE)</f>
        <v>Spanish</v>
      </c>
      <c r="G330" s="5" t="str">
        <f>VLOOKUP(globalfreelancepreprocesseddata!A330,worksheet!A:P,9,FALSE)</f>
        <v>AI</v>
      </c>
      <c r="H330" s="5">
        <f>VLOOKUP(globalfreelancepreprocesseddata!A330,worksheet!A:P,10,FALSE)</f>
        <v>4</v>
      </c>
      <c r="I330" s="6">
        <f>VLOOKUP(globalfreelancepreprocesseddata!A330,worksheet!A:P,12,FALSE)</f>
        <v>50</v>
      </c>
      <c r="J330" s="5">
        <f>VLOOKUP(globalfreelancepreprocesseddata!A330,worksheet!A:P,13,FALSE)</f>
        <v>0</v>
      </c>
      <c r="K330" s="5">
        <f>VLOOKUP(globalfreelancepreprocesseddata!A330,worksheet!A:P,14,FALSE)</f>
        <v>1</v>
      </c>
      <c r="L330" s="7">
        <f>VLOOKUP(globalfreelancepreprocesseddata!A330,worksheet!A:P,16,FALSE)</f>
        <v>0.83</v>
      </c>
    </row>
    <row r="331" spans="1:12" x14ac:dyDescent="0.35">
      <c r="A331" s="5" t="s">
        <v>736</v>
      </c>
      <c r="B331" s="5" t="str">
        <f>VLOOKUP(globalfreelancepreprocesseddata!A331,worksheet!A:P,3,FALSE)</f>
        <v>Jose Wilson</v>
      </c>
      <c r="C331" s="5" t="str">
        <f>VLOOKUP(globalfreelancepreprocesseddata!A331,worksheet!A:P,5,FALSE)</f>
        <v>Male</v>
      </c>
      <c r="D331" s="5">
        <f>VLOOKUP(globalfreelancepreprocesseddata!A331,worksheet!A:P,6,FALSE)</f>
        <v>56</v>
      </c>
      <c r="E331" s="5" t="str">
        <f>VLOOKUP(globalfreelancepreprocesseddata!A331,worksheet!A:P,7,FALSE)</f>
        <v>Italy</v>
      </c>
      <c r="F331" s="5" t="str">
        <f>VLOOKUP(globalfreelancepreprocesseddata!A331,worksheet!A:P,8,FALSE)</f>
        <v>Italian</v>
      </c>
      <c r="G331" s="5" t="str">
        <f>VLOOKUP(globalfreelancepreprocesseddata!A331,worksheet!A:P,9,FALSE)</f>
        <v>Machine Learning</v>
      </c>
      <c r="H331" s="5">
        <f>VLOOKUP(globalfreelancepreprocesseddata!A331,worksheet!A:P,10,FALSE)</f>
        <v>13</v>
      </c>
      <c r="I331" s="6" t="str">
        <f>VLOOKUP(globalfreelancepreprocesseddata!A331,worksheet!A:P,12,FALSE)</f>
        <v>$ 40</v>
      </c>
      <c r="J331" s="5">
        <f>VLOOKUP(globalfreelancepreprocesseddata!A331,worksheet!A:P,13,FALSE)</f>
        <v>3</v>
      </c>
      <c r="K331" s="5">
        <f>VLOOKUP(globalfreelancepreprocesseddata!A331,worksheet!A:P,14,FALSE)</f>
        <v>1</v>
      </c>
      <c r="L331" s="7">
        <f>VLOOKUP(globalfreelancepreprocesseddata!A331,worksheet!A:P,16,FALSE)</f>
        <v>0.87</v>
      </c>
    </row>
    <row r="332" spans="1:12" x14ac:dyDescent="0.35">
      <c r="A332" s="5" t="s">
        <v>738</v>
      </c>
      <c r="B332" s="5" t="str">
        <f>VLOOKUP(globalfreelancepreprocesseddata!A332,worksheet!A:P,3,FALSE)</f>
        <v>Tammy Hill</v>
      </c>
      <c r="C332" s="5" t="str">
        <f>VLOOKUP(globalfreelancepreprocesseddata!A332,worksheet!A:P,5,FALSE)</f>
        <v>Female</v>
      </c>
      <c r="D332" s="5">
        <f>VLOOKUP(globalfreelancepreprocesseddata!A332,worksheet!A:P,6,FALSE)</f>
        <v>53</v>
      </c>
      <c r="E332" s="5" t="str">
        <f>VLOOKUP(globalfreelancepreprocesseddata!A332,worksheet!A:P,7,FALSE)</f>
        <v>United States</v>
      </c>
      <c r="F332" s="5" t="str">
        <f>VLOOKUP(globalfreelancepreprocesseddata!A332,worksheet!A:P,8,FALSE)</f>
        <v>English</v>
      </c>
      <c r="G332" s="5" t="str">
        <f>VLOOKUP(globalfreelancepreprocesseddata!A332,worksheet!A:P,9,FALSE)</f>
        <v>Mobile Apps</v>
      </c>
      <c r="H332" s="5">
        <f>VLOOKUP(globalfreelancepreprocesseddata!A332,worksheet!A:P,10,FALSE)</f>
        <v>33</v>
      </c>
      <c r="I332" s="6">
        <f>VLOOKUP(globalfreelancepreprocesseddata!A332,worksheet!A:P,12,FALSE)</f>
        <v>100</v>
      </c>
      <c r="J332" s="5">
        <f>VLOOKUP(globalfreelancepreprocesseddata!A332,worksheet!A:P,13,FALSE)</f>
        <v>3</v>
      </c>
      <c r="K332" s="5">
        <f>VLOOKUP(globalfreelancepreprocesseddata!A332,worksheet!A:P,14,FALSE)</f>
        <v>1</v>
      </c>
      <c r="L332" s="7">
        <f>VLOOKUP(globalfreelancepreprocesseddata!A332,worksheet!A:P,16,FALSE)</f>
        <v>0.75</v>
      </c>
    </row>
    <row r="333" spans="1:12" x14ac:dyDescent="0.35">
      <c r="A333" s="5" t="s">
        <v>740</v>
      </c>
      <c r="B333" s="5" t="str">
        <f>VLOOKUP(globalfreelancepreprocesseddata!A333,worksheet!A:P,3,FALSE)</f>
        <v>Nathaniel Flores</v>
      </c>
      <c r="C333" s="5" t="str">
        <f>VLOOKUP(globalfreelancepreprocesseddata!A333,worksheet!A:P,5,FALSE)</f>
        <v>Male</v>
      </c>
      <c r="D333" s="5">
        <f>VLOOKUP(globalfreelancepreprocesseddata!A333,worksheet!A:P,6,FALSE)</f>
        <v>59</v>
      </c>
      <c r="E333" s="5" t="str">
        <f>VLOOKUP(globalfreelancepreprocesseddata!A333,worksheet!A:P,7,FALSE)</f>
        <v>United Kingdom</v>
      </c>
      <c r="F333" s="5" t="str">
        <f>VLOOKUP(globalfreelancepreprocesseddata!A333,worksheet!A:P,8,FALSE)</f>
        <v>English</v>
      </c>
      <c r="G333" s="5" t="str">
        <f>VLOOKUP(globalfreelancepreprocesseddata!A333,worksheet!A:P,9,FALSE)</f>
        <v>Mobile Apps</v>
      </c>
      <c r="H333" s="5">
        <f>VLOOKUP(globalfreelancepreprocesseddata!A333,worksheet!A:P,10,FALSE)</f>
        <v>22</v>
      </c>
      <c r="I333" s="6">
        <f>VLOOKUP(globalfreelancepreprocesseddata!A333,worksheet!A:P,12,FALSE)</f>
        <v>40</v>
      </c>
      <c r="J333" s="5">
        <f>VLOOKUP(globalfreelancepreprocesseddata!A333,worksheet!A:P,13,FALSE)</f>
        <v>1.1000000000000001</v>
      </c>
      <c r="K333" s="5">
        <f>VLOOKUP(globalfreelancepreprocesseddata!A333,worksheet!A:P,14,FALSE)</f>
        <v>1</v>
      </c>
      <c r="L333" s="7">
        <f>VLOOKUP(globalfreelancepreprocesseddata!A333,worksheet!A:P,16,FALSE)</f>
        <v>0.61</v>
      </c>
    </row>
    <row r="334" spans="1:12" x14ac:dyDescent="0.35">
      <c r="A334" s="5" t="s">
        <v>742</v>
      </c>
      <c r="B334" s="5" t="str">
        <f>VLOOKUP(globalfreelancepreprocesseddata!A334,worksheet!A:P,3,FALSE)</f>
        <v>Edwin Carter</v>
      </c>
      <c r="C334" s="5" t="str">
        <f>VLOOKUP(globalfreelancepreprocesseddata!A334,worksheet!A:P,5,FALSE)</f>
        <v>Male</v>
      </c>
      <c r="D334" s="5">
        <f>VLOOKUP(globalfreelancepreprocesseddata!A334,worksheet!A:P,6,FALSE)</f>
        <v>60</v>
      </c>
      <c r="E334" s="5" t="str">
        <f>VLOOKUP(globalfreelancepreprocesseddata!A334,worksheet!A:P,7,FALSE)</f>
        <v>United States</v>
      </c>
      <c r="F334" s="5" t="str">
        <f>VLOOKUP(globalfreelancepreprocesseddata!A334,worksheet!A:P,8,FALSE)</f>
        <v>English</v>
      </c>
      <c r="G334" s="5" t="str">
        <f>VLOOKUP(globalfreelancepreprocesseddata!A334,worksheet!A:P,9,FALSE)</f>
        <v>DevOps</v>
      </c>
      <c r="H334" s="5">
        <f>VLOOKUP(globalfreelancepreprocesseddata!A334,worksheet!A:P,10,FALSE)</f>
        <v>34</v>
      </c>
      <c r="I334" s="6">
        <f>VLOOKUP(globalfreelancepreprocesseddata!A334,worksheet!A:P,12,FALSE)</f>
        <v>40</v>
      </c>
      <c r="J334" s="5">
        <f>VLOOKUP(globalfreelancepreprocesseddata!A334,worksheet!A:P,13,FALSE)</f>
        <v>2.5</v>
      </c>
      <c r="K334" s="5">
        <f>VLOOKUP(globalfreelancepreprocesseddata!A334,worksheet!A:P,14,FALSE)</f>
        <v>0</v>
      </c>
      <c r="L334" s="7">
        <f>VLOOKUP(globalfreelancepreprocesseddata!A334,worksheet!A:P,16,FALSE)</f>
        <v>0.93</v>
      </c>
    </row>
    <row r="335" spans="1:12" x14ac:dyDescent="0.35">
      <c r="A335" s="5" t="s">
        <v>744</v>
      </c>
      <c r="B335" s="5" t="str">
        <f>VLOOKUP(globalfreelancepreprocesseddata!A335,worksheet!A:P,3,FALSE)</f>
        <v>Patricia Miller</v>
      </c>
      <c r="C335" s="5" t="str">
        <f>VLOOKUP(globalfreelancepreprocesseddata!A335,worksheet!A:P,5,FALSE)</f>
        <v>Female</v>
      </c>
      <c r="D335" s="5">
        <f>VLOOKUP(globalfreelancepreprocesseddata!A335,worksheet!A:P,6,FALSE)</f>
        <v>33</v>
      </c>
      <c r="E335" s="5" t="str">
        <f>VLOOKUP(globalfreelancepreprocesseddata!A335,worksheet!A:P,7,FALSE)</f>
        <v>Germany</v>
      </c>
      <c r="F335" s="5" t="str">
        <f>VLOOKUP(globalfreelancepreprocesseddata!A335,worksheet!A:P,8,FALSE)</f>
        <v>German</v>
      </c>
      <c r="G335" s="5" t="str">
        <f>VLOOKUP(globalfreelancepreprocesseddata!A335,worksheet!A:P,9,FALSE)</f>
        <v>Mobile Apps</v>
      </c>
      <c r="H335" s="5">
        <f>VLOOKUP(globalfreelancepreprocesseddata!A335,worksheet!A:P,10,FALSE)</f>
        <v>8</v>
      </c>
      <c r="I335" s="6" t="str">
        <f>VLOOKUP(globalfreelancepreprocesseddata!A335,worksheet!A:P,12,FALSE)</f>
        <v>$ 30</v>
      </c>
      <c r="J335" s="5">
        <f>VLOOKUP(globalfreelancepreprocesseddata!A335,worksheet!A:P,13,FALSE)</f>
        <v>3.6</v>
      </c>
      <c r="K335" s="5">
        <f>VLOOKUP(globalfreelancepreprocesseddata!A335,worksheet!A:P,14,FALSE)</f>
        <v>1</v>
      </c>
      <c r="L335" s="7">
        <f>VLOOKUP(globalfreelancepreprocesseddata!A335,worksheet!A:P,16,FALSE)</f>
        <v>0.16</v>
      </c>
    </row>
    <row r="336" spans="1:12" x14ac:dyDescent="0.35">
      <c r="A336" s="5" t="s">
        <v>746</v>
      </c>
      <c r="B336" s="5" t="str">
        <f>VLOOKUP(globalfreelancepreprocesseddata!A336,worksheet!A:P,3,FALSE)</f>
        <v>Rebecca Schneider</v>
      </c>
      <c r="C336" s="5" t="str">
        <f>VLOOKUP(globalfreelancepreprocesseddata!A336,worksheet!A:P,5,FALSE)</f>
        <v>Female</v>
      </c>
      <c r="D336" s="5">
        <f>VLOOKUP(globalfreelancepreprocesseddata!A336,worksheet!A:P,6,FALSE)</f>
        <v>21</v>
      </c>
      <c r="E336" s="5" t="str">
        <f>VLOOKUP(globalfreelancepreprocesseddata!A336,worksheet!A:P,7,FALSE)</f>
        <v>Argentina</v>
      </c>
      <c r="F336" s="5" t="str">
        <f>VLOOKUP(globalfreelancepreprocesseddata!A336,worksheet!A:P,8,FALSE)</f>
        <v>Spanish</v>
      </c>
      <c r="G336" s="5" t="str">
        <f>VLOOKUP(globalfreelancepreprocesseddata!A336,worksheet!A:P,9,FALSE)</f>
        <v>Web Development</v>
      </c>
      <c r="H336" s="5">
        <f>VLOOKUP(globalfreelancepreprocesseddata!A336,worksheet!A:P,10,FALSE)</f>
        <v>1</v>
      </c>
      <c r="I336" s="6" t="str">
        <f>VLOOKUP(globalfreelancepreprocesseddata!A336,worksheet!A:P,12,FALSE)</f>
        <v>$ 20</v>
      </c>
      <c r="J336" s="5">
        <f>VLOOKUP(globalfreelancepreprocesseddata!A336,worksheet!A:P,13,FALSE)</f>
        <v>3</v>
      </c>
      <c r="K336" s="5">
        <f>VLOOKUP(globalfreelancepreprocesseddata!A336,worksheet!A:P,14,FALSE)</f>
        <v>0</v>
      </c>
      <c r="L336" s="7">
        <f>VLOOKUP(globalfreelancepreprocesseddata!A336,worksheet!A:P,16,FALSE)</f>
        <v>0.99</v>
      </c>
    </row>
    <row r="337" spans="1:12" x14ac:dyDescent="0.35">
      <c r="A337" s="5" t="s">
        <v>748</v>
      </c>
      <c r="B337" s="5" t="str">
        <f>VLOOKUP(globalfreelancepreprocesseddata!A337,worksheet!A:P,3,FALSE)</f>
        <v>John Greene</v>
      </c>
      <c r="C337" s="5" t="str">
        <f>VLOOKUP(globalfreelancepreprocesseddata!A337,worksheet!A:P,5,FALSE)</f>
        <v>Male</v>
      </c>
      <c r="D337" s="5">
        <f>VLOOKUP(globalfreelancepreprocesseddata!A337,worksheet!A:P,6,FALSE)</f>
        <v>54</v>
      </c>
      <c r="E337" s="5" t="str">
        <f>VLOOKUP(globalfreelancepreprocesseddata!A337,worksheet!A:P,7,FALSE)</f>
        <v>United Kingdom</v>
      </c>
      <c r="F337" s="5" t="str">
        <f>VLOOKUP(globalfreelancepreprocesseddata!A337,worksheet!A:P,8,FALSE)</f>
        <v>English</v>
      </c>
      <c r="G337" s="5" t="str">
        <f>VLOOKUP(globalfreelancepreprocesseddata!A337,worksheet!A:P,9,FALSE)</f>
        <v>UI/UX Design</v>
      </c>
      <c r="H337" s="5">
        <f>VLOOKUP(globalfreelancepreprocesseddata!A337,worksheet!A:P,10,FALSE)</f>
        <v>20</v>
      </c>
      <c r="I337" s="6">
        <f>VLOOKUP(globalfreelancepreprocesseddata!A337,worksheet!A:P,12,FALSE)</f>
        <v>50</v>
      </c>
      <c r="J337" s="5">
        <f>VLOOKUP(globalfreelancepreprocesseddata!A337,worksheet!A:P,13,FALSE)</f>
        <v>4.4000000000000004</v>
      </c>
      <c r="K337" s="5">
        <f>VLOOKUP(globalfreelancepreprocesseddata!A337,worksheet!A:P,14,FALSE)</f>
        <v>0</v>
      </c>
      <c r="L337" s="7">
        <f>VLOOKUP(globalfreelancepreprocesseddata!A337,worksheet!A:P,16,FALSE)</f>
        <v>0.73</v>
      </c>
    </row>
    <row r="338" spans="1:12" x14ac:dyDescent="0.35">
      <c r="A338" s="5" t="s">
        <v>750</v>
      </c>
      <c r="B338" s="5" t="str">
        <f>VLOOKUP(globalfreelancepreprocesseddata!A338,worksheet!A:P,3,FALSE)</f>
        <v>Brittany Mcdowell</v>
      </c>
      <c r="C338" s="5" t="str">
        <f>VLOOKUP(globalfreelancepreprocesseddata!A338,worksheet!A:P,5,FALSE)</f>
        <v>Female</v>
      </c>
      <c r="D338" s="5">
        <f>VLOOKUP(globalfreelancepreprocesseddata!A338,worksheet!A:P,6,FALSE)</f>
        <v>33</v>
      </c>
      <c r="E338" s="5" t="str">
        <f>VLOOKUP(globalfreelancepreprocesseddata!A338,worksheet!A:P,7,FALSE)</f>
        <v>United States</v>
      </c>
      <c r="F338" s="5" t="str">
        <f>VLOOKUP(globalfreelancepreprocesseddata!A338,worksheet!A:P,8,FALSE)</f>
        <v>English</v>
      </c>
      <c r="G338" s="5" t="str">
        <f>VLOOKUP(globalfreelancepreprocesseddata!A338,worksheet!A:P,9,FALSE)</f>
        <v>Graphic Design</v>
      </c>
      <c r="H338" s="5">
        <f>VLOOKUP(globalfreelancepreprocesseddata!A338,worksheet!A:P,10,FALSE)</f>
        <v>11</v>
      </c>
      <c r="I338" s="6">
        <f>VLOOKUP(globalfreelancepreprocesseddata!A338,worksheet!A:P,12,FALSE)</f>
        <v>75</v>
      </c>
      <c r="J338" s="5">
        <f>VLOOKUP(globalfreelancepreprocesseddata!A338,worksheet!A:P,13,FALSE)</f>
        <v>2.1</v>
      </c>
      <c r="K338" s="5">
        <f>VLOOKUP(globalfreelancepreprocesseddata!A338,worksheet!A:P,14,FALSE)</f>
        <v>0</v>
      </c>
      <c r="L338" s="7">
        <f>VLOOKUP(globalfreelancepreprocesseddata!A338,worksheet!A:P,16,FALSE)</f>
        <v>0.96</v>
      </c>
    </row>
    <row r="339" spans="1:12" x14ac:dyDescent="0.35">
      <c r="A339" s="5" t="s">
        <v>752</v>
      </c>
      <c r="B339" s="5" t="str">
        <f>VLOOKUP(globalfreelancepreprocesseddata!A339,worksheet!A:P,3,FALSE)</f>
        <v>Lori Miller</v>
      </c>
      <c r="C339" s="5" t="str">
        <f>VLOOKUP(globalfreelancepreprocesseddata!A339,worksheet!A:P,5,FALSE)</f>
        <v>Female</v>
      </c>
      <c r="D339" s="5">
        <f>VLOOKUP(globalfreelancepreprocesseddata!A339,worksheet!A:P,6,FALSE)</f>
        <v>57</v>
      </c>
      <c r="E339" s="5" t="str">
        <f>VLOOKUP(globalfreelancepreprocesseddata!A339,worksheet!A:P,7,FALSE)</f>
        <v>Turkey</v>
      </c>
      <c r="F339" s="5" t="str">
        <f>VLOOKUP(globalfreelancepreprocesseddata!A339,worksheet!A:P,8,FALSE)</f>
        <v>Turkish</v>
      </c>
      <c r="G339" s="5" t="str">
        <f>VLOOKUP(globalfreelancepreprocesseddata!A339,worksheet!A:P,9,FALSE)</f>
        <v>Data Analysis</v>
      </c>
      <c r="H339" s="5">
        <f>VLOOKUP(globalfreelancepreprocesseddata!A339,worksheet!A:P,10,FALSE)</f>
        <v>2</v>
      </c>
      <c r="I339" s="6">
        <f>VLOOKUP(globalfreelancepreprocesseddata!A339,worksheet!A:P,12,FALSE)</f>
        <v>40</v>
      </c>
      <c r="J339" s="5">
        <f>VLOOKUP(globalfreelancepreprocesseddata!A339,worksheet!A:P,13,FALSE)</f>
        <v>0</v>
      </c>
      <c r="K339" s="5">
        <f>VLOOKUP(globalfreelancepreprocesseddata!A339,worksheet!A:P,14,FALSE)</f>
        <v>0</v>
      </c>
      <c r="L339" s="7">
        <f>VLOOKUP(globalfreelancepreprocesseddata!A339,worksheet!A:P,16,FALSE)</f>
        <v>0.6</v>
      </c>
    </row>
    <row r="340" spans="1:12" x14ac:dyDescent="0.35">
      <c r="A340" s="5" t="s">
        <v>754</v>
      </c>
      <c r="B340" s="5" t="str">
        <f>VLOOKUP(globalfreelancepreprocesseddata!A340,worksheet!A:P,3,FALSE)</f>
        <v>Joseph Robinson</v>
      </c>
      <c r="C340" s="5" t="str">
        <f>VLOOKUP(globalfreelancepreprocesseddata!A340,worksheet!A:P,5,FALSE)</f>
        <v>Male</v>
      </c>
      <c r="D340" s="5">
        <f>VLOOKUP(globalfreelancepreprocesseddata!A340,worksheet!A:P,6,FALSE)</f>
        <v>36</v>
      </c>
      <c r="E340" s="5" t="str">
        <f>VLOOKUP(globalfreelancepreprocesseddata!A340,worksheet!A:P,7,FALSE)</f>
        <v>South Korea</v>
      </c>
      <c r="F340" s="5" t="str">
        <f>VLOOKUP(globalfreelancepreprocesseddata!A340,worksheet!A:P,8,FALSE)</f>
        <v>Korean</v>
      </c>
      <c r="G340" s="5" t="str">
        <f>VLOOKUP(globalfreelancepreprocesseddata!A340,worksheet!A:P,9,FALSE)</f>
        <v>Graphic Design</v>
      </c>
      <c r="H340" s="5">
        <f>VLOOKUP(globalfreelancepreprocesseddata!A340,worksheet!A:P,10,FALSE)</f>
        <v>6</v>
      </c>
      <c r="I340" s="6">
        <f>VLOOKUP(globalfreelancepreprocesseddata!A340,worksheet!A:P,12,FALSE)</f>
        <v>20</v>
      </c>
      <c r="J340" s="5">
        <f>VLOOKUP(globalfreelancepreprocesseddata!A340,worksheet!A:P,13,FALSE)</f>
        <v>1</v>
      </c>
      <c r="K340" s="5">
        <f>VLOOKUP(globalfreelancepreprocesseddata!A340,worksheet!A:P,14,FALSE)</f>
        <v>1</v>
      </c>
      <c r="L340" s="7">
        <f>VLOOKUP(globalfreelancepreprocesseddata!A340,worksheet!A:P,16,FALSE)</f>
        <v>0.64</v>
      </c>
    </row>
    <row r="341" spans="1:12" x14ac:dyDescent="0.35">
      <c r="A341" s="5" t="s">
        <v>756</v>
      </c>
      <c r="B341" s="5" t="str">
        <f>VLOOKUP(globalfreelancepreprocesseddata!A341,worksheet!A:P,3,FALSE)</f>
        <v>Aaron Pruitt</v>
      </c>
      <c r="C341" s="5" t="str">
        <f>VLOOKUP(globalfreelancepreprocesseddata!A341,worksheet!A:P,5,FALSE)</f>
        <v>Male</v>
      </c>
      <c r="D341" s="5">
        <f>VLOOKUP(globalfreelancepreprocesseddata!A341,worksheet!A:P,6,FALSE)</f>
        <v>50</v>
      </c>
      <c r="E341" s="5" t="str">
        <f>VLOOKUP(globalfreelancepreprocesseddata!A341,worksheet!A:P,7,FALSE)</f>
        <v>Germany</v>
      </c>
      <c r="F341" s="5" t="str">
        <f>VLOOKUP(globalfreelancepreprocesseddata!A341,worksheet!A:P,8,FALSE)</f>
        <v>German</v>
      </c>
      <c r="G341" s="5" t="str">
        <f>VLOOKUP(globalfreelancepreprocesseddata!A341,worksheet!A:P,9,FALSE)</f>
        <v>Blockchain Development</v>
      </c>
      <c r="H341" s="5">
        <f>VLOOKUP(globalfreelancepreprocesseddata!A341,worksheet!A:P,10,FALSE)</f>
        <v>20</v>
      </c>
      <c r="I341" s="6" t="str">
        <f>VLOOKUP(globalfreelancepreprocesseddata!A341,worksheet!A:P,12,FALSE)</f>
        <v>$ 30</v>
      </c>
      <c r="J341" s="5">
        <f>VLOOKUP(globalfreelancepreprocesseddata!A341,worksheet!A:P,13,FALSE)</f>
        <v>0</v>
      </c>
      <c r="K341" s="5">
        <f>VLOOKUP(globalfreelancepreprocesseddata!A341,worksheet!A:P,14,FALSE)</f>
        <v>0</v>
      </c>
      <c r="L341" s="7">
        <f>VLOOKUP(globalfreelancepreprocesseddata!A341,worksheet!A:P,16,FALSE)</f>
        <v>0.16</v>
      </c>
    </row>
    <row r="342" spans="1:12" x14ac:dyDescent="0.35">
      <c r="A342" s="5" t="s">
        <v>758</v>
      </c>
      <c r="B342" s="5" t="str">
        <f>VLOOKUP(globalfreelancepreprocesseddata!A342,worksheet!A:P,3,FALSE)</f>
        <v>Victoria Miller</v>
      </c>
      <c r="C342" s="5" t="str">
        <f>VLOOKUP(globalfreelancepreprocesseddata!A342,worksheet!A:P,5,FALSE)</f>
        <v>Female</v>
      </c>
      <c r="D342" s="5">
        <f>VLOOKUP(globalfreelancepreprocesseddata!A342,worksheet!A:P,6,FALSE)</f>
        <v>37</v>
      </c>
      <c r="E342" s="5" t="str">
        <f>VLOOKUP(globalfreelancepreprocesseddata!A342,worksheet!A:P,7,FALSE)</f>
        <v>Canada</v>
      </c>
      <c r="F342" s="5" t="str">
        <f>VLOOKUP(globalfreelancepreprocesseddata!A342,worksheet!A:P,8,FALSE)</f>
        <v>English</v>
      </c>
      <c r="G342" s="5" t="str">
        <f>VLOOKUP(globalfreelancepreprocesseddata!A342,worksheet!A:P,9,FALSE)</f>
        <v>DevOps</v>
      </c>
      <c r="H342" s="5">
        <f>VLOOKUP(globalfreelancepreprocesseddata!A342,worksheet!A:P,10,FALSE)</f>
        <v>11</v>
      </c>
      <c r="I342" s="6" t="str">
        <f>VLOOKUP(globalfreelancepreprocesseddata!A342,worksheet!A:P,12,FALSE)</f>
        <v>$ 20</v>
      </c>
      <c r="J342" s="5">
        <f>VLOOKUP(globalfreelancepreprocesseddata!A342,worksheet!A:P,13,FALSE)</f>
        <v>4.9000000000000004</v>
      </c>
      <c r="K342" s="5">
        <f>VLOOKUP(globalfreelancepreprocesseddata!A342,worksheet!A:P,14,FALSE)</f>
        <v>0</v>
      </c>
      <c r="L342" s="7">
        <f>VLOOKUP(globalfreelancepreprocesseddata!A342,worksheet!A:P,16,FALSE)</f>
        <v>0.16</v>
      </c>
    </row>
    <row r="343" spans="1:12" x14ac:dyDescent="0.35">
      <c r="A343" s="5" t="s">
        <v>760</v>
      </c>
      <c r="B343" s="5" t="str">
        <f>VLOOKUP(globalfreelancepreprocesseddata!A343,worksheet!A:P,3,FALSE)</f>
        <v>Clarence Vega</v>
      </c>
      <c r="C343" s="5" t="str">
        <f>VLOOKUP(globalfreelancepreprocesseddata!A343,worksheet!A:P,5,FALSE)</f>
        <v>Male</v>
      </c>
      <c r="D343" s="5">
        <f>VLOOKUP(globalfreelancepreprocesseddata!A343,worksheet!A:P,6,FALSE)</f>
        <v>53</v>
      </c>
      <c r="E343" s="5" t="str">
        <f>VLOOKUP(globalfreelancepreprocesseddata!A343,worksheet!A:P,7,FALSE)</f>
        <v>Italy</v>
      </c>
      <c r="F343" s="5" t="str">
        <f>VLOOKUP(globalfreelancepreprocesseddata!A343,worksheet!A:P,8,FALSE)</f>
        <v>Italian</v>
      </c>
      <c r="G343" s="5" t="str">
        <f>VLOOKUP(globalfreelancepreprocesseddata!A343,worksheet!A:P,9,FALSE)</f>
        <v>AI</v>
      </c>
      <c r="H343" s="5">
        <f>VLOOKUP(globalfreelancepreprocesseddata!A343,worksheet!A:P,10,FALSE)</f>
        <v>4</v>
      </c>
      <c r="I343" s="6">
        <f>VLOOKUP(globalfreelancepreprocesseddata!A343,worksheet!A:P,12,FALSE)</f>
        <v>30</v>
      </c>
      <c r="J343" s="5">
        <f>VLOOKUP(globalfreelancepreprocesseddata!A343,worksheet!A:P,13,FALSE)</f>
        <v>4.7</v>
      </c>
      <c r="K343" s="5">
        <f>VLOOKUP(globalfreelancepreprocesseddata!A343,worksheet!A:P,14,FALSE)</f>
        <v>1</v>
      </c>
      <c r="L343" s="7">
        <f>VLOOKUP(globalfreelancepreprocesseddata!A343,worksheet!A:P,16,FALSE)</f>
        <v>0.99</v>
      </c>
    </row>
    <row r="344" spans="1:12" x14ac:dyDescent="0.35">
      <c r="A344" s="5" t="s">
        <v>762</v>
      </c>
      <c r="B344" s="5" t="str">
        <f>VLOOKUP(globalfreelancepreprocesseddata!A344,worksheet!A:P,3,FALSE)</f>
        <v>Deborah Day</v>
      </c>
      <c r="C344" s="5" t="str">
        <f>VLOOKUP(globalfreelancepreprocesseddata!A344,worksheet!A:P,5,FALSE)</f>
        <v>Female</v>
      </c>
      <c r="D344" s="5">
        <f>VLOOKUP(globalfreelancepreprocesseddata!A344,worksheet!A:P,6,FALSE)</f>
        <v>22</v>
      </c>
      <c r="E344" s="5" t="str">
        <f>VLOOKUP(globalfreelancepreprocesseddata!A344,worksheet!A:P,7,FALSE)</f>
        <v>Italy</v>
      </c>
      <c r="F344" s="5" t="str">
        <f>VLOOKUP(globalfreelancepreprocesseddata!A344,worksheet!A:P,8,FALSE)</f>
        <v>Italian</v>
      </c>
      <c r="G344" s="5" t="str">
        <f>VLOOKUP(globalfreelancepreprocesseddata!A344,worksheet!A:P,9,FALSE)</f>
        <v>Blockchain Development</v>
      </c>
      <c r="H344" s="5">
        <f>VLOOKUP(globalfreelancepreprocesseddata!A344,worksheet!A:P,10,FALSE)</f>
        <v>3</v>
      </c>
      <c r="I344" s="6" t="str">
        <f>VLOOKUP(globalfreelancepreprocesseddata!A344,worksheet!A:P,12,FALSE)</f>
        <v>$ 40</v>
      </c>
      <c r="J344" s="5">
        <f>VLOOKUP(globalfreelancepreprocesseddata!A344,worksheet!A:P,13,FALSE)</f>
        <v>2.1</v>
      </c>
      <c r="K344" s="5">
        <f>VLOOKUP(globalfreelancepreprocesseddata!A344,worksheet!A:P,14,FALSE)</f>
        <v>0</v>
      </c>
      <c r="L344" s="7">
        <f>VLOOKUP(globalfreelancepreprocesseddata!A344,worksheet!A:P,16,FALSE)</f>
        <v>0.16</v>
      </c>
    </row>
    <row r="345" spans="1:12" x14ac:dyDescent="0.35">
      <c r="A345" s="5" t="s">
        <v>764</v>
      </c>
      <c r="B345" s="5" t="str">
        <f>VLOOKUP(globalfreelancepreprocesseddata!A345,worksheet!A:P,3,FALSE)</f>
        <v>Nicole Rocha</v>
      </c>
      <c r="C345" s="5" t="str">
        <f>VLOOKUP(globalfreelancepreprocesseddata!A345,worksheet!A:P,5,FALSE)</f>
        <v>Female</v>
      </c>
      <c r="D345" s="5">
        <f>VLOOKUP(globalfreelancepreprocesseddata!A345,worksheet!A:P,6,FALSE)</f>
        <v>55</v>
      </c>
      <c r="E345" s="5" t="str">
        <f>VLOOKUP(globalfreelancepreprocesseddata!A345,worksheet!A:P,7,FALSE)</f>
        <v>Netherlands</v>
      </c>
      <c r="F345" s="5" t="str">
        <f>VLOOKUP(globalfreelancepreprocesseddata!A345,worksheet!A:P,8,FALSE)</f>
        <v>Dutch</v>
      </c>
      <c r="G345" s="5" t="str">
        <f>VLOOKUP(globalfreelancepreprocesseddata!A345,worksheet!A:P,9,FALSE)</f>
        <v>Mobile Apps</v>
      </c>
      <c r="H345" s="5">
        <f>VLOOKUP(globalfreelancepreprocesseddata!A345,worksheet!A:P,10,FALSE)</f>
        <v>33</v>
      </c>
      <c r="I345" s="6">
        <f>VLOOKUP(globalfreelancepreprocesseddata!A345,worksheet!A:P,12,FALSE)</f>
        <v>40</v>
      </c>
      <c r="J345" s="5">
        <f>VLOOKUP(globalfreelancepreprocesseddata!A345,worksheet!A:P,13,FALSE)</f>
        <v>1.5</v>
      </c>
      <c r="K345" s="5">
        <f>VLOOKUP(globalfreelancepreprocesseddata!A345,worksheet!A:P,14,FALSE)</f>
        <v>1</v>
      </c>
      <c r="L345" s="7">
        <f>VLOOKUP(globalfreelancepreprocesseddata!A345,worksheet!A:P,16,FALSE)</f>
        <v>0.71</v>
      </c>
    </row>
    <row r="346" spans="1:12" x14ac:dyDescent="0.35">
      <c r="A346" s="5" t="s">
        <v>766</v>
      </c>
      <c r="B346" s="5" t="str">
        <f>VLOOKUP(globalfreelancepreprocesseddata!A346,worksheet!A:P,3,FALSE)</f>
        <v>Elijah Green</v>
      </c>
      <c r="C346" s="5" t="str">
        <f>VLOOKUP(globalfreelancepreprocesseddata!A346,worksheet!A:P,5,FALSE)</f>
        <v>Male</v>
      </c>
      <c r="D346" s="5">
        <f>VLOOKUP(globalfreelancepreprocesseddata!A346,worksheet!A:P,6,FALSE)</f>
        <v>22</v>
      </c>
      <c r="E346" s="5" t="str">
        <f>VLOOKUP(globalfreelancepreprocesseddata!A346,worksheet!A:P,7,FALSE)</f>
        <v>Australia</v>
      </c>
      <c r="F346" s="5" t="str">
        <f>VLOOKUP(globalfreelancepreprocesseddata!A346,worksheet!A:P,8,FALSE)</f>
        <v>English</v>
      </c>
      <c r="G346" s="5" t="str">
        <f>VLOOKUP(globalfreelancepreprocesseddata!A346,worksheet!A:P,9,FALSE)</f>
        <v>Cybersecurity</v>
      </c>
      <c r="H346" s="5">
        <f>VLOOKUP(globalfreelancepreprocesseddata!A346,worksheet!A:P,10,FALSE)</f>
        <v>1</v>
      </c>
      <c r="I346" s="6">
        <f>VLOOKUP(globalfreelancepreprocesseddata!A346,worksheet!A:P,12,FALSE)</f>
        <v>40</v>
      </c>
      <c r="J346" s="5">
        <f>VLOOKUP(globalfreelancepreprocesseddata!A346,worksheet!A:P,13,FALSE)</f>
        <v>2.6</v>
      </c>
      <c r="K346" s="5">
        <f>VLOOKUP(globalfreelancepreprocesseddata!A346,worksheet!A:P,14,FALSE)</f>
        <v>0</v>
      </c>
      <c r="L346" s="7">
        <f>VLOOKUP(globalfreelancepreprocesseddata!A346,worksheet!A:P,16,FALSE)</f>
        <v>0.72</v>
      </c>
    </row>
    <row r="347" spans="1:12" x14ac:dyDescent="0.35">
      <c r="A347" s="5" t="s">
        <v>768</v>
      </c>
      <c r="B347" s="5" t="str">
        <f>VLOOKUP(globalfreelancepreprocesseddata!A347,worksheet!A:P,3,FALSE)</f>
        <v>Emily Johnson</v>
      </c>
      <c r="C347" s="5" t="str">
        <f>VLOOKUP(globalfreelancepreprocesseddata!A347,worksheet!A:P,5,FALSE)</f>
        <v>Female</v>
      </c>
      <c r="D347" s="5">
        <f>VLOOKUP(globalfreelancepreprocesseddata!A347,worksheet!A:P,6,FALSE)</f>
        <v>45</v>
      </c>
      <c r="E347" s="5" t="str">
        <f>VLOOKUP(globalfreelancepreprocesseddata!A347,worksheet!A:P,7,FALSE)</f>
        <v>Turkey</v>
      </c>
      <c r="F347" s="5" t="str">
        <f>VLOOKUP(globalfreelancepreprocesseddata!A347,worksheet!A:P,8,FALSE)</f>
        <v>Turkish</v>
      </c>
      <c r="G347" s="5" t="str">
        <f>VLOOKUP(globalfreelancepreprocesseddata!A347,worksheet!A:P,9,FALSE)</f>
        <v>Web Development</v>
      </c>
      <c r="H347" s="5">
        <f>VLOOKUP(globalfreelancepreprocesseddata!A347,worksheet!A:P,10,FALSE)</f>
        <v>23</v>
      </c>
      <c r="I347" s="6" t="str">
        <f>VLOOKUP(globalfreelancepreprocesseddata!A347,worksheet!A:P,12,FALSE)</f>
        <v>$ 50</v>
      </c>
      <c r="J347" s="5">
        <f>VLOOKUP(globalfreelancepreprocesseddata!A347,worksheet!A:P,13,FALSE)</f>
        <v>0</v>
      </c>
      <c r="K347" s="5">
        <f>VLOOKUP(globalfreelancepreprocesseddata!A347,worksheet!A:P,14,FALSE)</f>
        <v>0</v>
      </c>
      <c r="L347" s="7">
        <f>VLOOKUP(globalfreelancepreprocesseddata!A347,worksheet!A:P,16,FALSE)</f>
        <v>0.66</v>
      </c>
    </row>
    <row r="348" spans="1:12" x14ac:dyDescent="0.35">
      <c r="A348" s="5" t="s">
        <v>770</v>
      </c>
      <c r="B348" s="5" t="str">
        <f>VLOOKUP(globalfreelancepreprocesseddata!A348,worksheet!A:P,3,FALSE)</f>
        <v>Richard Velasquez Jr.</v>
      </c>
      <c r="C348" s="5" t="str">
        <f>VLOOKUP(globalfreelancepreprocesseddata!A348,worksheet!A:P,5,FALSE)</f>
        <v>Male</v>
      </c>
      <c r="D348" s="5">
        <f>VLOOKUP(globalfreelancepreprocesseddata!A348,worksheet!A:P,6,FALSE)</f>
        <v>36</v>
      </c>
      <c r="E348" s="5" t="str">
        <f>VLOOKUP(globalfreelancepreprocesseddata!A348,worksheet!A:P,7,FALSE)</f>
        <v>France</v>
      </c>
      <c r="F348" s="5" t="str">
        <f>VLOOKUP(globalfreelancepreprocesseddata!A348,worksheet!A:P,8,FALSE)</f>
        <v>French</v>
      </c>
      <c r="G348" s="5" t="str">
        <f>VLOOKUP(globalfreelancepreprocesseddata!A348,worksheet!A:P,9,FALSE)</f>
        <v>Data Analysis</v>
      </c>
      <c r="H348" s="5">
        <f>VLOOKUP(globalfreelancepreprocesseddata!A348,worksheet!A:P,10,FALSE)</f>
        <v>13</v>
      </c>
      <c r="I348" s="6">
        <f>VLOOKUP(globalfreelancepreprocesseddata!A348,worksheet!A:P,12,FALSE)</f>
        <v>40</v>
      </c>
      <c r="J348" s="5">
        <f>VLOOKUP(globalfreelancepreprocesseddata!A348,worksheet!A:P,13,FALSE)</f>
        <v>3</v>
      </c>
      <c r="K348" s="5">
        <f>VLOOKUP(globalfreelancepreprocesseddata!A348,worksheet!A:P,14,FALSE)</f>
        <v>0</v>
      </c>
      <c r="L348" s="7">
        <f>VLOOKUP(globalfreelancepreprocesseddata!A348,worksheet!A:P,16,FALSE)</f>
        <v>0.78</v>
      </c>
    </row>
    <row r="349" spans="1:12" x14ac:dyDescent="0.35">
      <c r="A349" s="5" t="s">
        <v>772</v>
      </c>
      <c r="B349" s="5" t="str">
        <f>VLOOKUP(globalfreelancepreprocesseddata!A349,worksheet!A:P,3,FALSE)</f>
        <v>Kurt Wilson</v>
      </c>
      <c r="C349" s="5" t="str">
        <f>VLOOKUP(globalfreelancepreprocesseddata!A349,worksheet!A:P,5,FALSE)</f>
        <v>Male</v>
      </c>
      <c r="D349" s="5">
        <f>VLOOKUP(globalfreelancepreprocesseddata!A349,worksheet!A:P,6,FALSE)</f>
        <v>23</v>
      </c>
      <c r="E349" s="5" t="str">
        <f>VLOOKUP(globalfreelancepreprocesseddata!A349,worksheet!A:P,7,FALSE)</f>
        <v>Australia</v>
      </c>
      <c r="F349" s="5" t="str">
        <f>VLOOKUP(globalfreelancepreprocesseddata!A349,worksheet!A:P,8,FALSE)</f>
        <v>English</v>
      </c>
      <c r="G349" s="5" t="str">
        <f>VLOOKUP(globalfreelancepreprocesseddata!A349,worksheet!A:P,9,FALSE)</f>
        <v>DevOps</v>
      </c>
      <c r="H349" s="5">
        <f>VLOOKUP(globalfreelancepreprocesseddata!A349,worksheet!A:P,10,FALSE)</f>
        <v>1</v>
      </c>
      <c r="I349" s="6" t="str">
        <f>VLOOKUP(globalfreelancepreprocesseddata!A349,worksheet!A:P,12,FALSE)</f>
        <v>$ 20</v>
      </c>
      <c r="J349" s="5">
        <f>VLOOKUP(globalfreelancepreprocesseddata!A349,worksheet!A:P,13,FALSE)</f>
        <v>4</v>
      </c>
      <c r="K349" s="5">
        <f>VLOOKUP(globalfreelancepreprocesseddata!A349,worksheet!A:P,14,FALSE)</f>
        <v>1</v>
      </c>
      <c r="L349" s="7">
        <f>VLOOKUP(globalfreelancepreprocesseddata!A349,worksheet!A:P,16,FALSE)</f>
        <v>1</v>
      </c>
    </row>
    <row r="350" spans="1:12" x14ac:dyDescent="0.35">
      <c r="A350" s="5" t="s">
        <v>774</v>
      </c>
      <c r="B350" s="5" t="str">
        <f>VLOOKUP(globalfreelancepreprocesseddata!A350,worksheet!A:P,3,FALSE)</f>
        <v>Jeremiah Rodriguez</v>
      </c>
      <c r="C350" s="5" t="str">
        <f>VLOOKUP(globalfreelancepreprocesseddata!A350,worksheet!A:P,5,FALSE)</f>
        <v>Male</v>
      </c>
      <c r="D350" s="5">
        <f>VLOOKUP(globalfreelancepreprocesseddata!A350,worksheet!A:P,6,FALSE)</f>
        <v>55</v>
      </c>
      <c r="E350" s="5" t="str">
        <f>VLOOKUP(globalfreelancepreprocesseddata!A350,worksheet!A:P,7,FALSE)</f>
        <v>Italy</v>
      </c>
      <c r="F350" s="5" t="str">
        <f>VLOOKUP(globalfreelancepreprocesseddata!A350,worksheet!A:P,8,FALSE)</f>
        <v>Italian</v>
      </c>
      <c r="G350" s="5" t="str">
        <f>VLOOKUP(globalfreelancepreprocesseddata!A350,worksheet!A:P,9,FALSE)</f>
        <v>DevOps</v>
      </c>
      <c r="H350" s="5">
        <f>VLOOKUP(globalfreelancepreprocesseddata!A350,worksheet!A:P,10,FALSE)</f>
        <v>15</v>
      </c>
      <c r="I350" s="6">
        <f>VLOOKUP(globalfreelancepreprocesseddata!A350,worksheet!A:P,12,FALSE)</f>
        <v>40</v>
      </c>
      <c r="J350" s="5">
        <f>VLOOKUP(globalfreelancepreprocesseddata!A350,worksheet!A:P,13,FALSE)</f>
        <v>4.5</v>
      </c>
      <c r="K350" s="5">
        <f>VLOOKUP(globalfreelancepreprocesseddata!A350,worksheet!A:P,14,FALSE)</f>
        <v>1</v>
      </c>
      <c r="L350" s="7">
        <f>VLOOKUP(globalfreelancepreprocesseddata!A350,worksheet!A:P,16,FALSE)</f>
        <v>0.16</v>
      </c>
    </row>
    <row r="351" spans="1:12" x14ac:dyDescent="0.35">
      <c r="A351" s="5" t="s">
        <v>776</v>
      </c>
      <c r="B351" s="5" t="str">
        <f>VLOOKUP(globalfreelancepreprocesseddata!A351,worksheet!A:P,3,FALSE)</f>
        <v>Lauren Lang</v>
      </c>
      <c r="C351" s="5" t="str">
        <f>VLOOKUP(globalfreelancepreprocesseddata!A351,worksheet!A:P,5,FALSE)</f>
        <v>Female</v>
      </c>
      <c r="D351" s="5">
        <f>VLOOKUP(globalfreelancepreprocesseddata!A351,worksheet!A:P,6,FALSE)</f>
        <v>50</v>
      </c>
      <c r="E351" s="5" t="str">
        <f>VLOOKUP(globalfreelancepreprocesseddata!A351,worksheet!A:P,7,FALSE)</f>
        <v>Brazil</v>
      </c>
      <c r="F351" s="5" t="str">
        <f>VLOOKUP(globalfreelancepreprocesseddata!A351,worksheet!A:P,8,FALSE)</f>
        <v>Portuguese</v>
      </c>
      <c r="G351" s="5" t="str">
        <f>VLOOKUP(globalfreelancepreprocesseddata!A351,worksheet!A:P,9,FALSE)</f>
        <v>Mobile Apps</v>
      </c>
      <c r="H351" s="5">
        <f>VLOOKUP(globalfreelancepreprocesseddata!A351,worksheet!A:P,10,FALSE)</f>
        <v>18</v>
      </c>
      <c r="I351" s="6">
        <f>VLOOKUP(globalfreelancepreprocesseddata!A351,worksheet!A:P,12,FALSE)</f>
        <v>75</v>
      </c>
      <c r="J351" s="5">
        <f>VLOOKUP(globalfreelancepreprocesseddata!A351,worksheet!A:P,13,FALSE)</f>
        <v>3.8</v>
      </c>
      <c r="K351" s="5">
        <f>VLOOKUP(globalfreelancepreprocesseddata!A351,worksheet!A:P,14,FALSE)</f>
        <v>0</v>
      </c>
      <c r="L351" s="7">
        <f>VLOOKUP(globalfreelancepreprocesseddata!A351,worksheet!A:P,16,FALSE)</f>
        <v>0.67</v>
      </c>
    </row>
    <row r="352" spans="1:12" x14ac:dyDescent="0.35">
      <c r="A352" s="5" t="s">
        <v>778</v>
      </c>
      <c r="B352" s="5" t="str">
        <f>VLOOKUP(globalfreelancepreprocesseddata!A352,worksheet!A:P,3,FALSE)</f>
        <v>Matthew Phillips</v>
      </c>
      <c r="C352" s="5" t="str">
        <f>VLOOKUP(globalfreelancepreprocesseddata!A352,worksheet!A:P,5,FALSE)</f>
        <v>Male</v>
      </c>
      <c r="D352" s="5">
        <f>VLOOKUP(globalfreelancepreprocesseddata!A352,worksheet!A:P,6,FALSE)</f>
        <v>48</v>
      </c>
      <c r="E352" s="5" t="str">
        <f>VLOOKUP(globalfreelancepreprocesseddata!A352,worksheet!A:P,7,FALSE)</f>
        <v>United States</v>
      </c>
      <c r="F352" s="5" t="str">
        <f>VLOOKUP(globalfreelancepreprocesseddata!A352,worksheet!A:P,8,FALSE)</f>
        <v>English</v>
      </c>
      <c r="G352" s="5" t="str">
        <f>VLOOKUP(globalfreelancepreprocesseddata!A352,worksheet!A:P,9,FALSE)</f>
        <v>Machine Learning</v>
      </c>
      <c r="H352" s="5">
        <f>VLOOKUP(globalfreelancepreprocesseddata!A352,worksheet!A:P,10,FALSE)</f>
        <v>21</v>
      </c>
      <c r="I352" s="6">
        <f>VLOOKUP(globalfreelancepreprocesseddata!A352,worksheet!A:P,12,FALSE)</f>
        <v>50</v>
      </c>
      <c r="J352" s="5">
        <f>VLOOKUP(globalfreelancepreprocesseddata!A352,worksheet!A:P,13,FALSE)</f>
        <v>4</v>
      </c>
      <c r="K352" s="5">
        <f>VLOOKUP(globalfreelancepreprocesseddata!A352,worksheet!A:P,14,FALSE)</f>
        <v>0</v>
      </c>
      <c r="L352" s="7">
        <f>VLOOKUP(globalfreelancepreprocesseddata!A352,worksheet!A:P,16,FALSE)</f>
        <v>0.78</v>
      </c>
    </row>
    <row r="353" spans="1:12" x14ac:dyDescent="0.35">
      <c r="A353" s="5" t="s">
        <v>780</v>
      </c>
      <c r="B353" s="5" t="str">
        <f>VLOOKUP(globalfreelancepreprocesseddata!A353,worksheet!A:P,3,FALSE)</f>
        <v>Michael Andersen</v>
      </c>
      <c r="C353" s="5" t="str">
        <f>VLOOKUP(globalfreelancepreprocesseddata!A353,worksheet!A:P,5,FALSE)</f>
        <v>Male</v>
      </c>
      <c r="D353" s="5">
        <f>VLOOKUP(globalfreelancepreprocesseddata!A353,worksheet!A:P,6,FALSE)</f>
        <v>23</v>
      </c>
      <c r="E353" s="5" t="str">
        <f>VLOOKUP(globalfreelancepreprocesseddata!A353,worksheet!A:P,7,FALSE)</f>
        <v>Netherlands</v>
      </c>
      <c r="F353" s="5" t="str">
        <f>VLOOKUP(globalfreelancepreprocesseddata!A353,worksheet!A:P,8,FALSE)</f>
        <v>Dutch</v>
      </c>
      <c r="G353" s="5" t="str">
        <f>VLOOKUP(globalfreelancepreprocesseddata!A353,worksheet!A:P,9,FALSE)</f>
        <v>DevOps</v>
      </c>
      <c r="H353" s="5">
        <f>VLOOKUP(globalfreelancepreprocesseddata!A353,worksheet!A:P,10,FALSE)</f>
        <v>1</v>
      </c>
      <c r="I353" s="6">
        <f>VLOOKUP(globalfreelancepreprocesseddata!A353,worksheet!A:P,12,FALSE)</f>
        <v>40</v>
      </c>
      <c r="J353" s="5">
        <f>VLOOKUP(globalfreelancepreprocesseddata!A353,worksheet!A:P,13,FALSE)</f>
        <v>4.9000000000000004</v>
      </c>
      <c r="K353" s="5">
        <f>VLOOKUP(globalfreelancepreprocesseddata!A353,worksheet!A:P,14,FALSE)</f>
        <v>1</v>
      </c>
      <c r="L353" s="7">
        <f>VLOOKUP(globalfreelancepreprocesseddata!A353,worksheet!A:P,16,FALSE)</f>
        <v>0.78</v>
      </c>
    </row>
    <row r="354" spans="1:12" x14ac:dyDescent="0.35">
      <c r="A354" s="5" t="s">
        <v>782</v>
      </c>
      <c r="B354" s="5" t="str">
        <f>VLOOKUP(globalfreelancepreprocesseddata!A354,worksheet!A:P,3,FALSE)</f>
        <v>Amanda Mayo</v>
      </c>
      <c r="C354" s="5" t="str">
        <f>VLOOKUP(globalfreelancepreprocesseddata!A354,worksheet!A:P,5,FALSE)</f>
        <v>Female</v>
      </c>
      <c r="D354" s="5">
        <f>VLOOKUP(globalfreelancepreprocesseddata!A354,worksheet!A:P,6,FALSE)</f>
        <v>49</v>
      </c>
      <c r="E354" s="5" t="str">
        <f>VLOOKUP(globalfreelancepreprocesseddata!A354,worksheet!A:P,7,FALSE)</f>
        <v>Canada</v>
      </c>
      <c r="F354" s="5" t="str">
        <f>VLOOKUP(globalfreelancepreprocesseddata!A354,worksheet!A:P,8,FALSE)</f>
        <v>English</v>
      </c>
      <c r="G354" s="5" t="str">
        <f>VLOOKUP(globalfreelancepreprocesseddata!A354,worksheet!A:P,9,FALSE)</f>
        <v>Web Development</v>
      </c>
      <c r="H354" s="5">
        <f>VLOOKUP(globalfreelancepreprocesseddata!A354,worksheet!A:P,10,FALSE)</f>
        <v>25</v>
      </c>
      <c r="I354" s="6">
        <f>VLOOKUP(globalfreelancepreprocesseddata!A354,worksheet!A:P,12,FALSE)</f>
        <v>30</v>
      </c>
      <c r="J354" s="5">
        <f>VLOOKUP(globalfreelancepreprocesseddata!A354,worksheet!A:P,13,FALSE)</f>
        <v>3.4</v>
      </c>
      <c r="K354" s="5">
        <f>VLOOKUP(globalfreelancepreprocesseddata!A354,worksheet!A:P,14,FALSE)</f>
        <v>0</v>
      </c>
      <c r="L354" s="7">
        <f>VLOOKUP(globalfreelancepreprocesseddata!A354,worksheet!A:P,16,FALSE)</f>
        <v>0.75</v>
      </c>
    </row>
    <row r="355" spans="1:12" x14ac:dyDescent="0.35">
      <c r="A355" s="5" t="s">
        <v>784</v>
      </c>
      <c r="B355" s="5" t="str">
        <f>VLOOKUP(globalfreelancepreprocesseddata!A355,worksheet!A:P,3,FALSE)</f>
        <v>Jessica Vance</v>
      </c>
      <c r="C355" s="5" t="str">
        <f>VLOOKUP(globalfreelancepreprocesseddata!A355,worksheet!A:P,5,FALSE)</f>
        <v>Female</v>
      </c>
      <c r="D355" s="5">
        <f>VLOOKUP(globalfreelancepreprocesseddata!A355,worksheet!A:P,6,FALSE)</f>
        <v>47</v>
      </c>
      <c r="E355" s="5" t="str">
        <f>VLOOKUP(globalfreelancepreprocesseddata!A355,worksheet!A:P,7,FALSE)</f>
        <v>Italy</v>
      </c>
      <c r="F355" s="5" t="str">
        <f>VLOOKUP(globalfreelancepreprocesseddata!A355,worksheet!A:P,8,FALSE)</f>
        <v>Italian</v>
      </c>
      <c r="G355" s="5" t="str">
        <f>VLOOKUP(globalfreelancepreprocesseddata!A355,worksheet!A:P,9,FALSE)</f>
        <v>Cybersecurity</v>
      </c>
      <c r="H355" s="5">
        <f>VLOOKUP(globalfreelancepreprocesseddata!A355,worksheet!A:P,10,FALSE)</f>
        <v>12</v>
      </c>
      <c r="I355" s="6">
        <f>VLOOKUP(globalfreelancepreprocesseddata!A355,worksheet!A:P,12,FALSE)</f>
        <v>50</v>
      </c>
      <c r="J355" s="5">
        <f>VLOOKUP(globalfreelancepreprocesseddata!A355,worksheet!A:P,13,FALSE)</f>
        <v>2.1</v>
      </c>
      <c r="K355" s="5">
        <f>VLOOKUP(globalfreelancepreprocesseddata!A355,worksheet!A:P,14,FALSE)</f>
        <v>1</v>
      </c>
      <c r="L355" s="7">
        <f>VLOOKUP(globalfreelancepreprocesseddata!A355,worksheet!A:P,16,FALSE)</f>
        <v>0.67</v>
      </c>
    </row>
    <row r="356" spans="1:12" x14ac:dyDescent="0.35">
      <c r="A356" s="5" t="s">
        <v>786</v>
      </c>
      <c r="B356" s="5" t="str">
        <f>VLOOKUP(globalfreelancepreprocesseddata!A356,worksheet!A:P,3,FALSE)</f>
        <v>Alexa Gallegos</v>
      </c>
      <c r="C356" s="5" t="str">
        <f>VLOOKUP(globalfreelancepreprocesseddata!A356,worksheet!A:P,5,FALSE)</f>
        <v>Female</v>
      </c>
      <c r="D356" s="5">
        <f>VLOOKUP(globalfreelancepreprocesseddata!A356,worksheet!A:P,6,FALSE)</f>
        <v>56</v>
      </c>
      <c r="E356" s="5" t="str">
        <f>VLOOKUP(globalfreelancepreprocesseddata!A356,worksheet!A:P,7,FALSE)</f>
        <v>Japan</v>
      </c>
      <c r="F356" s="5" t="str">
        <f>VLOOKUP(globalfreelancepreprocesseddata!A356,worksheet!A:P,8,FALSE)</f>
        <v>Japanese</v>
      </c>
      <c r="G356" s="5" t="str">
        <f>VLOOKUP(globalfreelancepreprocesseddata!A356,worksheet!A:P,9,FALSE)</f>
        <v>Graphic Design</v>
      </c>
      <c r="H356" s="5">
        <f>VLOOKUP(globalfreelancepreprocesseddata!A356,worksheet!A:P,10,FALSE)</f>
        <v>32</v>
      </c>
      <c r="I356" s="6" t="str">
        <f>VLOOKUP(globalfreelancepreprocesseddata!A356,worksheet!A:P,12,FALSE)</f>
        <v>$ 40</v>
      </c>
      <c r="J356" s="5">
        <f>VLOOKUP(globalfreelancepreprocesseddata!A356,worksheet!A:P,13,FALSE)</f>
        <v>0</v>
      </c>
      <c r="K356" s="5">
        <f>VLOOKUP(globalfreelancepreprocesseddata!A356,worksheet!A:P,14,FALSE)</f>
        <v>1</v>
      </c>
      <c r="L356" s="7">
        <f>VLOOKUP(globalfreelancepreprocesseddata!A356,worksheet!A:P,16,FALSE)</f>
        <v>0.86</v>
      </c>
    </row>
    <row r="357" spans="1:12" x14ac:dyDescent="0.35">
      <c r="A357" s="5" t="s">
        <v>788</v>
      </c>
      <c r="B357" s="5" t="str">
        <f>VLOOKUP(globalfreelancepreprocesseddata!A357,worksheet!A:P,3,FALSE)</f>
        <v>Charles Pratt</v>
      </c>
      <c r="C357" s="5" t="str">
        <f>VLOOKUP(globalfreelancepreprocesseddata!A357,worksheet!A:P,5,FALSE)</f>
        <v>Male</v>
      </c>
      <c r="D357" s="5">
        <f>VLOOKUP(globalfreelancepreprocesseddata!A357,worksheet!A:P,6,FALSE)</f>
        <v>58</v>
      </c>
      <c r="E357" s="5" t="str">
        <f>VLOOKUP(globalfreelancepreprocesseddata!A357,worksheet!A:P,7,FALSE)</f>
        <v>Argentina</v>
      </c>
      <c r="F357" s="5" t="str">
        <f>VLOOKUP(globalfreelancepreprocesseddata!A357,worksheet!A:P,8,FALSE)</f>
        <v>Spanish</v>
      </c>
      <c r="G357" s="5" t="str">
        <f>VLOOKUP(globalfreelancepreprocesseddata!A357,worksheet!A:P,9,FALSE)</f>
        <v>UI/UX Design</v>
      </c>
      <c r="H357" s="5">
        <f>VLOOKUP(globalfreelancepreprocesseddata!A357,worksheet!A:P,10,FALSE)</f>
        <v>11</v>
      </c>
      <c r="I357" s="6">
        <f>VLOOKUP(globalfreelancepreprocesseddata!A357,worksheet!A:P,12,FALSE)</f>
        <v>100</v>
      </c>
      <c r="J357" s="5">
        <f>VLOOKUP(globalfreelancepreprocesseddata!A357,worksheet!A:P,13,FALSE)</f>
        <v>4.5</v>
      </c>
      <c r="K357" s="5">
        <f>VLOOKUP(globalfreelancepreprocesseddata!A357,worksheet!A:P,14,FALSE)</f>
        <v>1</v>
      </c>
      <c r="L357" s="7">
        <f>VLOOKUP(globalfreelancepreprocesseddata!A357,worksheet!A:P,16,FALSE)</f>
        <v>0.77</v>
      </c>
    </row>
    <row r="358" spans="1:12" x14ac:dyDescent="0.35">
      <c r="A358" s="5" t="s">
        <v>790</v>
      </c>
      <c r="B358" s="5" t="str">
        <f>VLOOKUP(globalfreelancepreprocesseddata!A358,worksheet!A:P,3,FALSE)</f>
        <v>Brian Baker</v>
      </c>
      <c r="C358" s="5" t="str">
        <f>VLOOKUP(globalfreelancepreprocesseddata!A358,worksheet!A:P,5,FALSE)</f>
        <v>Male</v>
      </c>
      <c r="D358" s="5">
        <f>VLOOKUP(globalfreelancepreprocesseddata!A358,worksheet!A:P,6,FALSE)</f>
        <v>32</v>
      </c>
      <c r="E358" s="5" t="str">
        <f>VLOOKUP(globalfreelancepreprocesseddata!A358,worksheet!A:P,7,FALSE)</f>
        <v>South Korea</v>
      </c>
      <c r="F358" s="5" t="str">
        <f>VLOOKUP(globalfreelancepreprocesseddata!A358,worksheet!A:P,8,FALSE)</f>
        <v>Korean</v>
      </c>
      <c r="G358" s="5" t="str">
        <f>VLOOKUP(globalfreelancepreprocesseddata!A358,worksheet!A:P,9,FALSE)</f>
        <v>UI/UX Design</v>
      </c>
      <c r="H358" s="5">
        <f>VLOOKUP(globalfreelancepreprocesseddata!A358,worksheet!A:P,10,FALSE)</f>
        <v>10</v>
      </c>
      <c r="I358" s="6">
        <f>VLOOKUP(globalfreelancepreprocesseddata!A358,worksheet!A:P,12,FALSE)</f>
        <v>30</v>
      </c>
      <c r="J358" s="5">
        <f>VLOOKUP(globalfreelancepreprocesseddata!A358,worksheet!A:P,13,FALSE)</f>
        <v>3.8</v>
      </c>
      <c r="K358" s="5">
        <f>VLOOKUP(globalfreelancepreprocesseddata!A358,worksheet!A:P,14,FALSE)</f>
        <v>0</v>
      </c>
      <c r="L358" s="7">
        <f>VLOOKUP(globalfreelancepreprocesseddata!A358,worksheet!A:P,16,FALSE)</f>
        <v>0.61</v>
      </c>
    </row>
    <row r="359" spans="1:12" x14ac:dyDescent="0.35">
      <c r="A359" s="5" t="s">
        <v>792</v>
      </c>
      <c r="B359" s="5" t="str">
        <f>VLOOKUP(globalfreelancepreprocesseddata!A359,worksheet!A:P,3,FALSE)</f>
        <v>Christina Norman</v>
      </c>
      <c r="C359" s="5" t="str">
        <f>VLOOKUP(globalfreelancepreprocesseddata!A359,worksheet!A:P,5,FALSE)</f>
        <v>Female</v>
      </c>
      <c r="D359" s="5">
        <f>VLOOKUP(globalfreelancepreprocesseddata!A359,worksheet!A:P,6,FALSE)</f>
        <v>52</v>
      </c>
      <c r="E359" s="5" t="str">
        <f>VLOOKUP(globalfreelancepreprocesseddata!A359,worksheet!A:P,7,FALSE)</f>
        <v>India</v>
      </c>
      <c r="F359" s="5" t="str">
        <f>VLOOKUP(globalfreelancepreprocesseddata!A359,worksheet!A:P,8,FALSE)</f>
        <v>Hindi</v>
      </c>
      <c r="G359" s="5" t="str">
        <f>VLOOKUP(globalfreelancepreprocesseddata!A359,worksheet!A:P,9,FALSE)</f>
        <v>UI/UX Design</v>
      </c>
      <c r="H359" s="5">
        <f>VLOOKUP(globalfreelancepreprocesseddata!A359,worksheet!A:P,10,FALSE)</f>
        <v>11</v>
      </c>
      <c r="I359" s="6">
        <f>VLOOKUP(globalfreelancepreprocesseddata!A359,worksheet!A:P,12,FALSE)</f>
        <v>40</v>
      </c>
      <c r="J359" s="5">
        <f>VLOOKUP(globalfreelancepreprocesseddata!A359,worksheet!A:P,13,FALSE)</f>
        <v>4.3</v>
      </c>
      <c r="K359" s="5">
        <f>VLOOKUP(globalfreelancepreprocesseddata!A359,worksheet!A:P,14,FALSE)</f>
        <v>0</v>
      </c>
      <c r="L359" s="7">
        <f>VLOOKUP(globalfreelancepreprocesseddata!A359,worksheet!A:P,16,FALSE)</f>
        <v>0.9</v>
      </c>
    </row>
    <row r="360" spans="1:12" x14ac:dyDescent="0.35">
      <c r="A360" s="5" t="s">
        <v>794</v>
      </c>
      <c r="B360" s="5" t="str">
        <f>VLOOKUP(globalfreelancepreprocesseddata!A360,worksheet!A:P,3,FALSE)</f>
        <v>Laura Kelly</v>
      </c>
      <c r="C360" s="5" t="str">
        <f>VLOOKUP(globalfreelancepreprocesseddata!A360,worksheet!A:P,5,FALSE)</f>
        <v>Female</v>
      </c>
      <c r="D360" s="5">
        <f>VLOOKUP(globalfreelancepreprocesseddata!A360,worksheet!A:P,6,FALSE)</f>
        <v>22</v>
      </c>
      <c r="E360" s="5" t="str">
        <f>VLOOKUP(globalfreelancepreprocesseddata!A360,worksheet!A:P,7,FALSE)</f>
        <v>China</v>
      </c>
      <c r="F360" s="5" t="str">
        <f>VLOOKUP(globalfreelancepreprocesseddata!A360,worksheet!A:P,8,FALSE)</f>
        <v>Mandarin</v>
      </c>
      <c r="G360" s="5" t="str">
        <f>VLOOKUP(globalfreelancepreprocesseddata!A360,worksheet!A:P,9,FALSE)</f>
        <v>Data Analysis</v>
      </c>
      <c r="H360" s="5">
        <f>VLOOKUP(globalfreelancepreprocesseddata!A360,worksheet!A:P,10,FALSE)</f>
        <v>1</v>
      </c>
      <c r="I360" s="6">
        <f>VLOOKUP(globalfreelancepreprocesseddata!A360,worksheet!A:P,12,FALSE)</f>
        <v>50</v>
      </c>
      <c r="J360" s="5">
        <f>VLOOKUP(globalfreelancepreprocesseddata!A360,worksheet!A:P,13,FALSE)</f>
        <v>0</v>
      </c>
      <c r="K360" s="5">
        <f>VLOOKUP(globalfreelancepreprocesseddata!A360,worksheet!A:P,14,FALSE)</f>
        <v>1</v>
      </c>
      <c r="L360" s="7">
        <f>VLOOKUP(globalfreelancepreprocesseddata!A360,worksheet!A:P,16,FALSE)</f>
        <v>0.98</v>
      </c>
    </row>
    <row r="361" spans="1:12" x14ac:dyDescent="0.35">
      <c r="A361" s="5" t="s">
        <v>796</v>
      </c>
      <c r="B361" s="5" t="str">
        <f>VLOOKUP(globalfreelancepreprocesseddata!A361,worksheet!A:P,3,FALSE)</f>
        <v>John Webb</v>
      </c>
      <c r="C361" s="5" t="str">
        <f>VLOOKUP(globalfreelancepreprocesseddata!A361,worksheet!A:P,5,FALSE)</f>
        <v>Male</v>
      </c>
      <c r="D361" s="5">
        <f>VLOOKUP(globalfreelancepreprocesseddata!A361,worksheet!A:P,6,FALSE)</f>
        <v>20</v>
      </c>
      <c r="E361" s="5" t="str">
        <f>VLOOKUP(globalfreelancepreprocesseddata!A361,worksheet!A:P,7,FALSE)</f>
        <v>India</v>
      </c>
      <c r="F361" s="5" t="str">
        <f>VLOOKUP(globalfreelancepreprocesseddata!A361,worksheet!A:P,8,FALSE)</f>
        <v>Hindi</v>
      </c>
      <c r="G361" s="5" t="str">
        <f>VLOOKUP(globalfreelancepreprocesseddata!A361,worksheet!A:P,9,FALSE)</f>
        <v>Cybersecurity</v>
      </c>
      <c r="H361" s="5">
        <f>VLOOKUP(globalfreelancepreprocesseddata!A361,worksheet!A:P,10,FALSE)</f>
        <v>2</v>
      </c>
      <c r="I361" s="6">
        <f>VLOOKUP(globalfreelancepreprocesseddata!A361,worksheet!A:P,12,FALSE)</f>
        <v>30</v>
      </c>
      <c r="J361" s="5">
        <f>VLOOKUP(globalfreelancepreprocesseddata!A361,worksheet!A:P,13,FALSE)</f>
        <v>3</v>
      </c>
      <c r="K361" s="5">
        <f>VLOOKUP(globalfreelancepreprocesseddata!A361,worksheet!A:P,14,FALSE)</f>
        <v>1</v>
      </c>
      <c r="L361" s="7">
        <f>VLOOKUP(globalfreelancepreprocesseddata!A361,worksheet!A:P,16,FALSE)</f>
        <v>0.99</v>
      </c>
    </row>
    <row r="362" spans="1:12" x14ac:dyDescent="0.35">
      <c r="A362" s="5" t="s">
        <v>798</v>
      </c>
      <c r="B362" s="5" t="str">
        <f>VLOOKUP(globalfreelancepreprocesseddata!A362,worksheet!A:P,3,FALSE)</f>
        <v>Christopher Burton</v>
      </c>
      <c r="C362" s="5" t="str">
        <f>VLOOKUP(globalfreelancepreprocesseddata!A362,worksheet!A:P,5,FALSE)</f>
        <v>Male</v>
      </c>
      <c r="D362" s="5">
        <f>VLOOKUP(globalfreelancepreprocesseddata!A362,worksheet!A:P,6,FALSE)</f>
        <v>56</v>
      </c>
      <c r="E362" s="5" t="str">
        <f>VLOOKUP(globalfreelancepreprocesseddata!A362,worksheet!A:P,7,FALSE)</f>
        <v>Netherlands</v>
      </c>
      <c r="F362" s="5" t="str">
        <f>VLOOKUP(globalfreelancepreprocesseddata!A362,worksheet!A:P,8,FALSE)</f>
        <v>Dutch</v>
      </c>
      <c r="G362" s="5" t="str">
        <f>VLOOKUP(globalfreelancepreprocesseddata!A362,worksheet!A:P,9,FALSE)</f>
        <v>Data Analysis</v>
      </c>
      <c r="H362" s="5">
        <f>VLOOKUP(globalfreelancepreprocesseddata!A362,worksheet!A:P,10,FALSE)</f>
        <v>9</v>
      </c>
      <c r="I362" s="6" t="str">
        <f>VLOOKUP(globalfreelancepreprocesseddata!A362,worksheet!A:P,12,FALSE)</f>
        <v>$ 40</v>
      </c>
      <c r="J362" s="5">
        <f>VLOOKUP(globalfreelancepreprocesseddata!A362,worksheet!A:P,13,FALSE)</f>
        <v>2.6</v>
      </c>
      <c r="K362" s="5">
        <f>VLOOKUP(globalfreelancepreprocesseddata!A362,worksheet!A:P,14,FALSE)</f>
        <v>0</v>
      </c>
      <c r="L362" s="7">
        <f>VLOOKUP(globalfreelancepreprocesseddata!A362,worksheet!A:P,16,FALSE)</f>
        <v>0.61</v>
      </c>
    </row>
    <row r="363" spans="1:12" x14ac:dyDescent="0.35">
      <c r="A363" s="5" t="s">
        <v>800</v>
      </c>
      <c r="B363" s="5" t="str">
        <f>VLOOKUP(globalfreelancepreprocesseddata!A363,worksheet!A:P,3,FALSE)</f>
        <v>Bradley Aguilar</v>
      </c>
      <c r="C363" s="5" t="str">
        <f>VLOOKUP(globalfreelancepreprocesseddata!A363,worksheet!A:P,5,FALSE)</f>
        <v>Male</v>
      </c>
      <c r="D363" s="5">
        <f>VLOOKUP(globalfreelancepreprocesseddata!A363,worksheet!A:P,6,FALSE)</f>
        <v>41</v>
      </c>
      <c r="E363" s="5" t="str">
        <f>VLOOKUP(globalfreelancepreprocesseddata!A363,worksheet!A:P,7,FALSE)</f>
        <v>Japan</v>
      </c>
      <c r="F363" s="5" t="str">
        <f>VLOOKUP(globalfreelancepreprocesseddata!A363,worksheet!A:P,8,FALSE)</f>
        <v>Japanese</v>
      </c>
      <c r="G363" s="5" t="str">
        <f>VLOOKUP(globalfreelancepreprocesseddata!A363,worksheet!A:P,9,FALSE)</f>
        <v>Data Analysis</v>
      </c>
      <c r="H363" s="5">
        <f>VLOOKUP(globalfreelancepreprocesseddata!A363,worksheet!A:P,10,FALSE)</f>
        <v>22</v>
      </c>
      <c r="I363" s="6" t="str">
        <f>VLOOKUP(globalfreelancepreprocesseddata!A363,worksheet!A:P,12,FALSE)</f>
        <v>$ 50</v>
      </c>
      <c r="J363" s="5">
        <f>VLOOKUP(globalfreelancepreprocesseddata!A363,worksheet!A:P,13,FALSE)</f>
        <v>1.6</v>
      </c>
      <c r="K363" s="5">
        <f>VLOOKUP(globalfreelancepreprocesseddata!A363,worksheet!A:P,14,FALSE)</f>
        <v>1</v>
      </c>
      <c r="L363" s="7">
        <f>VLOOKUP(globalfreelancepreprocesseddata!A363,worksheet!A:P,16,FALSE)</f>
        <v>0.61</v>
      </c>
    </row>
    <row r="364" spans="1:12" x14ac:dyDescent="0.35">
      <c r="A364" s="5" t="s">
        <v>802</v>
      </c>
      <c r="B364" s="5" t="str">
        <f>VLOOKUP(globalfreelancepreprocesseddata!A364,worksheet!A:P,3,FALSE)</f>
        <v>Arthur Vasquez</v>
      </c>
      <c r="C364" s="5" t="str">
        <f>VLOOKUP(globalfreelancepreprocesseddata!A364,worksheet!A:P,5,FALSE)</f>
        <v>Male</v>
      </c>
      <c r="D364" s="5">
        <f>VLOOKUP(globalfreelancepreprocesseddata!A364,worksheet!A:P,6,FALSE)</f>
        <v>25</v>
      </c>
      <c r="E364" s="5" t="str">
        <f>VLOOKUP(globalfreelancepreprocesseddata!A364,worksheet!A:P,7,FALSE)</f>
        <v>Argentina</v>
      </c>
      <c r="F364" s="5" t="str">
        <f>VLOOKUP(globalfreelancepreprocesseddata!A364,worksheet!A:P,8,FALSE)</f>
        <v>Spanish</v>
      </c>
      <c r="G364" s="5" t="str">
        <f>VLOOKUP(globalfreelancepreprocesseddata!A364,worksheet!A:P,9,FALSE)</f>
        <v>Blockchain Development</v>
      </c>
      <c r="H364" s="5">
        <f>VLOOKUP(globalfreelancepreprocesseddata!A364,worksheet!A:P,10,FALSE)</f>
        <v>5</v>
      </c>
      <c r="I364" s="6">
        <f>VLOOKUP(globalfreelancepreprocesseddata!A364,worksheet!A:P,12,FALSE)</f>
        <v>30</v>
      </c>
      <c r="J364" s="5">
        <f>VLOOKUP(globalfreelancepreprocesseddata!A364,worksheet!A:P,13,FALSE)</f>
        <v>2.2999999999999998</v>
      </c>
      <c r="K364" s="5">
        <f>VLOOKUP(globalfreelancepreprocesseddata!A364,worksheet!A:P,14,FALSE)</f>
        <v>0</v>
      </c>
      <c r="L364" s="7">
        <f>VLOOKUP(globalfreelancepreprocesseddata!A364,worksheet!A:P,16,FALSE)</f>
        <v>0.91</v>
      </c>
    </row>
    <row r="365" spans="1:12" x14ac:dyDescent="0.35">
      <c r="A365" s="5" t="s">
        <v>804</v>
      </c>
      <c r="B365" s="5" t="str">
        <f>VLOOKUP(globalfreelancepreprocesseddata!A365,worksheet!A:P,3,FALSE)</f>
        <v>Angela Castro</v>
      </c>
      <c r="C365" s="5" t="str">
        <f>VLOOKUP(globalfreelancepreprocesseddata!A365,worksheet!A:P,5,FALSE)</f>
        <v>Female</v>
      </c>
      <c r="D365" s="5">
        <f>VLOOKUP(globalfreelancepreprocesseddata!A365,worksheet!A:P,6,FALSE)</f>
        <v>44</v>
      </c>
      <c r="E365" s="5" t="str">
        <f>VLOOKUP(globalfreelancepreprocesseddata!A365,worksheet!A:P,7,FALSE)</f>
        <v>Canada</v>
      </c>
      <c r="F365" s="5" t="str">
        <f>VLOOKUP(globalfreelancepreprocesseddata!A365,worksheet!A:P,8,FALSE)</f>
        <v>English</v>
      </c>
      <c r="G365" s="5" t="str">
        <f>VLOOKUP(globalfreelancepreprocesseddata!A365,worksheet!A:P,9,FALSE)</f>
        <v>Cybersecurity</v>
      </c>
      <c r="H365" s="5">
        <f>VLOOKUP(globalfreelancepreprocesseddata!A365,worksheet!A:P,10,FALSE)</f>
        <v>6</v>
      </c>
      <c r="I365" s="6">
        <f>VLOOKUP(globalfreelancepreprocesseddata!A365,worksheet!A:P,12,FALSE)</f>
        <v>75</v>
      </c>
      <c r="J365" s="5">
        <f>VLOOKUP(globalfreelancepreprocesseddata!A365,worksheet!A:P,13,FALSE)</f>
        <v>4.5999999999999996</v>
      </c>
      <c r="K365" s="5">
        <f>VLOOKUP(globalfreelancepreprocesseddata!A365,worksheet!A:P,14,FALSE)</f>
        <v>1</v>
      </c>
      <c r="L365" s="7">
        <f>VLOOKUP(globalfreelancepreprocesseddata!A365,worksheet!A:P,16,FALSE)</f>
        <v>0.72</v>
      </c>
    </row>
    <row r="366" spans="1:12" x14ac:dyDescent="0.35">
      <c r="A366" s="5" t="s">
        <v>806</v>
      </c>
      <c r="B366" s="5" t="str">
        <f>VLOOKUP(globalfreelancepreprocesseddata!A366,worksheet!A:P,3,FALSE)</f>
        <v>Summer Yoder</v>
      </c>
      <c r="C366" s="5" t="str">
        <f>VLOOKUP(globalfreelancepreprocesseddata!A366,worksheet!A:P,5,FALSE)</f>
        <v>Female</v>
      </c>
      <c r="D366" s="5">
        <f>VLOOKUP(globalfreelancepreprocesseddata!A366,worksheet!A:P,6,FALSE)</f>
        <v>46</v>
      </c>
      <c r="E366" s="5" t="str">
        <f>VLOOKUP(globalfreelancepreprocesseddata!A366,worksheet!A:P,7,FALSE)</f>
        <v>Australia</v>
      </c>
      <c r="F366" s="5" t="str">
        <f>VLOOKUP(globalfreelancepreprocesseddata!A366,worksheet!A:P,8,FALSE)</f>
        <v>English</v>
      </c>
      <c r="G366" s="5" t="str">
        <f>VLOOKUP(globalfreelancepreprocesseddata!A366,worksheet!A:P,9,FALSE)</f>
        <v>Web Development</v>
      </c>
      <c r="H366" s="5">
        <f>VLOOKUP(globalfreelancepreprocesseddata!A366,worksheet!A:P,10,FALSE)</f>
        <v>26</v>
      </c>
      <c r="I366" s="6">
        <f>VLOOKUP(globalfreelancepreprocesseddata!A366,worksheet!A:P,12,FALSE)</f>
        <v>100</v>
      </c>
      <c r="J366" s="5">
        <f>VLOOKUP(globalfreelancepreprocesseddata!A366,worksheet!A:P,13,FALSE)</f>
        <v>2.1</v>
      </c>
      <c r="K366" s="5">
        <f>VLOOKUP(globalfreelancepreprocesseddata!A366,worksheet!A:P,14,FALSE)</f>
        <v>1</v>
      </c>
      <c r="L366" s="7">
        <f>VLOOKUP(globalfreelancepreprocesseddata!A366,worksheet!A:P,16,FALSE)</f>
        <v>0.16</v>
      </c>
    </row>
    <row r="367" spans="1:12" x14ac:dyDescent="0.35">
      <c r="A367" s="5" t="s">
        <v>808</v>
      </c>
      <c r="B367" s="5" t="str">
        <f>VLOOKUP(globalfreelancepreprocesseddata!A367,worksheet!A:P,3,FALSE)</f>
        <v>Jackie Allen</v>
      </c>
      <c r="C367" s="5" t="str">
        <f>VLOOKUP(globalfreelancepreprocesseddata!A367,worksheet!A:P,5,FALSE)</f>
        <v>Female</v>
      </c>
      <c r="D367" s="5">
        <f>VLOOKUP(globalfreelancepreprocesseddata!A367,worksheet!A:P,6,FALSE)</f>
        <v>40</v>
      </c>
      <c r="E367" s="5" t="str">
        <f>VLOOKUP(globalfreelancepreprocesseddata!A367,worksheet!A:P,7,FALSE)</f>
        <v>South Korea</v>
      </c>
      <c r="F367" s="5" t="str">
        <f>VLOOKUP(globalfreelancepreprocesseddata!A367,worksheet!A:P,8,FALSE)</f>
        <v>Korean</v>
      </c>
      <c r="G367" s="5" t="str">
        <f>VLOOKUP(globalfreelancepreprocesseddata!A367,worksheet!A:P,9,FALSE)</f>
        <v>Blockchain Development</v>
      </c>
      <c r="H367" s="5">
        <f>VLOOKUP(globalfreelancepreprocesseddata!A367,worksheet!A:P,10,FALSE)</f>
        <v>11</v>
      </c>
      <c r="I367" s="6">
        <f>VLOOKUP(globalfreelancepreprocesseddata!A367,worksheet!A:P,12,FALSE)</f>
        <v>40</v>
      </c>
      <c r="J367" s="5">
        <f>VLOOKUP(globalfreelancepreprocesseddata!A367,worksheet!A:P,13,FALSE)</f>
        <v>1.5</v>
      </c>
      <c r="K367" s="5">
        <f>VLOOKUP(globalfreelancepreprocesseddata!A367,worksheet!A:P,14,FALSE)</f>
        <v>0</v>
      </c>
      <c r="L367" s="7">
        <f>VLOOKUP(globalfreelancepreprocesseddata!A367,worksheet!A:P,16,FALSE)</f>
        <v>0.96</v>
      </c>
    </row>
    <row r="368" spans="1:12" x14ac:dyDescent="0.35">
      <c r="A368" s="5" t="s">
        <v>810</v>
      </c>
      <c r="B368" s="5" t="str">
        <f>VLOOKUP(globalfreelancepreprocesseddata!A368,worksheet!A:P,3,FALSE)</f>
        <v>Brandon Williams</v>
      </c>
      <c r="C368" s="5" t="str">
        <f>VLOOKUP(globalfreelancepreprocesseddata!A368,worksheet!A:P,5,FALSE)</f>
        <v>Male</v>
      </c>
      <c r="D368" s="5">
        <f>VLOOKUP(globalfreelancepreprocesseddata!A368,worksheet!A:P,6,FALSE)</f>
        <v>41</v>
      </c>
      <c r="E368" s="5" t="str">
        <f>VLOOKUP(globalfreelancepreprocesseddata!A368,worksheet!A:P,7,FALSE)</f>
        <v>China</v>
      </c>
      <c r="F368" s="5" t="str">
        <f>VLOOKUP(globalfreelancepreprocesseddata!A368,worksheet!A:P,8,FALSE)</f>
        <v>Mandarin</v>
      </c>
      <c r="G368" s="5" t="str">
        <f>VLOOKUP(globalfreelancepreprocesseddata!A368,worksheet!A:P,9,FALSE)</f>
        <v>AI</v>
      </c>
      <c r="H368" s="5">
        <f>VLOOKUP(globalfreelancepreprocesseddata!A368,worksheet!A:P,10,FALSE)</f>
        <v>9</v>
      </c>
      <c r="I368" s="6" t="str">
        <f>VLOOKUP(globalfreelancepreprocesseddata!A368,worksheet!A:P,12,FALSE)</f>
        <v>$ 40</v>
      </c>
      <c r="J368" s="5">
        <f>VLOOKUP(globalfreelancepreprocesseddata!A368,worksheet!A:P,13,FALSE)</f>
        <v>1.7</v>
      </c>
      <c r="K368" s="5">
        <f>VLOOKUP(globalfreelancepreprocesseddata!A368,worksheet!A:P,14,FALSE)</f>
        <v>1</v>
      </c>
      <c r="L368" s="7">
        <f>VLOOKUP(globalfreelancepreprocesseddata!A368,worksheet!A:P,16,FALSE)</f>
        <v>0.72</v>
      </c>
    </row>
    <row r="369" spans="1:12" x14ac:dyDescent="0.35">
      <c r="A369" s="5" t="s">
        <v>812</v>
      </c>
      <c r="B369" s="5" t="str">
        <f>VLOOKUP(globalfreelancepreprocesseddata!A369,worksheet!A:P,3,FALSE)</f>
        <v>Manuel Torres</v>
      </c>
      <c r="C369" s="5" t="str">
        <f>VLOOKUP(globalfreelancepreprocesseddata!A369,worksheet!A:P,5,FALSE)</f>
        <v>Male</v>
      </c>
      <c r="D369" s="5">
        <f>VLOOKUP(globalfreelancepreprocesseddata!A369,worksheet!A:P,6,FALSE)</f>
        <v>31</v>
      </c>
      <c r="E369" s="5" t="str">
        <f>VLOOKUP(globalfreelancepreprocesseddata!A369,worksheet!A:P,7,FALSE)</f>
        <v>Japan</v>
      </c>
      <c r="F369" s="5" t="str">
        <f>VLOOKUP(globalfreelancepreprocesseddata!A369,worksheet!A:P,8,FALSE)</f>
        <v>Japanese</v>
      </c>
      <c r="G369" s="5" t="str">
        <f>VLOOKUP(globalfreelancepreprocesseddata!A369,worksheet!A:P,9,FALSE)</f>
        <v>Data Analysis</v>
      </c>
      <c r="H369" s="5">
        <f>VLOOKUP(globalfreelancepreprocesseddata!A369,worksheet!A:P,10,FALSE)</f>
        <v>11</v>
      </c>
      <c r="I369" s="6">
        <f>VLOOKUP(globalfreelancepreprocesseddata!A369,worksheet!A:P,12,FALSE)</f>
        <v>40</v>
      </c>
      <c r="J369" s="5">
        <f>VLOOKUP(globalfreelancepreprocesseddata!A369,worksheet!A:P,13,FALSE)</f>
        <v>3.3</v>
      </c>
      <c r="K369" s="5">
        <f>VLOOKUP(globalfreelancepreprocesseddata!A369,worksheet!A:P,14,FALSE)</f>
        <v>0</v>
      </c>
      <c r="L369" s="7">
        <f>VLOOKUP(globalfreelancepreprocesseddata!A369,worksheet!A:P,16,FALSE)</f>
        <v>0.16</v>
      </c>
    </row>
    <row r="370" spans="1:12" x14ac:dyDescent="0.35">
      <c r="A370" s="5" t="s">
        <v>814</v>
      </c>
      <c r="B370" s="5" t="str">
        <f>VLOOKUP(globalfreelancepreprocesseddata!A370,worksheet!A:P,3,FALSE)</f>
        <v>Scott Keller</v>
      </c>
      <c r="C370" s="5" t="str">
        <f>VLOOKUP(globalfreelancepreprocesseddata!A370,worksheet!A:P,5,FALSE)</f>
        <v>Male</v>
      </c>
      <c r="D370" s="5">
        <f>VLOOKUP(globalfreelancepreprocesseddata!A370,worksheet!A:P,6,FALSE)</f>
        <v>33</v>
      </c>
      <c r="E370" s="5" t="str">
        <f>VLOOKUP(globalfreelancepreprocesseddata!A370,worksheet!A:P,7,FALSE)</f>
        <v>South Korea</v>
      </c>
      <c r="F370" s="5" t="str">
        <f>VLOOKUP(globalfreelancepreprocesseddata!A370,worksheet!A:P,8,FALSE)</f>
        <v>Korean</v>
      </c>
      <c r="G370" s="5" t="str">
        <f>VLOOKUP(globalfreelancepreprocesseddata!A370,worksheet!A:P,9,FALSE)</f>
        <v>Machine Learning</v>
      </c>
      <c r="H370" s="5">
        <f>VLOOKUP(globalfreelancepreprocesseddata!A370,worksheet!A:P,10,FALSE)</f>
        <v>11</v>
      </c>
      <c r="I370" s="6">
        <f>VLOOKUP(globalfreelancepreprocesseddata!A370,worksheet!A:P,12,FALSE)</f>
        <v>40</v>
      </c>
      <c r="J370" s="5">
        <f>VLOOKUP(globalfreelancepreprocesseddata!A370,worksheet!A:P,13,FALSE)</f>
        <v>4.3</v>
      </c>
      <c r="K370" s="5">
        <f>VLOOKUP(globalfreelancepreprocesseddata!A370,worksheet!A:P,14,FALSE)</f>
        <v>1</v>
      </c>
      <c r="L370" s="7">
        <f>VLOOKUP(globalfreelancepreprocesseddata!A370,worksheet!A:P,16,FALSE)</f>
        <v>0.63</v>
      </c>
    </row>
    <row r="371" spans="1:12" x14ac:dyDescent="0.35">
      <c r="A371" s="5" t="s">
        <v>816</v>
      </c>
      <c r="B371" s="5" t="str">
        <f>VLOOKUP(globalfreelancepreprocesseddata!A371,worksheet!A:P,3,FALSE)</f>
        <v>Deborah Brown</v>
      </c>
      <c r="C371" s="5" t="str">
        <f>VLOOKUP(globalfreelancepreprocesseddata!A371,worksheet!A:P,5,FALSE)</f>
        <v>Female</v>
      </c>
      <c r="D371" s="5">
        <f>VLOOKUP(globalfreelancepreprocesseddata!A371,worksheet!A:P,6,FALSE)</f>
        <v>31</v>
      </c>
      <c r="E371" s="5" t="str">
        <f>VLOOKUP(globalfreelancepreprocesseddata!A371,worksheet!A:P,7,FALSE)</f>
        <v>Brazil</v>
      </c>
      <c r="F371" s="5" t="str">
        <f>VLOOKUP(globalfreelancepreprocesseddata!A371,worksheet!A:P,8,FALSE)</f>
        <v>Portuguese</v>
      </c>
      <c r="G371" s="5" t="str">
        <f>VLOOKUP(globalfreelancepreprocesseddata!A371,worksheet!A:P,9,FALSE)</f>
        <v>Machine Learning</v>
      </c>
      <c r="H371" s="5">
        <f>VLOOKUP(globalfreelancepreprocesseddata!A371,worksheet!A:P,10,FALSE)</f>
        <v>3</v>
      </c>
      <c r="I371" s="6">
        <f>VLOOKUP(globalfreelancepreprocesseddata!A371,worksheet!A:P,12,FALSE)</f>
        <v>20</v>
      </c>
      <c r="J371" s="5">
        <f>VLOOKUP(globalfreelancepreprocesseddata!A371,worksheet!A:P,13,FALSE)</f>
        <v>3</v>
      </c>
      <c r="K371" s="5">
        <f>VLOOKUP(globalfreelancepreprocesseddata!A371,worksheet!A:P,14,FALSE)</f>
        <v>0</v>
      </c>
      <c r="L371" s="7">
        <f>VLOOKUP(globalfreelancepreprocesseddata!A371,worksheet!A:P,16,FALSE)</f>
        <v>0.16</v>
      </c>
    </row>
    <row r="372" spans="1:12" x14ac:dyDescent="0.35">
      <c r="A372" s="5" t="s">
        <v>818</v>
      </c>
      <c r="B372" s="5" t="str">
        <f>VLOOKUP(globalfreelancepreprocesseddata!A372,worksheet!A:P,3,FALSE)</f>
        <v>Jennifer Lara</v>
      </c>
      <c r="C372" s="5" t="str">
        <f>VLOOKUP(globalfreelancepreprocesseddata!A372,worksheet!A:P,5,FALSE)</f>
        <v>Female</v>
      </c>
      <c r="D372" s="5">
        <f>VLOOKUP(globalfreelancepreprocesseddata!A372,worksheet!A:P,6,FALSE)</f>
        <v>49</v>
      </c>
      <c r="E372" s="5" t="str">
        <f>VLOOKUP(globalfreelancepreprocesseddata!A372,worksheet!A:P,7,FALSE)</f>
        <v>Italy</v>
      </c>
      <c r="F372" s="5" t="str">
        <f>VLOOKUP(globalfreelancepreprocesseddata!A372,worksheet!A:P,8,FALSE)</f>
        <v>Italian</v>
      </c>
      <c r="G372" s="5" t="str">
        <f>VLOOKUP(globalfreelancepreprocesseddata!A372,worksheet!A:P,9,FALSE)</f>
        <v>Data Analysis</v>
      </c>
      <c r="H372" s="5">
        <f>VLOOKUP(globalfreelancepreprocesseddata!A372,worksheet!A:P,10,FALSE)</f>
        <v>15</v>
      </c>
      <c r="I372" s="6" t="str">
        <f>VLOOKUP(globalfreelancepreprocesseddata!A372,worksheet!A:P,12,FALSE)</f>
        <v>$ 75</v>
      </c>
      <c r="J372" s="5">
        <f>VLOOKUP(globalfreelancepreprocesseddata!A372,worksheet!A:P,13,FALSE)</f>
        <v>2.6</v>
      </c>
      <c r="K372" s="5">
        <f>VLOOKUP(globalfreelancepreprocesseddata!A372,worksheet!A:P,14,FALSE)</f>
        <v>0</v>
      </c>
      <c r="L372" s="7">
        <f>VLOOKUP(globalfreelancepreprocesseddata!A372,worksheet!A:P,16,FALSE)</f>
        <v>0.83</v>
      </c>
    </row>
    <row r="373" spans="1:12" x14ac:dyDescent="0.35">
      <c r="A373" s="5" t="s">
        <v>820</v>
      </c>
      <c r="B373" s="5" t="str">
        <f>VLOOKUP(globalfreelancepreprocesseddata!A373,worksheet!A:P,3,FALSE)</f>
        <v>Jason Scott</v>
      </c>
      <c r="C373" s="5" t="str">
        <f>VLOOKUP(globalfreelancepreprocesseddata!A373,worksheet!A:P,5,FALSE)</f>
        <v>Male</v>
      </c>
      <c r="D373" s="5">
        <f>VLOOKUP(globalfreelancepreprocesseddata!A373,worksheet!A:P,6,FALSE)</f>
        <v>35</v>
      </c>
      <c r="E373" s="5" t="str">
        <f>VLOOKUP(globalfreelancepreprocesseddata!A373,worksheet!A:P,7,FALSE)</f>
        <v>Mexico</v>
      </c>
      <c r="F373" s="5" t="str">
        <f>VLOOKUP(globalfreelancepreprocesseddata!A373,worksheet!A:P,8,FALSE)</f>
        <v>Spanish</v>
      </c>
      <c r="G373" s="5" t="str">
        <f>VLOOKUP(globalfreelancepreprocesseddata!A373,worksheet!A:P,9,FALSE)</f>
        <v>Graphic Design</v>
      </c>
      <c r="H373" s="5">
        <f>VLOOKUP(globalfreelancepreprocesseddata!A373,worksheet!A:P,10,FALSE)</f>
        <v>12</v>
      </c>
      <c r="I373" s="6" t="str">
        <f>VLOOKUP(globalfreelancepreprocesseddata!A373,worksheet!A:P,12,FALSE)</f>
        <v>$ 20</v>
      </c>
      <c r="J373" s="5">
        <f>VLOOKUP(globalfreelancepreprocesseddata!A373,worksheet!A:P,13,FALSE)</f>
        <v>4.0999999999999996</v>
      </c>
      <c r="K373" s="5">
        <f>VLOOKUP(globalfreelancepreprocesseddata!A373,worksheet!A:P,14,FALSE)</f>
        <v>1</v>
      </c>
      <c r="L373" s="7">
        <f>VLOOKUP(globalfreelancepreprocesseddata!A373,worksheet!A:P,16,FALSE)</f>
        <v>0.94</v>
      </c>
    </row>
    <row r="374" spans="1:12" x14ac:dyDescent="0.35">
      <c r="A374" s="5" t="s">
        <v>822</v>
      </c>
      <c r="B374" s="5" t="str">
        <f>VLOOKUP(globalfreelancepreprocesseddata!A374,worksheet!A:P,3,FALSE)</f>
        <v>Gregory Garrison</v>
      </c>
      <c r="C374" s="5" t="str">
        <f>VLOOKUP(globalfreelancepreprocesseddata!A374,worksheet!A:P,5,FALSE)</f>
        <v>Male</v>
      </c>
      <c r="D374" s="5">
        <f>VLOOKUP(globalfreelancepreprocesseddata!A374,worksheet!A:P,6,FALSE)</f>
        <v>45</v>
      </c>
      <c r="E374" s="5" t="str">
        <f>VLOOKUP(globalfreelancepreprocesseddata!A374,worksheet!A:P,7,FALSE)</f>
        <v>India</v>
      </c>
      <c r="F374" s="5" t="str">
        <f>VLOOKUP(globalfreelancepreprocesseddata!A374,worksheet!A:P,8,FALSE)</f>
        <v>Hindi</v>
      </c>
      <c r="G374" s="5" t="str">
        <f>VLOOKUP(globalfreelancepreprocesseddata!A374,worksheet!A:P,9,FALSE)</f>
        <v>Data Analysis</v>
      </c>
      <c r="H374" s="5">
        <f>VLOOKUP(globalfreelancepreprocesseddata!A374,worksheet!A:P,10,FALSE)</f>
        <v>19</v>
      </c>
      <c r="I374" s="6">
        <f>VLOOKUP(globalfreelancepreprocesseddata!A374,worksheet!A:P,12,FALSE)</f>
        <v>40</v>
      </c>
      <c r="J374" s="5">
        <f>VLOOKUP(globalfreelancepreprocesseddata!A374,worksheet!A:P,13,FALSE)</f>
        <v>2.2000000000000002</v>
      </c>
      <c r="K374" s="5">
        <f>VLOOKUP(globalfreelancepreprocesseddata!A374,worksheet!A:P,14,FALSE)</f>
        <v>1</v>
      </c>
      <c r="L374" s="7">
        <f>VLOOKUP(globalfreelancepreprocesseddata!A374,worksheet!A:P,16,FALSE)</f>
        <v>0.78</v>
      </c>
    </row>
    <row r="375" spans="1:12" x14ac:dyDescent="0.35">
      <c r="A375" s="5" t="s">
        <v>824</v>
      </c>
      <c r="B375" s="5" t="str">
        <f>VLOOKUP(globalfreelancepreprocesseddata!A375,worksheet!A:P,3,FALSE)</f>
        <v>Chelsea Anderson</v>
      </c>
      <c r="C375" s="5" t="str">
        <f>VLOOKUP(globalfreelancepreprocesseddata!A375,worksheet!A:P,5,FALSE)</f>
        <v>Female</v>
      </c>
      <c r="D375" s="5">
        <f>VLOOKUP(globalfreelancepreprocesseddata!A375,worksheet!A:P,6,FALSE)</f>
        <v>39</v>
      </c>
      <c r="E375" s="5" t="str">
        <f>VLOOKUP(globalfreelancepreprocesseddata!A375,worksheet!A:P,7,FALSE)</f>
        <v>Netherlands</v>
      </c>
      <c r="F375" s="5" t="str">
        <f>VLOOKUP(globalfreelancepreprocesseddata!A375,worksheet!A:P,8,FALSE)</f>
        <v>Dutch</v>
      </c>
      <c r="G375" s="5" t="str">
        <f>VLOOKUP(globalfreelancepreprocesseddata!A375,worksheet!A:P,9,FALSE)</f>
        <v>Data Analysis</v>
      </c>
      <c r="H375" s="5">
        <f>VLOOKUP(globalfreelancepreprocesseddata!A375,worksheet!A:P,10,FALSE)</f>
        <v>13</v>
      </c>
      <c r="I375" s="6">
        <f>VLOOKUP(globalfreelancepreprocesseddata!A375,worksheet!A:P,12,FALSE)</f>
        <v>30</v>
      </c>
      <c r="J375" s="5">
        <f>VLOOKUP(globalfreelancepreprocesseddata!A375,worksheet!A:P,13,FALSE)</f>
        <v>1.1000000000000001</v>
      </c>
      <c r="K375" s="5">
        <f>VLOOKUP(globalfreelancepreprocesseddata!A375,worksheet!A:P,14,FALSE)</f>
        <v>1</v>
      </c>
      <c r="L375" s="7">
        <f>VLOOKUP(globalfreelancepreprocesseddata!A375,worksheet!A:P,16,FALSE)</f>
        <v>0.16</v>
      </c>
    </row>
    <row r="376" spans="1:12" x14ac:dyDescent="0.35">
      <c r="A376" s="5" t="s">
        <v>826</v>
      </c>
      <c r="B376" s="5" t="str">
        <f>VLOOKUP(globalfreelancepreprocesseddata!A376,worksheet!A:P,3,FALSE)</f>
        <v>Gerald Johnson</v>
      </c>
      <c r="C376" s="5" t="str">
        <f>VLOOKUP(globalfreelancepreprocesseddata!A376,worksheet!A:P,5,FALSE)</f>
        <v>Male</v>
      </c>
      <c r="D376" s="5">
        <f>VLOOKUP(globalfreelancepreprocesseddata!A376,worksheet!A:P,6,FALSE)</f>
        <v>41</v>
      </c>
      <c r="E376" s="5" t="str">
        <f>VLOOKUP(globalfreelancepreprocesseddata!A376,worksheet!A:P,7,FALSE)</f>
        <v>Argentina</v>
      </c>
      <c r="F376" s="5" t="str">
        <f>VLOOKUP(globalfreelancepreprocesseddata!A376,worksheet!A:P,8,FALSE)</f>
        <v>Spanish</v>
      </c>
      <c r="G376" s="5" t="str">
        <f>VLOOKUP(globalfreelancepreprocesseddata!A376,worksheet!A:P,9,FALSE)</f>
        <v>Blockchain Development</v>
      </c>
      <c r="H376" s="5">
        <f>VLOOKUP(globalfreelancepreprocesseddata!A376,worksheet!A:P,10,FALSE)</f>
        <v>11</v>
      </c>
      <c r="I376" s="6">
        <f>VLOOKUP(globalfreelancepreprocesseddata!A376,worksheet!A:P,12,FALSE)</f>
        <v>50</v>
      </c>
      <c r="J376" s="5">
        <f>VLOOKUP(globalfreelancepreprocesseddata!A376,worksheet!A:P,13,FALSE)</f>
        <v>2.1</v>
      </c>
      <c r="K376" s="5">
        <f>VLOOKUP(globalfreelancepreprocesseddata!A376,worksheet!A:P,14,FALSE)</f>
        <v>1</v>
      </c>
      <c r="L376" s="7">
        <f>VLOOKUP(globalfreelancepreprocesseddata!A376,worksheet!A:P,16,FALSE)</f>
        <v>0.82</v>
      </c>
    </row>
    <row r="377" spans="1:12" x14ac:dyDescent="0.35">
      <c r="A377" s="5" t="s">
        <v>828</v>
      </c>
      <c r="B377" s="5" t="str">
        <f>VLOOKUP(globalfreelancepreprocesseddata!A377,worksheet!A:P,3,FALSE)</f>
        <v>Kevin Ellis</v>
      </c>
      <c r="C377" s="5" t="str">
        <f>VLOOKUP(globalfreelancepreprocesseddata!A377,worksheet!A:P,5,FALSE)</f>
        <v>Male</v>
      </c>
      <c r="D377" s="5">
        <f>VLOOKUP(globalfreelancepreprocesseddata!A377,worksheet!A:P,6,FALSE)</f>
        <v>24</v>
      </c>
      <c r="E377" s="5" t="str">
        <f>VLOOKUP(globalfreelancepreprocesseddata!A377,worksheet!A:P,7,FALSE)</f>
        <v>Germany</v>
      </c>
      <c r="F377" s="5" t="str">
        <f>VLOOKUP(globalfreelancepreprocesseddata!A377,worksheet!A:P,8,FALSE)</f>
        <v>German</v>
      </c>
      <c r="G377" s="5" t="str">
        <f>VLOOKUP(globalfreelancepreprocesseddata!A377,worksheet!A:P,9,FALSE)</f>
        <v>Cybersecurity</v>
      </c>
      <c r="H377" s="5">
        <f>VLOOKUP(globalfreelancepreprocesseddata!A377,worksheet!A:P,10,FALSE)</f>
        <v>3</v>
      </c>
      <c r="I377" s="6">
        <f>VLOOKUP(globalfreelancepreprocesseddata!A377,worksheet!A:P,12,FALSE)</f>
        <v>30</v>
      </c>
      <c r="J377" s="5">
        <f>VLOOKUP(globalfreelancepreprocesseddata!A377,worksheet!A:P,13,FALSE)</f>
        <v>2.2999999999999998</v>
      </c>
      <c r="K377" s="5">
        <f>VLOOKUP(globalfreelancepreprocesseddata!A377,worksheet!A:P,14,FALSE)</f>
        <v>0</v>
      </c>
      <c r="L377" s="7">
        <f>VLOOKUP(globalfreelancepreprocesseddata!A377,worksheet!A:P,16,FALSE)</f>
        <v>0.66</v>
      </c>
    </row>
    <row r="378" spans="1:12" x14ac:dyDescent="0.35">
      <c r="A378" s="5" t="s">
        <v>830</v>
      </c>
      <c r="B378" s="5" t="str">
        <f>VLOOKUP(globalfreelancepreprocesseddata!A378,worksheet!A:P,3,FALSE)</f>
        <v>Mitchell Keller</v>
      </c>
      <c r="C378" s="5" t="str">
        <f>VLOOKUP(globalfreelancepreprocesseddata!A378,worksheet!A:P,5,FALSE)</f>
        <v>Male</v>
      </c>
      <c r="D378" s="5">
        <f>VLOOKUP(globalfreelancepreprocesseddata!A378,worksheet!A:P,6,FALSE)</f>
        <v>50</v>
      </c>
      <c r="E378" s="5" t="str">
        <f>VLOOKUP(globalfreelancepreprocesseddata!A378,worksheet!A:P,7,FALSE)</f>
        <v>Australia</v>
      </c>
      <c r="F378" s="5" t="str">
        <f>VLOOKUP(globalfreelancepreprocesseddata!A378,worksheet!A:P,8,FALSE)</f>
        <v>English</v>
      </c>
      <c r="G378" s="5" t="str">
        <f>VLOOKUP(globalfreelancepreprocesseddata!A378,worksheet!A:P,9,FALSE)</f>
        <v>Graphic Design</v>
      </c>
      <c r="H378" s="5">
        <f>VLOOKUP(globalfreelancepreprocesseddata!A378,worksheet!A:P,10,FALSE)</f>
        <v>26</v>
      </c>
      <c r="I378" s="6">
        <f>VLOOKUP(globalfreelancepreprocesseddata!A378,worksheet!A:P,12,FALSE)</f>
        <v>40</v>
      </c>
      <c r="J378" s="5">
        <f>VLOOKUP(globalfreelancepreprocesseddata!A378,worksheet!A:P,13,FALSE)</f>
        <v>3.6</v>
      </c>
      <c r="K378" s="5">
        <f>VLOOKUP(globalfreelancepreprocesseddata!A378,worksheet!A:P,14,FALSE)</f>
        <v>1</v>
      </c>
      <c r="L378" s="7">
        <f>VLOOKUP(globalfreelancepreprocesseddata!A378,worksheet!A:P,16,FALSE)</f>
        <v>0.82</v>
      </c>
    </row>
    <row r="379" spans="1:12" x14ac:dyDescent="0.35">
      <c r="A379" s="5" t="s">
        <v>832</v>
      </c>
      <c r="B379" s="5" t="str">
        <f>VLOOKUP(globalfreelancepreprocesseddata!A379,worksheet!A:P,3,FALSE)</f>
        <v>Mary Brown</v>
      </c>
      <c r="C379" s="5" t="str">
        <f>VLOOKUP(globalfreelancepreprocesseddata!A379,worksheet!A:P,5,FALSE)</f>
        <v>Female</v>
      </c>
      <c r="D379" s="5">
        <f>VLOOKUP(globalfreelancepreprocesseddata!A379,worksheet!A:P,6,FALSE)</f>
        <v>23</v>
      </c>
      <c r="E379" s="5" t="str">
        <f>VLOOKUP(globalfreelancepreprocesseddata!A379,worksheet!A:P,7,FALSE)</f>
        <v>Germany</v>
      </c>
      <c r="F379" s="5" t="str">
        <f>VLOOKUP(globalfreelancepreprocesseddata!A379,worksheet!A:P,8,FALSE)</f>
        <v>German</v>
      </c>
      <c r="G379" s="5" t="str">
        <f>VLOOKUP(globalfreelancepreprocesseddata!A379,worksheet!A:P,9,FALSE)</f>
        <v>Machine Learning</v>
      </c>
      <c r="H379" s="5">
        <f>VLOOKUP(globalfreelancepreprocesseddata!A379,worksheet!A:P,10,FALSE)</f>
        <v>4</v>
      </c>
      <c r="I379" s="6" t="str">
        <f>VLOOKUP(globalfreelancepreprocesseddata!A379,worksheet!A:P,12,FALSE)</f>
        <v>$ 20</v>
      </c>
      <c r="J379" s="5">
        <f>VLOOKUP(globalfreelancepreprocesseddata!A379,worksheet!A:P,13,FALSE)</f>
        <v>4.7</v>
      </c>
      <c r="K379" s="5">
        <f>VLOOKUP(globalfreelancepreprocesseddata!A379,worksheet!A:P,14,FALSE)</f>
        <v>1</v>
      </c>
      <c r="L379" s="7">
        <f>VLOOKUP(globalfreelancepreprocesseddata!A379,worksheet!A:P,16,FALSE)</f>
        <v>0.84</v>
      </c>
    </row>
    <row r="380" spans="1:12" x14ac:dyDescent="0.35">
      <c r="A380" s="5" t="s">
        <v>834</v>
      </c>
      <c r="B380" s="5" t="str">
        <f>VLOOKUP(globalfreelancepreprocesseddata!A380,worksheet!A:P,3,FALSE)</f>
        <v>Ronald Walls</v>
      </c>
      <c r="C380" s="5" t="str">
        <f>VLOOKUP(globalfreelancepreprocesseddata!A380,worksheet!A:P,5,FALSE)</f>
        <v>Male</v>
      </c>
      <c r="D380" s="5">
        <f>VLOOKUP(globalfreelancepreprocesseddata!A380,worksheet!A:P,6,FALSE)</f>
        <v>27</v>
      </c>
      <c r="E380" s="5" t="str">
        <f>VLOOKUP(globalfreelancepreprocesseddata!A380,worksheet!A:P,7,FALSE)</f>
        <v>Canada</v>
      </c>
      <c r="F380" s="5" t="str">
        <f>VLOOKUP(globalfreelancepreprocesseddata!A380,worksheet!A:P,8,FALSE)</f>
        <v>English</v>
      </c>
      <c r="G380" s="5" t="str">
        <f>VLOOKUP(globalfreelancepreprocesseddata!A380,worksheet!A:P,9,FALSE)</f>
        <v>Cybersecurity</v>
      </c>
      <c r="H380" s="5">
        <f>VLOOKUP(globalfreelancepreprocesseddata!A380,worksheet!A:P,10,FALSE)</f>
        <v>8</v>
      </c>
      <c r="I380" s="6">
        <f>VLOOKUP(globalfreelancepreprocesseddata!A380,worksheet!A:P,12,FALSE)</f>
        <v>20</v>
      </c>
      <c r="J380" s="5">
        <f>VLOOKUP(globalfreelancepreprocesseddata!A380,worksheet!A:P,13,FALSE)</f>
        <v>4.8</v>
      </c>
      <c r="K380" s="5">
        <f>VLOOKUP(globalfreelancepreprocesseddata!A380,worksheet!A:P,14,FALSE)</f>
        <v>0</v>
      </c>
      <c r="L380" s="7">
        <f>VLOOKUP(globalfreelancepreprocesseddata!A380,worksheet!A:P,16,FALSE)</f>
        <v>0.81</v>
      </c>
    </row>
    <row r="381" spans="1:12" x14ac:dyDescent="0.35">
      <c r="A381" s="5" t="s">
        <v>836</v>
      </c>
      <c r="B381" s="5" t="str">
        <f>VLOOKUP(globalfreelancepreprocesseddata!A381,worksheet!A:P,3,FALSE)</f>
        <v>Anthony Avila</v>
      </c>
      <c r="C381" s="5" t="str">
        <f>VLOOKUP(globalfreelancepreprocesseddata!A381,worksheet!A:P,5,FALSE)</f>
        <v>Male</v>
      </c>
      <c r="D381" s="5">
        <f>VLOOKUP(globalfreelancepreprocesseddata!A381,worksheet!A:P,6,FALSE)</f>
        <v>58</v>
      </c>
      <c r="E381" s="5" t="str">
        <f>VLOOKUP(globalfreelancepreprocesseddata!A381,worksheet!A:P,7,FALSE)</f>
        <v>South Africa</v>
      </c>
      <c r="F381" s="5" t="str">
        <f>VLOOKUP(globalfreelancepreprocesseddata!A381,worksheet!A:P,8,FALSE)</f>
        <v>Afrikaans</v>
      </c>
      <c r="G381" s="5" t="str">
        <f>VLOOKUP(globalfreelancepreprocesseddata!A381,worksheet!A:P,9,FALSE)</f>
        <v>AI</v>
      </c>
      <c r="H381" s="5">
        <f>VLOOKUP(globalfreelancepreprocesseddata!A381,worksheet!A:P,10,FALSE)</f>
        <v>10</v>
      </c>
      <c r="I381" s="6">
        <f>VLOOKUP(globalfreelancepreprocesseddata!A381,worksheet!A:P,12,FALSE)</f>
        <v>75</v>
      </c>
      <c r="J381" s="5">
        <f>VLOOKUP(globalfreelancepreprocesseddata!A381,worksheet!A:P,13,FALSE)</f>
        <v>4.2</v>
      </c>
      <c r="K381" s="5">
        <f>VLOOKUP(globalfreelancepreprocesseddata!A381,worksheet!A:P,14,FALSE)</f>
        <v>0</v>
      </c>
      <c r="L381" s="7">
        <f>VLOOKUP(globalfreelancepreprocesseddata!A381,worksheet!A:P,16,FALSE)</f>
        <v>0.71</v>
      </c>
    </row>
    <row r="382" spans="1:12" x14ac:dyDescent="0.35">
      <c r="A382" s="5" t="s">
        <v>838</v>
      </c>
      <c r="B382" s="5" t="str">
        <f>VLOOKUP(globalfreelancepreprocesseddata!A382,worksheet!A:P,3,FALSE)</f>
        <v>Douglas Goodwin</v>
      </c>
      <c r="C382" s="5" t="str">
        <f>VLOOKUP(globalfreelancepreprocesseddata!A382,worksheet!A:P,5,FALSE)</f>
        <v>Male</v>
      </c>
      <c r="D382" s="5">
        <f>VLOOKUP(globalfreelancepreprocesseddata!A382,worksheet!A:P,6,FALSE)</f>
        <v>37</v>
      </c>
      <c r="E382" s="5" t="str">
        <f>VLOOKUP(globalfreelancepreprocesseddata!A382,worksheet!A:P,7,FALSE)</f>
        <v>Italy</v>
      </c>
      <c r="F382" s="5" t="str">
        <f>VLOOKUP(globalfreelancepreprocesseddata!A382,worksheet!A:P,8,FALSE)</f>
        <v>Italian</v>
      </c>
      <c r="G382" s="5" t="str">
        <f>VLOOKUP(globalfreelancepreprocesseddata!A382,worksheet!A:P,9,FALSE)</f>
        <v>Machine Learning</v>
      </c>
      <c r="H382" s="5">
        <f>VLOOKUP(globalfreelancepreprocesseddata!A382,worksheet!A:P,10,FALSE)</f>
        <v>5</v>
      </c>
      <c r="I382" s="6">
        <f>VLOOKUP(globalfreelancepreprocesseddata!A382,worksheet!A:P,12,FALSE)</f>
        <v>40</v>
      </c>
      <c r="J382" s="5">
        <f>VLOOKUP(globalfreelancepreprocesseddata!A382,worksheet!A:P,13,FALSE)</f>
        <v>4.8</v>
      </c>
      <c r="K382" s="5">
        <f>VLOOKUP(globalfreelancepreprocesseddata!A382,worksheet!A:P,14,FALSE)</f>
        <v>1</v>
      </c>
      <c r="L382" s="7">
        <f>VLOOKUP(globalfreelancepreprocesseddata!A382,worksheet!A:P,16,FALSE)</f>
        <v>0.61</v>
      </c>
    </row>
    <row r="383" spans="1:12" x14ac:dyDescent="0.35">
      <c r="A383" s="5" t="s">
        <v>840</v>
      </c>
      <c r="B383" s="5" t="str">
        <f>VLOOKUP(globalfreelancepreprocesseddata!A383,worksheet!A:P,3,FALSE)</f>
        <v>James Mills</v>
      </c>
      <c r="C383" s="5" t="str">
        <f>VLOOKUP(globalfreelancepreprocesseddata!A383,worksheet!A:P,5,FALSE)</f>
        <v>Male</v>
      </c>
      <c r="D383" s="5">
        <f>VLOOKUP(globalfreelancepreprocesseddata!A383,worksheet!A:P,6,FALSE)</f>
        <v>39</v>
      </c>
      <c r="E383" s="5" t="str">
        <f>VLOOKUP(globalfreelancepreprocesseddata!A383,worksheet!A:P,7,FALSE)</f>
        <v>Spain</v>
      </c>
      <c r="F383" s="5" t="str">
        <f>VLOOKUP(globalfreelancepreprocesseddata!A383,worksheet!A:P,8,FALSE)</f>
        <v>Spanish</v>
      </c>
      <c r="G383" s="5" t="str">
        <f>VLOOKUP(globalfreelancepreprocesseddata!A383,worksheet!A:P,9,FALSE)</f>
        <v>Blockchain Development</v>
      </c>
      <c r="H383" s="5">
        <f>VLOOKUP(globalfreelancepreprocesseddata!A383,worksheet!A:P,10,FALSE)</f>
        <v>18</v>
      </c>
      <c r="I383" s="6">
        <f>VLOOKUP(globalfreelancepreprocesseddata!A383,worksheet!A:P,12,FALSE)</f>
        <v>75</v>
      </c>
      <c r="J383" s="5">
        <f>VLOOKUP(globalfreelancepreprocesseddata!A383,worksheet!A:P,13,FALSE)</f>
        <v>4</v>
      </c>
      <c r="K383" s="5">
        <f>VLOOKUP(globalfreelancepreprocesseddata!A383,worksheet!A:P,14,FALSE)</f>
        <v>1</v>
      </c>
      <c r="L383" s="7">
        <f>VLOOKUP(globalfreelancepreprocesseddata!A383,worksheet!A:P,16,FALSE)</f>
        <v>0.66</v>
      </c>
    </row>
    <row r="384" spans="1:12" x14ac:dyDescent="0.35">
      <c r="A384" s="5" t="s">
        <v>842</v>
      </c>
      <c r="B384" s="5" t="str">
        <f>VLOOKUP(globalfreelancepreprocesseddata!A384,worksheet!A:P,3,FALSE)</f>
        <v>Nicole Marks</v>
      </c>
      <c r="C384" s="5" t="str">
        <f>VLOOKUP(globalfreelancepreprocesseddata!A384,worksheet!A:P,5,FALSE)</f>
        <v>Female</v>
      </c>
      <c r="D384" s="5">
        <f>VLOOKUP(globalfreelancepreprocesseddata!A384,worksheet!A:P,6,FALSE)</f>
        <v>46</v>
      </c>
      <c r="E384" s="5" t="str">
        <f>VLOOKUP(globalfreelancepreprocesseddata!A384,worksheet!A:P,7,FALSE)</f>
        <v>Egypt</v>
      </c>
      <c r="F384" s="5" t="str">
        <f>VLOOKUP(globalfreelancepreprocesseddata!A384,worksheet!A:P,8,FALSE)</f>
        <v>Arabic</v>
      </c>
      <c r="G384" s="5" t="str">
        <f>VLOOKUP(globalfreelancepreprocesseddata!A384,worksheet!A:P,9,FALSE)</f>
        <v>Data Analysis</v>
      </c>
      <c r="H384" s="5">
        <f>VLOOKUP(globalfreelancepreprocesseddata!A384,worksheet!A:P,10,FALSE)</f>
        <v>10</v>
      </c>
      <c r="I384" s="6">
        <f>VLOOKUP(globalfreelancepreprocesseddata!A384,worksheet!A:P,12,FALSE)</f>
        <v>20</v>
      </c>
      <c r="J384" s="5">
        <f>VLOOKUP(globalfreelancepreprocesseddata!A384,worksheet!A:P,13,FALSE)</f>
        <v>2.5</v>
      </c>
      <c r="K384" s="5">
        <f>VLOOKUP(globalfreelancepreprocesseddata!A384,worksheet!A:P,14,FALSE)</f>
        <v>1</v>
      </c>
      <c r="L384" s="7">
        <f>VLOOKUP(globalfreelancepreprocesseddata!A384,worksheet!A:P,16,FALSE)</f>
        <v>0.97</v>
      </c>
    </row>
    <row r="385" spans="1:12" x14ac:dyDescent="0.35">
      <c r="A385" s="5" t="s">
        <v>844</v>
      </c>
      <c r="B385" s="5" t="str">
        <f>VLOOKUP(globalfreelancepreprocesseddata!A385,worksheet!A:P,3,FALSE)</f>
        <v>Phyllis Dawson</v>
      </c>
      <c r="C385" s="5" t="str">
        <f>VLOOKUP(globalfreelancepreprocesseddata!A385,worksheet!A:P,5,FALSE)</f>
        <v>Female</v>
      </c>
      <c r="D385" s="5">
        <f>VLOOKUP(globalfreelancepreprocesseddata!A385,worksheet!A:P,6,FALSE)</f>
        <v>41</v>
      </c>
      <c r="E385" s="5" t="str">
        <f>VLOOKUP(globalfreelancepreprocesseddata!A385,worksheet!A:P,7,FALSE)</f>
        <v>United Kingdom</v>
      </c>
      <c r="F385" s="5" t="str">
        <f>VLOOKUP(globalfreelancepreprocesseddata!A385,worksheet!A:P,8,FALSE)</f>
        <v>English</v>
      </c>
      <c r="G385" s="5" t="str">
        <f>VLOOKUP(globalfreelancepreprocesseddata!A385,worksheet!A:P,9,FALSE)</f>
        <v>UI/UX Design</v>
      </c>
      <c r="H385" s="5">
        <f>VLOOKUP(globalfreelancepreprocesseddata!A385,worksheet!A:P,10,FALSE)</f>
        <v>11</v>
      </c>
      <c r="I385" s="6" t="str">
        <f>VLOOKUP(globalfreelancepreprocesseddata!A385,worksheet!A:P,12,FALSE)</f>
        <v>$ 20</v>
      </c>
      <c r="J385" s="5">
        <f>VLOOKUP(globalfreelancepreprocesseddata!A385,worksheet!A:P,13,FALSE)</f>
        <v>4.8</v>
      </c>
      <c r="K385" s="5">
        <f>VLOOKUP(globalfreelancepreprocesseddata!A385,worksheet!A:P,14,FALSE)</f>
        <v>0</v>
      </c>
      <c r="L385" s="7">
        <f>VLOOKUP(globalfreelancepreprocesseddata!A385,worksheet!A:P,16,FALSE)</f>
        <v>0.74</v>
      </c>
    </row>
    <row r="386" spans="1:12" x14ac:dyDescent="0.35">
      <c r="A386" s="5" t="s">
        <v>846</v>
      </c>
      <c r="B386" s="5" t="str">
        <f>VLOOKUP(globalfreelancepreprocesseddata!A386,worksheet!A:P,3,FALSE)</f>
        <v>Renee Arnold</v>
      </c>
      <c r="C386" s="5" t="str">
        <f>VLOOKUP(globalfreelancepreprocesseddata!A386,worksheet!A:P,5,FALSE)</f>
        <v>Female</v>
      </c>
      <c r="D386" s="5">
        <f>VLOOKUP(globalfreelancepreprocesseddata!A386,worksheet!A:P,6,FALSE)</f>
        <v>39</v>
      </c>
      <c r="E386" s="5" t="str">
        <f>VLOOKUP(globalfreelancepreprocesseddata!A386,worksheet!A:P,7,FALSE)</f>
        <v>Mexico</v>
      </c>
      <c r="F386" s="5" t="str">
        <f>VLOOKUP(globalfreelancepreprocesseddata!A386,worksheet!A:P,8,FALSE)</f>
        <v>Spanish</v>
      </c>
      <c r="G386" s="5" t="str">
        <f>VLOOKUP(globalfreelancepreprocesseddata!A386,worksheet!A:P,9,FALSE)</f>
        <v>Blockchain Development</v>
      </c>
      <c r="H386" s="5">
        <f>VLOOKUP(globalfreelancepreprocesseddata!A386,worksheet!A:P,10,FALSE)</f>
        <v>21</v>
      </c>
      <c r="I386" s="6">
        <f>VLOOKUP(globalfreelancepreprocesseddata!A386,worksheet!A:P,12,FALSE)</f>
        <v>30</v>
      </c>
      <c r="J386" s="5">
        <f>VLOOKUP(globalfreelancepreprocesseddata!A386,worksheet!A:P,13,FALSE)</f>
        <v>4.7</v>
      </c>
      <c r="K386" s="5">
        <f>VLOOKUP(globalfreelancepreprocesseddata!A386,worksheet!A:P,14,FALSE)</f>
        <v>0</v>
      </c>
      <c r="L386" s="7">
        <f>VLOOKUP(globalfreelancepreprocesseddata!A386,worksheet!A:P,16,FALSE)</f>
        <v>0.61</v>
      </c>
    </row>
    <row r="387" spans="1:12" x14ac:dyDescent="0.35">
      <c r="A387" s="5" t="s">
        <v>848</v>
      </c>
      <c r="B387" s="5" t="str">
        <f>VLOOKUP(globalfreelancepreprocesseddata!A387,worksheet!A:P,3,FALSE)</f>
        <v>Eric Robinson</v>
      </c>
      <c r="C387" s="5" t="str">
        <f>VLOOKUP(globalfreelancepreprocesseddata!A387,worksheet!A:P,5,FALSE)</f>
        <v>Male</v>
      </c>
      <c r="D387" s="5">
        <f>VLOOKUP(globalfreelancepreprocesseddata!A387,worksheet!A:P,6,FALSE)</f>
        <v>59</v>
      </c>
      <c r="E387" s="5" t="str">
        <f>VLOOKUP(globalfreelancepreprocesseddata!A387,worksheet!A:P,7,FALSE)</f>
        <v>Egypt</v>
      </c>
      <c r="F387" s="5" t="str">
        <f>VLOOKUP(globalfreelancepreprocesseddata!A387,worksheet!A:P,8,FALSE)</f>
        <v>Arabic</v>
      </c>
      <c r="G387" s="5" t="str">
        <f>VLOOKUP(globalfreelancepreprocesseddata!A387,worksheet!A:P,9,FALSE)</f>
        <v>Blockchain Development</v>
      </c>
      <c r="H387" s="5">
        <f>VLOOKUP(globalfreelancepreprocesseddata!A387,worksheet!A:P,10,FALSE)</f>
        <v>25</v>
      </c>
      <c r="I387" s="6">
        <f>VLOOKUP(globalfreelancepreprocesseddata!A387,worksheet!A:P,12,FALSE)</f>
        <v>20</v>
      </c>
      <c r="J387" s="5">
        <f>VLOOKUP(globalfreelancepreprocesseddata!A387,worksheet!A:P,13,FALSE)</f>
        <v>4</v>
      </c>
      <c r="K387" s="5">
        <f>VLOOKUP(globalfreelancepreprocesseddata!A387,worksheet!A:P,14,FALSE)</f>
        <v>0</v>
      </c>
      <c r="L387" s="7">
        <f>VLOOKUP(globalfreelancepreprocesseddata!A387,worksheet!A:P,16,FALSE)</f>
        <v>0.9</v>
      </c>
    </row>
    <row r="388" spans="1:12" x14ac:dyDescent="0.35">
      <c r="A388" s="5" t="s">
        <v>850</v>
      </c>
      <c r="B388" s="5" t="str">
        <f>VLOOKUP(globalfreelancepreprocesseddata!A388,worksheet!A:P,3,FALSE)</f>
        <v>Paul Brown</v>
      </c>
      <c r="C388" s="5" t="str">
        <f>VLOOKUP(globalfreelancepreprocesseddata!A388,worksheet!A:P,5,FALSE)</f>
        <v>Male</v>
      </c>
      <c r="D388" s="5">
        <f>VLOOKUP(globalfreelancepreprocesseddata!A388,worksheet!A:P,6,FALSE)</f>
        <v>21</v>
      </c>
      <c r="E388" s="5" t="str">
        <f>VLOOKUP(globalfreelancepreprocesseddata!A388,worksheet!A:P,7,FALSE)</f>
        <v>Netherlands</v>
      </c>
      <c r="F388" s="5" t="str">
        <f>VLOOKUP(globalfreelancepreprocesseddata!A388,worksheet!A:P,8,FALSE)</f>
        <v>Dutch</v>
      </c>
      <c r="G388" s="5" t="str">
        <f>VLOOKUP(globalfreelancepreprocesseddata!A388,worksheet!A:P,9,FALSE)</f>
        <v>DevOps</v>
      </c>
      <c r="H388" s="5">
        <f>VLOOKUP(globalfreelancepreprocesseddata!A388,worksheet!A:P,10,FALSE)</f>
        <v>11</v>
      </c>
      <c r="I388" s="6">
        <f>VLOOKUP(globalfreelancepreprocesseddata!A388,worksheet!A:P,12,FALSE)</f>
        <v>40</v>
      </c>
      <c r="J388" s="5">
        <f>VLOOKUP(globalfreelancepreprocesseddata!A388,worksheet!A:P,13,FALSE)</f>
        <v>4.0999999999999996</v>
      </c>
      <c r="K388" s="5">
        <f>VLOOKUP(globalfreelancepreprocesseddata!A388,worksheet!A:P,14,FALSE)</f>
        <v>1</v>
      </c>
      <c r="L388" s="7">
        <f>VLOOKUP(globalfreelancepreprocesseddata!A388,worksheet!A:P,16,FALSE)</f>
        <v>0.97</v>
      </c>
    </row>
    <row r="389" spans="1:12" x14ac:dyDescent="0.35">
      <c r="A389" s="5" t="s">
        <v>852</v>
      </c>
      <c r="B389" s="5" t="str">
        <f>VLOOKUP(globalfreelancepreprocesseddata!A389,worksheet!A:P,3,FALSE)</f>
        <v>Sarah Proctor</v>
      </c>
      <c r="C389" s="5" t="str">
        <f>VLOOKUP(globalfreelancepreprocesseddata!A389,worksheet!A:P,5,FALSE)</f>
        <v>Female</v>
      </c>
      <c r="D389" s="5">
        <f>VLOOKUP(globalfreelancepreprocesseddata!A389,worksheet!A:P,6,FALSE)</f>
        <v>23</v>
      </c>
      <c r="E389" s="5" t="str">
        <f>VLOOKUP(globalfreelancepreprocesseddata!A389,worksheet!A:P,7,FALSE)</f>
        <v>Canada</v>
      </c>
      <c r="F389" s="5" t="str">
        <f>VLOOKUP(globalfreelancepreprocesseddata!A389,worksheet!A:P,8,FALSE)</f>
        <v>English</v>
      </c>
      <c r="G389" s="5" t="str">
        <f>VLOOKUP(globalfreelancepreprocesseddata!A389,worksheet!A:P,9,FALSE)</f>
        <v>DevOps</v>
      </c>
      <c r="H389" s="5">
        <f>VLOOKUP(globalfreelancepreprocesseddata!A389,worksheet!A:P,10,FALSE)</f>
        <v>5</v>
      </c>
      <c r="I389" s="6">
        <f>VLOOKUP(globalfreelancepreprocesseddata!A389,worksheet!A:P,12,FALSE)</f>
        <v>100</v>
      </c>
      <c r="J389" s="5">
        <f>VLOOKUP(globalfreelancepreprocesseddata!A389,worksheet!A:P,13,FALSE)</f>
        <v>3.2</v>
      </c>
      <c r="K389" s="5">
        <f>VLOOKUP(globalfreelancepreprocesseddata!A389,worksheet!A:P,14,FALSE)</f>
        <v>1</v>
      </c>
      <c r="L389" s="7">
        <f>VLOOKUP(globalfreelancepreprocesseddata!A389,worksheet!A:P,16,FALSE)</f>
        <v>0.16</v>
      </c>
    </row>
    <row r="390" spans="1:12" x14ac:dyDescent="0.35">
      <c r="A390" s="5" t="s">
        <v>854</v>
      </c>
      <c r="B390" s="5" t="str">
        <f>VLOOKUP(globalfreelancepreprocesseddata!A390,worksheet!A:P,3,FALSE)</f>
        <v>Matthew Hicks</v>
      </c>
      <c r="C390" s="5" t="str">
        <f>VLOOKUP(globalfreelancepreprocesseddata!A390,worksheet!A:P,5,FALSE)</f>
        <v>Male</v>
      </c>
      <c r="D390" s="5">
        <f>VLOOKUP(globalfreelancepreprocesseddata!A390,worksheet!A:P,6,FALSE)</f>
        <v>27</v>
      </c>
      <c r="E390" s="5" t="str">
        <f>VLOOKUP(globalfreelancepreprocesseddata!A390,worksheet!A:P,7,FALSE)</f>
        <v>Egypt</v>
      </c>
      <c r="F390" s="5" t="str">
        <f>VLOOKUP(globalfreelancepreprocesseddata!A390,worksheet!A:P,8,FALSE)</f>
        <v>Arabic</v>
      </c>
      <c r="G390" s="5" t="str">
        <f>VLOOKUP(globalfreelancepreprocesseddata!A390,worksheet!A:P,9,FALSE)</f>
        <v>Web Development</v>
      </c>
      <c r="H390" s="5">
        <f>VLOOKUP(globalfreelancepreprocesseddata!A390,worksheet!A:P,10,FALSE)</f>
        <v>1</v>
      </c>
      <c r="I390" s="6">
        <f>VLOOKUP(globalfreelancepreprocesseddata!A390,worksheet!A:P,12,FALSE)</f>
        <v>20</v>
      </c>
      <c r="J390" s="5">
        <f>VLOOKUP(globalfreelancepreprocesseddata!A390,worksheet!A:P,13,FALSE)</f>
        <v>4.3</v>
      </c>
      <c r="K390" s="5">
        <f>VLOOKUP(globalfreelancepreprocesseddata!A390,worksheet!A:P,14,FALSE)</f>
        <v>0</v>
      </c>
      <c r="L390" s="7">
        <f>VLOOKUP(globalfreelancepreprocesseddata!A390,worksheet!A:P,16,FALSE)</f>
        <v>0.76</v>
      </c>
    </row>
    <row r="391" spans="1:12" x14ac:dyDescent="0.35">
      <c r="A391" s="5" t="s">
        <v>856</v>
      </c>
      <c r="B391" s="5" t="str">
        <f>VLOOKUP(globalfreelancepreprocesseddata!A391,worksheet!A:P,3,FALSE)</f>
        <v>Christopher Black</v>
      </c>
      <c r="C391" s="5" t="str">
        <f>VLOOKUP(globalfreelancepreprocesseddata!A391,worksheet!A:P,5,FALSE)</f>
        <v>Male</v>
      </c>
      <c r="D391" s="5">
        <f>VLOOKUP(globalfreelancepreprocesseddata!A391,worksheet!A:P,6,FALSE)</f>
        <v>27</v>
      </c>
      <c r="E391" s="5" t="str">
        <f>VLOOKUP(globalfreelancepreprocesseddata!A391,worksheet!A:P,7,FALSE)</f>
        <v>China</v>
      </c>
      <c r="F391" s="5" t="str">
        <f>VLOOKUP(globalfreelancepreprocesseddata!A391,worksheet!A:P,8,FALSE)</f>
        <v>Mandarin</v>
      </c>
      <c r="G391" s="5" t="str">
        <f>VLOOKUP(globalfreelancepreprocesseddata!A391,worksheet!A:P,9,FALSE)</f>
        <v>Cybersecurity</v>
      </c>
      <c r="H391" s="5">
        <f>VLOOKUP(globalfreelancepreprocesseddata!A391,worksheet!A:P,10,FALSE)</f>
        <v>4</v>
      </c>
      <c r="I391" s="6">
        <f>VLOOKUP(globalfreelancepreprocesseddata!A391,worksheet!A:P,12,FALSE)</f>
        <v>40</v>
      </c>
      <c r="J391" s="5">
        <f>VLOOKUP(globalfreelancepreprocesseddata!A391,worksheet!A:P,13,FALSE)</f>
        <v>4.4000000000000004</v>
      </c>
      <c r="K391" s="5">
        <f>VLOOKUP(globalfreelancepreprocesseddata!A391,worksheet!A:P,14,FALSE)</f>
        <v>0</v>
      </c>
      <c r="L391" s="7">
        <f>VLOOKUP(globalfreelancepreprocesseddata!A391,worksheet!A:P,16,FALSE)</f>
        <v>0.92</v>
      </c>
    </row>
    <row r="392" spans="1:12" x14ac:dyDescent="0.35">
      <c r="A392" s="5" t="s">
        <v>858</v>
      </c>
      <c r="B392" s="5" t="str">
        <f>VLOOKUP(globalfreelancepreprocesseddata!A392,worksheet!A:P,3,FALSE)</f>
        <v>Joanne Reyes</v>
      </c>
      <c r="C392" s="5" t="str">
        <f>VLOOKUP(globalfreelancepreprocesseddata!A392,worksheet!A:P,5,FALSE)</f>
        <v>Female</v>
      </c>
      <c r="D392" s="5">
        <f>VLOOKUP(globalfreelancepreprocesseddata!A392,worksheet!A:P,6,FALSE)</f>
        <v>48</v>
      </c>
      <c r="E392" s="5" t="str">
        <f>VLOOKUP(globalfreelancepreprocesseddata!A392,worksheet!A:P,7,FALSE)</f>
        <v>South Africa</v>
      </c>
      <c r="F392" s="5" t="str">
        <f>VLOOKUP(globalfreelancepreprocesseddata!A392,worksheet!A:P,8,FALSE)</f>
        <v>Afrikaans</v>
      </c>
      <c r="G392" s="5" t="str">
        <f>VLOOKUP(globalfreelancepreprocesseddata!A392,worksheet!A:P,9,FALSE)</f>
        <v>Data Analysis</v>
      </c>
      <c r="H392" s="5">
        <f>VLOOKUP(globalfreelancepreprocesseddata!A392,worksheet!A:P,10,FALSE)</f>
        <v>21</v>
      </c>
      <c r="I392" s="6">
        <f>VLOOKUP(globalfreelancepreprocesseddata!A392,worksheet!A:P,12,FALSE)</f>
        <v>40</v>
      </c>
      <c r="J392" s="5">
        <f>VLOOKUP(globalfreelancepreprocesseddata!A392,worksheet!A:P,13,FALSE)</f>
        <v>2.2999999999999998</v>
      </c>
      <c r="K392" s="5">
        <f>VLOOKUP(globalfreelancepreprocesseddata!A392,worksheet!A:P,14,FALSE)</f>
        <v>0</v>
      </c>
      <c r="L392" s="7">
        <f>VLOOKUP(globalfreelancepreprocesseddata!A392,worksheet!A:P,16,FALSE)</f>
        <v>0.16</v>
      </c>
    </row>
    <row r="393" spans="1:12" x14ac:dyDescent="0.35">
      <c r="A393" s="5" t="s">
        <v>860</v>
      </c>
      <c r="B393" s="5" t="str">
        <f>VLOOKUP(globalfreelancepreprocesseddata!A393,worksheet!A:P,3,FALSE)</f>
        <v>Isaac Gray</v>
      </c>
      <c r="C393" s="5" t="str">
        <f>VLOOKUP(globalfreelancepreprocesseddata!A393,worksheet!A:P,5,FALSE)</f>
        <v>Male</v>
      </c>
      <c r="D393" s="5">
        <f>VLOOKUP(globalfreelancepreprocesseddata!A393,worksheet!A:P,6,FALSE)</f>
        <v>21</v>
      </c>
      <c r="E393" s="5" t="str">
        <f>VLOOKUP(globalfreelancepreprocesseddata!A393,worksheet!A:P,7,FALSE)</f>
        <v>South Africa</v>
      </c>
      <c r="F393" s="5" t="str">
        <f>VLOOKUP(globalfreelancepreprocesseddata!A393,worksheet!A:P,8,FALSE)</f>
        <v>Afrikaans</v>
      </c>
      <c r="G393" s="5" t="str">
        <f>VLOOKUP(globalfreelancepreprocesseddata!A393,worksheet!A:P,9,FALSE)</f>
        <v>AI</v>
      </c>
      <c r="H393" s="5">
        <f>VLOOKUP(globalfreelancepreprocesseddata!A393,worksheet!A:P,10,FALSE)</f>
        <v>1</v>
      </c>
      <c r="I393" s="6">
        <f>VLOOKUP(globalfreelancepreprocesseddata!A393,worksheet!A:P,12,FALSE)</f>
        <v>20</v>
      </c>
      <c r="J393" s="5">
        <f>VLOOKUP(globalfreelancepreprocesseddata!A393,worksheet!A:P,13,FALSE)</f>
        <v>2.4</v>
      </c>
      <c r="K393" s="5">
        <f>VLOOKUP(globalfreelancepreprocesseddata!A393,worksheet!A:P,14,FALSE)</f>
        <v>1</v>
      </c>
      <c r="L393" s="7">
        <f>VLOOKUP(globalfreelancepreprocesseddata!A393,worksheet!A:P,16,FALSE)</f>
        <v>0.66</v>
      </c>
    </row>
    <row r="394" spans="1:12" x14ac:dyDescent="0.35">
      <c r="A394" s="5" t="s">
        <v>862</v>
      </c>
      <c r="B394" s="5" t="str">
        <f>VLOOKUP(globalfreelancepreprocesseddata!A394,worksheet!A:P,3,FALSE)</f>
        <v>Joshua Roberts</v>
      </c>
      <c r="C394" s="5" t="str">
        <f>VLOOKUP(globalfreelancepreprocesseddata!A394,worksheet!A:P,5,FALSE)</f>
        <v>Male</v>
      </c>
      <c r="D394" s="5">
        <f>VLOOKUP(globalfreelancepreprocesseddata!A394,worksheet!A:P,6,FALSE)</f>
        <v>37</v>
      </c>
      <c r="E394" s="5" t="str">
        <f>VLOOKUP(globalfreelancepreprocesseddata!A394,worksheet!A:P,7,FALSE)</f>
        <v>Italy</v>
      </c>
      <c r="F394" s="5" t="str">
        <f>VLOOKUP(globalfreelancepreprocesseddata!A394,worksheet!A:P,8,FALSE)</f>
        <v>Italian</v>
      </c>
      <c r="G394" s="5" t="str">
        <f>VLOOKUP(globalfreelancepreprocesseddata!A394,worksheet!A:P,9,FALSE)</f>
        <v>DevOps</v>
      </c>
      <c r="H394" s="5">
        <f>VLOOKUP(globalfreelancepreprocesseddata!A394,worksheet!A:P,10,FALSE)</f>
        <v>11</v>
      </c>
      <c r="I394" s="6">
        <f>VLOOKUP(globalfreelancepreprocesseddata!A394,worksheet!A:P,12,FALSE)</f>
        <v>50</v>
      </c>
      <c r="J394" s="5">
        <f>VLOOKUP(globalfreelancepreprocesseddata!A394,worksheet!A:P,13,FALSE)</f>
        <v>4.5999999999999996</v>
      </c>
      <c r="K394" s="5">
        <f>VLOOKUP(globalfreelancepreprocesseddata!A394,worksheet!A:P,14,FALSE)</f>
        <v>0</v>
      </c>
      <c r="L394" s="7">
        <f>VLOOKUP(globalfreelancepreprocesseddata!A394,worksheet!A:P,16,FALSE)</f>
        <v>0.83</v>
      </c>
    </row>
    <row r="395" spans="1:12" x14ac:dyDescent="0.35">
      <c r="A395" s="5" t="s">
        <v>864</v>
      </c>
      <c r="B395" s="5" t="str">
        <f>VLOOKUP(globalfreelancepreprocesseddata!A395,worksheet!A:P,3,FALSE)</f>
        <v>Elizabeth Estrada</v>
      </c>
      <c r="C395" s="5" t="str">
        <f>VLOOKUP(globalfreelancepreprocesseddata!A395,worksheet!A:P,5,FALSE)</f>
        <v>Female</v>
      </c>
      <c r="D395" s="5">
        <f>VLOOKUP(globalfreelancepreprocesseddata!A395,worksheet!A:P,6,FALSE)</f>
        <v>31</v>
      </c>
      <c r="E395" s="5" t="str">
        <f>VLOOKUP(globalfreelancepreprocesseddata!A395,worksheet!A:P,7,FALSE)</f>
        <v>Germany</v>
      </c>
      <c r="F395" s="5" t="str">
        <f>VLOOKUP(globalfreelancepreprocesseddata!A395,worksheet!A:P,8,FALSE)</f>
        <v>German</v>
      </c>
      <c r="G395" s="5" t="str">
        <f>VLOOKUP(globalfreelancepreprocesseddata!A395,worksheet!A:P,9,FALSE)</f>
        <v>UI/UX Design</v>
      </c>
      <c r="H395" s="5">
        <f>VLOOKUP(globalfreelancepreprocesseddata!A395,worksheet!A:P,10,FALSE)</f>
        <v>10</v>
      </c>
      <c r="I395" s="6">
        <f>VLOOKUP(globalfreelancepreprocesseddata!A395,worksheet!A:P,12,FALSE)</f>
        <v>50</v>
      </c>
      <c r="J395" s="5">
        <f>VLOOKUP(globalfreelancepreprocesseddata!A395,worksheet!A:P,13,FALSE)</f>
        <v>0</v>
      </c>
      <c r="K395" s="5">
        <f>VLOOKUP(globalfreelancepreprocesseddata!A395,worksheet!A:P,14,FALSE)</f>
        <v>1</v>
      </c>
      <c r="L395" s="7">
        <f>VLOOKUP(globalfreelancepreprocesseddata!A395,worksheet!A:P,16,FALSE)</f>
        <v>0.16</v>
      </c>
    </row>
    <row r="396" spans="1:12" x14ac:dyDescent="0.35">
      <c r="A396" s="5" t="s">
        <v>866</v>
      </c>
      <c r="B396" s="5" t="str">
        <f>VLOOKUP(globalfreelancepreprocesseddata!A396,worksheet!A:P,3,FALSE)</f>
        <v>Lori Malone</v>
      </c>
      <c r="C396" s="5" t="str">
        <f>VLOOKUP(globalfreelancepreprocesseddata!A396,worksheet!A:P,5,FALSE)</f>
        <v>Female</v>
      </c>
      <c r="D396" s="5">
        <f>VLOOKUP(globalfreelancepreprocesseddata!A396,worksheet!A:P,6,FALSE)</f>
        <v>41</v>
      </c>
      <c r="E396" s="5" t="str">
        <f>VLOOKUP(globalfreelancepreprocesseddata!A396,worksheet!A:P,7,FALSE)</f>
        <v>Egypt</v>
      </c>
      <c r="F396" s="5" t="str">
        <f>VLOOKUP(globalfreelancepreprocesseddata!A396,worksheet!A:P,8,FALSE)</f>
        <v>Arabic</v>
      </c>
      <c r="G396" s="5" t="str">
        <f>VLOOKUP(globalfreelancepreprocesseddata!A396,worksheet!A:P,9,FALSE)</f>
        <v>Blockchain Development</v>
      </c>
      <c r="H396" s="5">
        <f>VLOOKUP(globalfreelancepreprocesseddata!A396,worksheet!A:P,10,FALSE)</f>
        <v>21</v>
      </c>
      <c r="I396" s="6">
        <f>VLOOKUP(globalfreelancepreprocesseddata!A396,worksheet!A:P,12,FALSE)</f>
        <v>40</v>
      </c>
      <c r="J396" s="5">
        <f>VLOOKUP(globalfreelancepreprocesseddata!A396,worksheet!A:P,13,FALSE)</f>
        <v>0</v>
      </c>
      <c r="K396" s="5">
        <f>VLOOKUP(globalfreelancepreprocesseddata!A396,worksheet!A:P,14,FALSE)</f>
        <v>1</v>
      </c>
      <c r="L396" s="7">
        <f>VLOOKUP(globalfreelancepreprocesseddata!A396,worksheet!A:P,16,FALSE)</f>
        <v>0.16</v>
      </c>
    </row>
    <row r="397" spans="1:12" x14ac:dyDescent="0.35">
      <c r="A397" s="5" t="s">
        <v>868</v>
      </c>
      <c r="B397" s="5" t="str">
        <f>VLOOKUP(globalfreelancepreprocesseddata!A397,worksheet!A:P,3,FALSE)</f>
        <v>Anthony Huynh Md</v>
      </c>
      <c r="C397" s="5" t="str">
        <f>VLOOKUP(globalfreelancepreprocesseddata!A397,worksheet!A:P,5,FALSE)</f>
        <v>Male</v>
      </c>
      <c r="D397" s="5">
        <f>VLOOKUP(globalfreelancepreprocesseddata!A397,worksheet!A:P,6,FALSE)</f>
        <v>31</v>
      </c>
      <c r="E397" s="5" t="str">
        <f>VLOOKUP(globalfreelancepreprocesseddata!A397,worksheet!A:P,7,FALSE)</f>
        <v>Russia</v>
      </c>
      <c r="F397" s="5" t="str">
        <f>VLOOKUP(globalfreelancepreprocesseddata!A397,worksheet!A:P,8,FALSE)</f>
        <v>Russian</v>
      </c>
      <c r="G397" s="5" t="str">
        <f>VLOOKUP(globalfreelancepreprocesseddata!A397,worksheet!A:P,9,FALSE)</f>
        <v>Cybersecurity</v>
      </c>
      <c r="H397" s="5">
        <f>VLOOKUP(globalfreelancepreprocesseddata!A397,worksheet!A:P,10,FALSE)</f>
        <v>11</v>
      </c>
      <c r="I397" s="6">
        <f>VLOOKUP(globalfreelancepreprocesseddata!A397,worksheet!A:P,12,FALSE)</f>
        <v>20</v>
      </c>
      <c r="J397" s="5">
        <f>VLOOKUP(globalfreelancepreprocesseddata!A397,worksheet!A:P,13,FALSE)</f>
        <v>4.2</v>
      </c>
      <c r="K397" s="5">
        <f>VLOOKUP(globalfreelancepreprocesseddata!A397,worksheet!A:P,14,FALSE)</f>
        <v>1</v>
      </c>
      <c r="L397" s="7">
        <f>VLOOKUP(globalfreelancepreprocesseddata!A397,worksheet!A:P,16,FALSE)</f>
        <v>0.82</v>
      </c>
    </row>
    <row r="398" spans="1:12" x14ac:dyDescent="0.35">
      <c r="A398" s="5" t="s">
        <v>870</v>
      </c>
      <c r="B398" s="5" t="str">
        <f>VLOOKUP(globalfreelancepreprocesseddata!A398,worksheet!A:P,3,FALSE)</f>
        <v>Mindy York</v>
      </c>
      <c r="C398" s="5" t="str">
        <f>VLOOKUP(globalfreelancepreprocesseddata!A398,worksheet!A:P,5,FALSE)</f>
        <v>Female</v>
      </c>
      <c r="D398" s="5">
        <f>VLOOKUP(globalfreelancepreprocesseddata!A398,worksheet!A:P,6,FALSE)</f>
        <v>58</v>
      </c>
      <c r="E398" s="5" t="str">
        <f>VLOOKUP(globalfreelancepreprocesseddata!A398,worksheet!A:P,7,FALSE)</f>
        <v>Argentina</v>
      </c>
      <c r="F398" s="5" t="str">
        <f>VLOOKUP(globalfreelancepreprocesseddata!A398,worksheet!A:P,8,FALSE)</f>
        <v>Spanish</v>
      </c>
      <c r="G398" s="5" t="str">
        <f>VLOOKUP(globalfreelancepreprocesseddata!A398,worksheet!A:P,9,FALSE)</f>
        <v>Data Analysis</v>
      </c>
      <c r="H398" s="5">
        <f>VLOOKUP(globalfreelancepreprocesseddata!A398,worksheet!A:P,10,FALSE)</f>
        <v>11</v>
      </c>
      <c r="I398" s="6">
        <f>VLOOKUP(globalfreelancepreprocesseddata!A398,worksheet!A:P,12,FALSE)</f>
        <v>50</v>
      </c>
      <c r="J398" s="5">
        <f>VLOOKUP(globalfreelancepreprocesseddata!A398,worksheet!A:P,13,FALSE)</f>
        <v>2.2999999999999998</v>
      </c>
      <c r="K398" s="5">
        <f>VLOOKUP(globalfreelancepreprocesseddata!A398,worksheet!A:P,14,FALSE)</f>
        <v>0</v>
      </c>
      <c r="L398" s="7">
        <f>VLOOKUP(globalfreelancepreprocesseddata!A398,worksheet!A:P,16,FALSE)</f>
        <v>0.77</v>
      </c>
    </row>
    <row r="399" spans="1:12" x14ac:dyDescent="0.35">
      <c r="A399" s="5" t="s">
        <v>872</v>
      </c>
      <c r="B399" s="5" t="str">
        <f>VLOOKUP(globalfreelancepreprocesseddata!A399,worksheet!A:P,3,FALSE)</f>
        <v>Ms. Christine Cherry</v>
      </c>
      <c r="C399" s="5" t="str">
        <f>VLOOKUP(globalfreelancepreprocesseddata!A399,worksheet!A:P,5,FALSE)</f>
        <v>Female</v>
      </c>
      <c r="D399" s="5">
        <f>VLOOKUP(globalfreelancepreprocesseddata!A399,worksheet!A:P,6,FALSE)</f>
        <v>45</v>
      </c>
      <c r="E399" s="5" t="str">
        <f>VLOOKUP(globalfreelancepreprocesseddata!A399,worksheet!A:P,7,FALSE)</f>
        <v>Netherlands</v>
      </c>
      <c r="F399" s="5" t="str">
        <f>VLOOKUP(globalfreelancepreprocesseddata!A399,worksheet!A:P,8,FALSE)</f>
        <v>Dutch</v>
      </c>
      <c r="G399" s="5" t="str">
        <f>VLOOKUP(globalfreelancepreprocesseddata!A399,worksheet!A:P,9,FALSE)</f>
        <v>Data Analysis</v>
      </c>
      <c r="H399" s="5">
        <f>VLOOKUP(globalfreelancepreprocesseddata!A399,worksheet!A:P,10,FALSE)</f>
        <v>17</v>
      </c>
      <c r="I399" s="6">
        <f>VLOOKUP(globalfreelancepreprocesseddata!A399,worksheet!A:P,12,FALSE)</f>
        <v>50</v>
      </c>
      <c r="J399" s="5">
        <f>VLOOKUP(globalfreelancepreprocesseddata!A399,worksheet!A:P,13,FALSE)</f>
        <v>4.7</v>
      </c>
      <c r="K399" s="5">
        <f>VLOOKUP(globalfreelancepreprocesseddata!A399,worksheet!A:P,14,FALSE)</f>
        <v>1</v>
      </c>
      <c r="L399" s="7">
        <f>VLOOKUP(globalfreelancepreprocesseddata!A399,worksheet!A:P,16,FALSE)</f>
        <v>0.73</v>
      </c>
    </row>
    <row r="400" spans="1:12" x14ac:dyDescent="0.35">
      <c r="A400" s="5" t="s">
        <v>874</v>
      </c>
      <c r="B400" s="5" t="str">
        <f>VLOOKUP(globalfreelancepreprocesseddata!A400,worksheet!A:P,3,FALSE)</f>
        <v>Daniel Foster</v>
      </c>
      <c r="C400" s="5" t="str">
        <f>VLOOKUP(globalfreelancepreprocesseddata!A400,worksheet!A:P,5,FALSE)</f>
        <v>Male</v>
      </c>
      <c r="D400" s="5">
        <f>VLOOKUP(globalfreelancepreprocesseddata!A400,worksheet!A:P,6,FALSE)</f>
        <v>51</v>
      </c>
      <c r="E400" s="5" t="str">
        <f>VLOOKUP(globalfreelancepreprocesseddata!A400,worksheet!A:P,7,FALSE)</f>
        <v>South Korea</v>
      </c>
      <c r="F400" s="5" t="str">
        <f>VLOOKUP(globalfreelancepreprocesseddata!A400,worksheet!A:P,8,FALSE)</f>
        <v>Korean</v>
      </c>
      <c r="G400" s="5" t="str">
        <f>VLOOKUP(globalfreelancepreprocesseddata!A400,worksheet!A:P,9,FALSE)</f>
        <v>Cybersecurity</v>
      </c>
      <c r="H400" s="5">
        <f>VLOOKUP(globalfreelancepreprocesseddata!A400,worksheet!A:P,10,FALSE)</f>
        <v>5</v>
      </c>
      <c r="I400" s="6">
        <f>VLOOKUP(globalfreelancepreprocesseddata!A400,worksheet!A:P,12,FALSE)</f>
        <v>40</v>
      </c>
      <c r="J400" s="5">
        <f>VLOOKUP(globalfreelancepreprocesseddata!A400,worksheet!A:P,13,FALSE)</f>
        <v>3</v>
      </c>
      <c r="K400" s="5">
        <f>VLOOKUP(globalfreelancepreprocesseddata!A400,worksheet!A:P,14,FALSE)</f>
        <v>1</v>
      </c>
      <c r="L400" s="7">
        <f>VLOOKUP(globalfreelancepreprocesseddata!A400,worksheet!A:P,16,FALSE)</f>
        <v>0.88</v>
      </c>
    </row>
    <row r="401" spans="1:12" x14ac:dyDescent="0.35">
      <c r="A401" s="5" t="s">
        <v>876</v>
      </c>
      <c r="B401" s="5" t="str">
        <f>VLOOKUP(globalfreelancepreprocesseddata!A401,worksheet!A:P,3,FALSE)</f>
        <v>Mr. David Valencia</v>
      </c>
      <c r="C401" s="5" t="str">
        <f>VLOOKUP(globalfreelancepreprocesseddata!A401,worksheet!A:P,5,FALSE)</f>
        <v>Male</v>
      </c>
      <c r="D401" s="5">
        <f>VLOOKUP(globalfreelancepreprocesseddata!A401,worksheet!A:P,6,FALSE)</f>
        <v>54</v>
      </c>
      <c r="E401" s="5" t="str">
        <f>VLOOKUP(globalfreelancepreprocesseddata!A401,worksheet!A:P,7,FALSE)</f>
        <v>United States</v>
      </c>
      <c r="F401" s="5" t="str">
        <f>VLOOKUP(globalfreelancepreprocesseddata!A401,worksheet!A:P,8,FALSE)</f>
        <v>English</v>
      </c>
      <c r="G401" s="5" t="str">
        <f>VLOOKUP(globalfreelancepreprocesseddata!A401,worksheet!A:P,9,FALSE)</f>
        <v>UI/UX Design</v>
      </c>
      <c r="H401" s="5">
        <f>VLOOKUP(globalfreelancepreprocesseddata!A401,worksheet!A:P,10,FALSE)</f>
        <v>3</v>
      </c>
      <c r="I401" s="6" t="str">
        <f>VLOOKUP(globalfreelancepreprocesseddata!A401,worksheet!A:P,12,FALSE)</f>
        <v>$ 30</v>
      </c>
      <c r="J401" s="5">
        <f>VLOOKUP(globalfreelancepreprocesseddata!A401,worksheet!A:P,13,FALSE)</f>
        <v>2.4</v>
      </c>
      <c r="K401" s="5">
        <f>VLOOKUP(globalfreelancepreprocesseddata!A401,worksheet!A:P,14,FALSE)</f>
        <v>0</v>
      </c>
      <c r="L401" s="7">
        <f>VLOOKUP(globalfreelancepreprocesseddata!A401,worksheet!A:P,16,FALSE)</f>
        <v>0.81</v>
      </c>
    </row>
    <row r="402" spans="1:12" x14ac:dyDescent="0.35">
      <c r="A402" s="5" t="s">
        <v>878</v>
      </c>
      <c r="B402" s="5" t="str">
        <f>VLOOKUP(globalfreelancepreprocesseddata!A402,worksheet!A:P,3,FALSE)</f>
        <v>Ethan Adams</v>
      </c>
      <c r="C402" s="5" t="str">
        <f>VLOOKUP(globalfreelancepreprocesseddata!A402,worksheet!A:P,5,FALSE)</f>
        <v>Male</v>
      </c>
      <c r="D402" s="5">
        <f>VLOOKUP(globalfreelancepreprocesseddata!A402,worksheet!A:P,6,FALSE)</f>
        <v>22</v>
      </c>
      <c r="E402" s="5" t="str">
        <f>VLOOKUP(globalfreelancepreprocesseddata!A402,worksheet!A:P,7,FALSE)</f>
        <v>Russia</v>
      </c>
      <c r="F402" s="5" t="str">
        <f>VLOOKUP(globalfreelancepreprocesseddata!A402,worksheet!A:P,8,FALSE)</f>
        <v>Russian</v>
      </c>
      <c r="G402" s="5" t="str">
        <f>VLOOKUP(globalfreelancepreprocesseddata!A402,worksheet!A:P,9,FALSE)</f>
        <v>Data Analysis</v>
      </c>
      <c r="H402" s="5">
        <f>VLOOKUP(globalfreelancepreprocesseddata!A402,worksheet!A:P,10,FALSE)</f>
        <v>1</v>
      </c>
      <c r="I402" s="6">
        <f>VLOOKUP(globalfreelancepreprocesseddata!A402,worksheet!A:P,12,FALSE)</f>
        <v>20</v>
      </c>
      <c r="J402" s="5">
        <f>VLOOKUP(globalfreelancepreprocesseddata!A402,worksheet!A:P,13,FALSE)</f>
        <v>1.7</v>
      </c>
      <c r="K402" s="5">
        <f>VLOOKUP(globalfreelancepreprocesseddata!A402,worksheet!A:P,14,FALSE)</f>
        <v>0</v>
      </c>
      <c r="L402" s="7">
        <f>VLOOKUP(globalfreelancepreprocesseddata!A402,worksheet!A:P,16,FALSE)</f>
        <v>0.78</v>
      </c>
    </row>
    <row r="403" spans="1:12" x14ac:dyDescent="0.35">
      <c r="A403" s="5" t="s">
        <v>880</v>
      </c>
      <c r="B403" s="5" t="str">
        <f>VLOOKUP(globalfreelancepreprocesseddata!A403,worksheet!A:P,3,FALSE)</f>
        <v>Brett Moore</v>
      </c>
      <c r="C403" s="5" t="str">
        <f>VLOOKUP(globalfreelancepreprocesseddata!A403,worksheet!A:P,5,FALSE)</f>
        <v>Male</v>
      </c>
      <c r="D403" s="5">
        <f>VLOOKUP(globalfreelancepreprocesseddata!A403,worksheet!A:P,6,FALSE)</f>
        <v>36</v>
      </c>
      <c r="E403" s="5" t="str">
        <f>VLOOKUP(globalfreelancepreprocesseddata!A403,worksheet!A:P,7,FALSE)</f>
        <v>Turkey</v>
      </c>
      <c r="F403" s="5" t="str">
        <f>VLOOKUP(globalfreelancepreprocesseddata!A403,worksheet!A:P,8,FALSE)</f>
        <v>Turkish</v>
      </c>
      <c r="G403" s="5" t="str">
        <f>VLOOKUP(globalfreelancepreprocesseddata!A403,worksheet!A:P,9,FALSE)</f>
        <v>Cybersecurity</v>
      </c>
      <c r="H403" s="5">
        <f>VLOOKUP(globalfreelancepreprocesseddata!A403,worksheet!A:P,10,FALSE)</f>
        <v>2</v>
      </c>
      <c r="I403" s="6">
        <f>VLOOKUP(globalfreelancepreprocesseddata!A403,worksheet!A:P,12,FALSE)</f>
        <v>75</v>
      </c>
      <c r="J403" s="5">
        <f>VLOOKUP(globalfreelancepreprocesseddata!A403,worksheet!A:P,13,FALSE)</f>
        <v>0</v>
      </c>
      <c r="K403" s="5">
        <f>VLOOKUP(globalfreelancepreprocesseddata!A403,worksheet!A:P,14,FALSE)</f>
        <v>0</v>
      </c>
      <c r="L403" s="7">
        <f>VLOOKUP(globalfreelancepreprocesseddata!A403,worksheet!A:P,16,FALSE)</f>
        <v>0.92</v>
      </c>
    </row>
    <row r="404" spans="1:12" x14ac:dyDescent="0.35">
      <c r="A404" s="5" t="s">
        <v>882</v>
      </c>
      <c r="B404" s="5" t="str">
        <f>VLOOKUP(globalfreelancepreprocesseddata!A404,worksheet!A:P,3,FALSE)</f>
        <v>Phillip Griffin</v>
      </c>
      <c r="C404" s="5" t="str">
        <f>VLOOKUP(globalfreelancepreprocesseddata!A404,worksheet!A:P,5,FALSE)</f>
        <v>Male</v>
      </c>
      <c r="D404" s="5">
        <f>VLOOKUP(globalfreelancepreprocesseddata!A404,worksheet!A:P,6,FALSE)</f>
        <v>50</v>
      </c>
      <c r="E404" s="5" t="str">
        <f>VLOOKUP(globalfreelancepreprocesseddata!A404,worksheet!A:P,7,FALSE)</f>
        <v>Germany</v>
      </c>
      <c r="F404" s="5" t="str">
        <f>VLOOKUP(globalfreelancepreprocesseddata!A404,worksheet!A:P,8,FALSE)</f>
        <v>German</v>
      </c>
      <c r="G404" s="5" t="str">
        <f>VLOOKUP(globalfreelancepreprocesseddata!A404,worksheet!A:P,9,FALSE)</f>
        <v>DevOps</v>
      </c>
      <c r="H404" s="5">
        <f>VLOOKUP(globalfreelancepreprocesseddata!A404,worksheet!A:P,10,FALSE)</f>
        <v>32</v>
      </c>
      <c r="I404" s="6">
        <f>VLOOKUP(globalfreelancepreprocesseddata!A404,worksheet!A:P,12,FALSE)</f>
        <v>30</v>
      </c>
      <c r="J404" s="5">
        <f>VLOOKUP(globalfreelancepreprocesseddata!A404,worksheet!A:P,13,FALSE)</f>
        <v>3</v>
      </c>
      <c r="K404" s="5">
        <f>VLOOKUP(globalfreelancepreprocesseddata!A404,worksheet!A:P,14,FALSE)</f>
        <v>0</v>
      </c>
      <c r="L404" s="7">
        <f>VLOOKUP(globalfreelancepreprocesseddata!A404,worksheet!A:P,16,FALSE)</f>
        <v>0.64</v>
      </c>
    </row>
    <row r="405" spans="1:12" x14ac:dyDescent="0.35">
      <c r="A405" s="5" t="s">
        <v>884</v>
      </c>
      <c r="B405" s="5" t="str">
        <f>VLOOKUP(globalfreelancepreprocesseddata!A405,worksheet!A:P,3,FALSE)</f>
        <v>Stacie Wall</v>
      </c>
      <c r="C405" s="5" t="str">
        <f>VLOOKUP(globalfreelancepreprocesseddata!A405,worksheet!A:P,5,FALSE)</f>
        <v>Female</v>
      </c>
      <c r="D405" s="5">
        <f>VLOOKUP(globalfreelancepreprocesseddata!A405,worksheet!A:P,6,FALSE)</f>
        <v>41</v>
      </c>
      <c r="E405" s="5" t="str">
        <f>VLOOKUP(globalfreelancepreprocesseddata!A405,worksheet!A:P,7,FALSE)</f>
        <v>Australia</v>
      </c>
      <c r="F405" s="5" t="str">
        <f>VLOOKUP(globalfreelancepreprocesseddata!A405,worksheet!A:P,8,FALSE)</f>
        <v>English</v>
      </c>
      <c r="G405" s="5" t="str">
        <f>VLOOKUP(globalfreelancepreprocesseddata!A405,worksheet!A:P,9,FALSE)</f>
        <v>Blockchain Development</v>
      </c>
      <c r="H405" s="5">
        <f>VLOOKUP(globalfreelancepreprocesseddata!A405,worksheet!A:P,10,FALSE)</f>
        <v>14</v>
      </c>
      <c r="I405" s="6">
        <f>VLOOKUP(globalfreelancepreprocesseddata!A405,worksheet!A:P,12,FALSE)</f>
        <v>30</v>
      </c>
      <c r="J405" s="5">
        <f>VLOOKUP(globalfreelancepreprocesseddata!A405,worksheet!A:P,13,FALSE)</f>
        <v>0</v>
      </c>
      <c r="K405" s="5">
        <f>VLOOKUP(globalfreelancepreprocesseddata!A405,worksheet!A:P,14,FALSE)</f>
        <v>1</v>
      </c>
      <c r="L405" s="7">
        <f>VLOOKUP(globalfreelancepreprocesseddata!A405,worksheet!A:P,16,FALSE)</f>
        <v>0.78</v>
      </c>
    </row>
    <row r="406" spans="1:12" x14ac:dyDescent="0.35">
      <c r="A406" s="5" t="s">
        <v>886</v>
      </c>
      <c r="B406" s="5" t="str">
        <f>VLOOKUP(globalfreelancepreprocesseddata!A406,worksheet!A:P,3,FALSE)</f>
        <v>Jacob Austin</v>
      </c>
      <c r="C406" s="5" t="str">
        <f>VLOOKUP(globalfreelancepreprocesseddata!A406,worksheet!A:P,5,FALSE)</f>
        <v>Male</v>
      </c>
      <c r="D406" s="5">
        <f>VLOOKUP(globalfreelancepreprocesseddata!A406,worksheet!A:P,6,FALSE)</f>
        <v>41</v>
      </c>
      <c r="E406" s="5" t="str">
        <f>VLOOKUP(globalfreelancepreprocesseddata!A406,worksheet!A:P,7,FALSE)</f>
        <v>South Africa</v>
      </c>
      <c r="F406" s="5" t="str">
        <f>VLOOKUP(globalfreelancepreprocesseddata!A406,worksheet!A:P,8,FALSE)</f>
        <v>Afrikaans</v>
      </c>
      <c r="G406" s="5" t="str">
        <f>VLOOKUP(globalfreelancepreprocesseddata!A406,worksheet!A:P,9,FALSE)</f>
        <v>Web Development</v>
      </c>
      <c r="H406" s="5">
        <f>VLOOKUP(globalfreelancepreprocesseddata!A406,worksheet!A:P,10,FALSE)</f>
        <v>10</v>
      </c>
      <c r="I406" s="6">
        <f>VLOOKUP(globalfreelancepreprocesseddata!A406,worksheet!A:P,12,FALSE)</f>
        <v>20</v>
      </c>
      <c r="J406" s="5">
        <f>VLOOKUP(globalfreelancepreprocesseddata!A406,worksheet!A:P,13,FALSE)</f>
        <v>1.8</v>
      </c>
      <c r="K406" s="5">
        <f>VLOOKUP(globalfreelancepreprocesseddata!A406,worksheet!A:P,14,FALSE)</f>
        <v>1</v>
      </c>
      <c r="L406" s="7">
        <f>VLOOKUP(globalfreelancepreprocesseddata!A406,worksheet!A:P,16,FALSE)</f>
        <v>0.85</v>
      </c>
    </row>
    <row r="407" spans="1:12" x14ac:dyDescent="0.35">
      <c r="A407" s="5" t="s">
        <v>888</v>
      </c>
      <c r="B407" s="5" t="str">
        <f>VLOOKUP(globalfreelancepreprocesseddata!A407,worksheet!A:P,3,FALSE)</f>
        <v>Sabrina Davidson</v>
      </c>
      <c r="C407" s="5" t="str">
        <f>VLOOKUP(globalfreelancepreprocesseddata!A407,worksheet!A:P,5,FALSE)</f>
        <v>Female</v>
      </c>
      <c r="D407" s="5">
        <f>VLOOKUP(globalfreelancepreprocesseddata!A407,worksheet!A:P,6,FALSE)</f>
        <v>51</v>
      </c>
      <c r="E407" s="5" t="str">
        <f>VLOOKUP(globalfreelancepreprocesseddata!A407,worksheet!A:P,7,FALSE)</f>
        <v>Netherlands</v>
      </c>
      <c r="F407" s="5" t="str">
        <f>VLOOKUP(globalfreelancepreprocesseddata!A407,worksheet!A:P,8,FALSE)</f>
        <v>Dutch</v>
      </c>
      <c r="G407" s="5" t="str">
        <f>VLOOKUP(globalfreelancepreprocesseddata!A407,worksheet!A:P,9,FALSE)</f>
        <v>Cybersecurity</v>
      </c>
      <c r="H407" s="5">
        <f>VLOOKUP(globalfreelancepreprocesseddata!A407,worksheet!A:P,10,FALSE)</f>
        <v>27</v>
      </c>
      <c r="I407" s="6">
        <f>VLOOKUP(globalfreelancepreprocesseddata!A407,worksheet!A:P,12,FALSE)</f>
        <v>50</v>
      </c>
      <c r="J407" s="5">
        <f>VLOOKUP(globalfreelancepreprocesseddata!A407,worksheet!A:P,13,FALSE)</f>
        <v>0</v>
      </c>
      <c r="K407" s="5">
        <f>VLOOKUP(globalfreelancepreprocesseddata!A407,worksheet!A:P,14,FALSE)</f>
        <v>1</v>
      </c>
      <c r="L407" s="7">
        <f>VLOOKUP(globalfreelancepreprocesseddata!A407,worksheet!A:P,16,FALSE)</f>
        <v>0.78</v>
      </c>
    </row>
    <row r="408" spans="1:12" x14ac:dyDescent="0.35">
      <c r="A408" s="5" t="s">
        <v>890</v>
      </c>
      <c r="B408" s="5" t="str">
        <f>VLOOKUP(globalfreelancepreprocesseddata!A408,worksheet!A:P,3,FALSE)</f>
        <v>Dustin Douglas</v>
      </c>
      <c r="C408" s="5" t="str">
        <f>VLOOKUP(globalfreelancepreprocesseddata!A408,worksheet!A:P,5,FALSE)</f>
        <v>Male</v>
      </c>
      <c r="D408" s="5">
        <f>VLOOKUP(globalfreelancepreprocesseddata!A408,worksheet!A:P,6,FALSE)</f>
        <v>21</v>
      </c>
      <c r="E408" s="5" t="str">
        <f>VLOOKUP(globalfreelancepreprocesseddata!A408,worksheet!A:P,7,FALSE)</f>
        <v>France</v>
      </c>
      <c r="F408" s="5" t="str">
        <f>VLOOKUP(globalfreelancepreprocesseddata!A408,worksheet!A:P,8,FALSE)</f>
        <v>French</v>
      </c>
      <c r="G408" s="5" t="str">
        <f>VLOOKUP(globalfreelancepreprocesseddata!A408,worksheet!A:P,9,FALSE)</f>
        <v>AI</v>
      </c>
      <c r="H408" s="5">
        <f>VLOOKUP(globalfreelancepreprocesseddata!A408,worksheet!A:P,10,FALSE)</f>
        <v>2</v>
      </c>
      <c r="I408" s="6">
        <f>VLOOKUP(globalfreelancepreprocesseddata!A408,worksheet!A:P,12,FALSE)</f>
        <v>30</v>
      </c>
      <c r="J408" s="5">
        <f>VLOOKUP(globalfreelancepreprocesseddata!A408,worksheet!A:P,13,FALSE)</f>
        <v>3.8</v>
      </c>
      <c r="K408" s="5">
        <f>VLOOKUP(globalfreelancepreprocesseddata!A408,worksheet!A:P,14,FALSE)</f>
        <v>1</v>
      </c>
      <c r="L408" s="7">
        <f>VLOOKUP(globalfreelancepreprocesseddata!A408,worksheet!A:P,16,FALSE)</f>
        <v>0.98</v>
      </c>
    </row>
    <row r="409" spans="1:12" x14ac:dyDescent="0.35">
      <c r="A409" s="5" t="s">
        <v>892</v>
      </c>
      <c r="B409" s="5" t="str">
        <f>VLOOKUP(globalfreelancepreprocesseddata!A409,worksheet!A:P,3,FALSE)</f>
        <v>Steven Norris</v>
      </c>
      <c r="C409" s="5" t="str">
        <f>VLOOKUP(globalfreelancepreprocesseddata!A409,worksheet!A:P,5,FALSE)</f>
        <v>Male</v>
      </c>
      <c r="D409" s="5">
        <f>VLOOKUP(globalfreelancepreprocesseddata!A409,worksheet!A:P,6,FALSE)</f>
        <v>51</v>
      </c>
      <c r="E409" s="5" t="str">
        <f>VLOOKUP(globalfreelancepreprocesseddata!A409,worksheet!A:P,7,FALSE)</f>
        <v>Japan</v>
      </c>
      <c r="F409" s="5" t="str">
        <f>VLOOKUP(globalfreelancepreprocesseddata!A409,worksheet!A:P,8,FALSE)</f>
        <v>Japanese</v>
      </c>
      <c r="G409" s="5" t="str">
        <f>VLOOKUP(globalfreelancepreprocesseddata!A409,worksheet!A:P,9,FALSE)</f>
        <v>AI</v>
      </c>
      <c r="H409" s="5">
        <f>VLOOKUP(globalfreelancepreprocesseddata!A409,worksheet!A:P,10,FALSE)</f>
        <v>33</v>
      </c>
      <c r="I409" s="6" t="str">
        <f>VLOOKUP(globalfreelancepreprocesseddata!A409,worksheet!A:P,12,FALSE)</f>
        <v>$ 40</v>
      </c>
      <c r="J409" s="5">
        <f>VLOOKUP(globalfreelancepreprocesseddata!A409,worksheet!A:P,13,FALSE)</f>
        <v>0</v>
      </c>
      <c r="K409" s="5">
        <f>VLOOKUP(globalfreelancepreprocesseddata!A409,worksheet!A:P,14,FALSE)</f>
        <v>1</v>
      </c>
      <c r="L409" s="7">
        <f>VLOOKUP(globalfreelancepreprocesseddata!A409,worksheet!A:P,16,FALSE)</f>
        <v>0.63</v>
      </c>
    </row>
    <row r="410" spans="1:12" x14ac:dyDescent="0.35">
      <c r="A410" s="5" t="s">
        <v>894</v>
      </c>
      <c r="B410" s="5" t="str">
        <f>VLOOKUP(globalfreelancepreprocesseddata!A410,worksheet!A:P,3,FALSE)</f>
        <v>Mindy Sullivan</v>
      </c>
      <c r="C410" s="5" t="str">
        <f>VLOOKUP(globalfreelancepreprocesseddata!A410,worksheet!A:P,5,FALSE)</f>
        <v>Female</v>
      </c>
      <c r="D410" s="5">
        <f>VLOOKUP(globalfreelancepreprocesseddata!A410,worksheet!A:P,6,FALSE)</f>
        <v>37</v>
      </c>
      <c r="E410" s="5" t="str">
        <f>VLOOKUP(globalfreelancepreprocesseddata!A410,worksheet!A:P,7,FALSE)</f>
        <v>Indonesia</v>
      </c>
      <c r="F410" s="5" t="str">
        <f>VLOOKUP(globalfreelancepreprocesseddata!A410,worksheet!A:P,8,FALSE)</f>
        <v>Indonesian</v>
      </c>
      <c r="G410" s="5" t="str">
        <f>VLOOKUP(globalfreelancepreprocesseddata!A410,worksheet!A:P,9,FALSE)</f>
        <v>Graphic Design</v>
      </c>
      <c r="H410" s="5">
        <f>VLOOKUP(globalfreelancepreprocesseddata!A410,worksheet!A:P,10,FALSE)</f>
        <v>11</v>
      </c>
      <c r="I410" s="6" t="str">
        <f>VLOOKUP(globalfreelancepreprocesseddata!A410,worksheet!A:P,12,FALSE)</f>
        <v>$ 40</v>
      </c>
      <c r="J410" s="5">
        <f>VLOOKUP(globalfreelancepreprocesseddata!A410,worksheet!A:P,13,FALSE)</f>
        <v>3.6</v>
      </c>
      <c r="K410" s="5">
        <f>VLOOKUP(globalfreelancepreprocesseddata!A410,worksheet!A:P,14,FALSE)</f>
        <v>0</v>
      </c>
      <c r="L410" s="7">
        <f>VLOOKUP(globalfreelancepreprocesseddata!A410,worksheet!A:P,16,FALSE)</f>
        <v>0.73</v>
      </c>
    </row>
    <row r="411" spans="1:12" x14ac:dyDescent="0.35">
      <c r="A411" s="5" t="s">
        <v>896</v>
      </c>
      <c r="B411" s="5" t="str">
        <f>VLOOKUP(globalfreelancepreprocesseddata!A411,worksheet!A:P,3,FALSE)</f>
        <v>Elizabeth Stone</v>
      </c>
      <c r="C411" s="5" t="str">
        <f>VLOOKUP(globalfreelancepreprocesseddata!A411,worksheet!A:P,5,FALSE)</f>
        <v>Female</v>
      </c>
      <c r="D411" s="5">
        <f>VLOOKUP(globalfreelancepreprocesseddata!A411,worksheet!A:P,6,FALSE)</f>
        <v>20</v>
      </c>
      <c r="E411" s="5" t="str">
        <f>VLOOKUP(globalfreelancepreprocesseddata!A411,worksheet!A:P,7,FALSE)</f>
        <v>Spain</v>
      </c>
      <c r="F411" s="5" t="str">
        <f>VLOOKUP(globalfreelancepreprocesseddata!A411,worksheet!A:P,8,FALSE)</f>
        <v>Spanish</v>
      </c>
      <c r="G411" s="5" t="str">
        <f>VLOOKUP(globalfreelancepreprocesseddata!A411,worksheet!A:P,9,FALSE)</f>
        <v>Graphic Design</v>
      </c>
      <c r="H411" s="5">
        <f>VLOOKUP(globalfreelancepreprocesseddata!A411,worksheet!A:P,10,FALSE)</f>
        <v>2</v>
      </c>
      <c r="I411" s="6">
        <f>VLOOKUP(globalfreelancepreprocesseddata!A411,worksheet!A:P,12,FALSE)</f>
        <v>30</v>
      </c>
      <c r="J411" s="5">
        <f>VLOOKUP(globalfreelancepreprocesseddata!A411,worksheet!A:P,13,FALSE)</f>
        <v>0</v>
      </c>
      <c r="K411" s="5">
        <f>VLOOKUP(globalfreelancepreprocesseddata!A411,worksheet!A:P,14,FALSE)</f>
        <v>0</v>
      </c>
      <c r="L411" s="7">
        <f>VLOOKUP(globalfreelancepreprocesseddata!A411,worksheet!A:P,16,FALSE)</f>
        <v>0.94</v>
      </c>
    </row>
    <row r="412" spans="1:12" x14ac:dyDescent="0.35">
      <c r="A412" s="5" t="s">
        <v>898</v>
      </c>
      <c r="B412" s="5" t="str">
        <f>VLOOKUP(globalfreelancepreprocesseddata!A412,worksheet!A:P,3,FALSE)</f>
        <v>Diane Flores</v>
      </c>
      <c r="C412" s="5" t="str">
        <f>VLOOKUP(globalfreelancepreprocesseddata!A412,worksheet!A:P,5,FALSE)</f>
        <v>Female</v>
      </c>
      <c r="D412" s="5">
        <f>VLOOKUP(globalfreelancepreprocesseddata!A412,worksheet!A:P,6,FALSE)</f>
        <v>50</v>
      </c>
      <c r="E412" s="5" t="str">
        <f>VLOOKUP(globalfreelancepreprocesseddata!A412,worksheet!A:P,7,FALSE)</f>
        <v>Australia</v>
      </c>
      <c r="F412" s="5" t="str">
        <f>VLOOKUP(globalfreelancepreprocesseddata!A412,worksheet!A:P,8,FALSE)</f>
        <v>English</v>
      </c>
      <c r="G412" s="5" t="str">
        <f>VLOOKUP(globalfreelancepreprocesseddata!A412,worksheet!A:P,9,FALSE)</f>
        <v>Web Development</v>
      </c>
      <c r="H412" s="5">
        <f>VLOOKUP(globalfreelancepreprocesseddata!A412,worksheet!A:P,10,FALSE)</f>
        <v>31</v>
      </c>
      <c r="I412" s="6">
        <f>VLOOKUP(globalfreelancepreprocesseddata!A412,worksheet!A:P,12,FALSE)</f>
        <v>50</v>
      </c>
      <c r="J412" s="5">
        <f>VLOOKUP(globalfreelancepreprocesseddata!A412,worksheet!A:P,13,FALSE)</f>
        <v>4.0999999999999996</v>
      </c>
      <c r="K412" s="5">
        <f>VLOOKUP(globalfreelancepreprocesseddata!A412,worksheet!A:P,14,FALSE)</f>
        <v>1</v>
      </c>
      <c r="L412" s="7">
        <f>VLOOKUP(globalfreelancepreprocesseddata!A412,worksheet!A:P,16,FALSE)</f>
        <v>0.81</v>
      </c>
    </row>
    <row r="413" spans="1:12" x14ac:dyDescent="0.35">
      <c r="A413" s="5" t="s">
        <v>900</v>
      </c>
      <c r="B413" s="5" t="str">
        <f>VLOOKUP(globalfreelancepreprocesseddata!A413,worksheet!A:P,3,FALSE)</f>
        <v>Jessica Erickson</v>
      </c>
      <c r="C413" s="5" t="str">
        <f>VLOOKUP(globalfreelancepreprocesseddata!A413,worksheet!A:P,5,FALSE)</f>
        <v>Female</v>
      </c>
      <c r="D413" s="5">
        <f>VLOOKUP(globalfreelancepreprocesseddata!A413,worksheet!A:P,6,FALSE)</f>
        <v>58</v>
      </c>
      <c r="E413" s="5" t="str">
        <f>VLOOKUP(globalfreelancepreprocesseddata!A413,worksheet!A:P,7,FALSE)</f>
        <v>Turkey</v>
      </c>
      <c r="F413" s="5" t="str">
        <f>VLOOKUP(globalfreelancepreprocesseddata!A413,worksheet!A:P,8,FALSE)</f>
        <v>Turkish</v>
      </c>
      <c r="G413" s="5" t="str">
        <f>VLOOKUP(globalfreelancepreprocesseddata!A413,worksheet!A:P,9,FALSE)</f>
        <v>Graphic Design</v>
      </c>
      <c r="H413" s="5">
        <f>VLOOKUP(globalfreelancepreprocesseddata!A413,worksheet!A:P,10,FALSE)</f>
        <v>17</v>
      </c>
      <c r="I413" s="6">
        <f>VLOOKUP(globalfreelancepreprocesseddata!A413,worksheet!A:P,12,FALSE)</f>
        <v>50</v>
      </c>
      <c r="J413" s="5">
        <f>VLOOKUP(globalfreelancepreprocesseddata!A413,worksheet!A:P,13,FALSE)</f>
        <v>2.6</v>
      </c>
      <c r="K413" s="5">
        <f>VLOOKUP(globalfreelancepreprocesseddata!A413,worksheet!A:P,14,FALSE)</f>
        <v>1</v>
      </c>
      <c r="L413" s="7">
        <f>VLOOKUP(globalfreelancepreprocesseddata!A413,worksheet!A:P,16,FALSE)</f>
        <v>0.61</v>
      </c>
    </row>
    <row r="414" spans="1:12" x14ac:dyDescent="0.35">
      <c r="A414" s="5" t="s">
        <v>902</v>
      </c>
      <c r="B414" s="5" t="str">
        <f>VLOOKUP(globalfreelancepreprocesseddata!A414,worksheet!A:P,3,FALSE)</f>
        <v>Sara Moses</v>
      </c>
      <c r="C414" s="5" t="str">
        <f>VLOOKUP(globalfreelancepreprocesseddata!A414,worksheet!A:P,5,FALSE)</f>
        <v>Female</v>
      </c>
      <c r="D414" s="5">
        <f>VLOOKUP(globalfreelancepreprocesseddata!A414,worksheet!A:P,6,FALSE)</f>
        <v>40</v>
      </c>
      <c r="E414" s="5" t="str">
        <f>VLOOKUP(globalfreelancepreprocesseddata!A414,worksheet!A:P,7,FALSE)</f>
        <v>Brazil</v>
      </c>
      <c r="F414" s="5" t="str">
        <f>VLOOKUP(globalfreelancepreprocesseddata!A414,worksheet!A:P,8,FALSE)</f>
        <v>Portuguese</v>
      </c>
      <c r="G414" s="5" t="str">
        <f>VLOOKUP(globalfreelancepreprocesseddata!A414,worksheet!A:P,9,FALSE)</f>
        <v>UI/UX Design</v>
      </c>
      <c r="H414" s="5">
        <f>VLOOKUP(globalfreelancepreprocesseddata!A414,worksheet!A:P,10,FALSE)</f>
        <v>2</v>
      </c>
      <c r="I414" s="6">
        <f>VLOOKUP(globalfreelancepreprocesseddata!A414,worksheet!A:P,12,FALSE)</f>
        <v>100</v>
      </c>
      <c r="J414" s="5">
        <f>VLOOKUP(globalfreelancepreprocesseddata!A414,worksheet!A:P,13,FALSE)</f>
        <v>0</v>
      </c>
      <c r="K414" s="5">
        <f>VLOOKUP(globalfreelancepreprocesseddata!A414,worksheet!A:P,14,FALSE)</f>
        <v>0</v>
      </c>
      <c r="L414" s="7">
        <f>VLOOKUP(globalfreelancepreprocesseddata!A414,worksheet!A:P,16,FALSE)</f>
        <v>0.16</v>
      </c>
    </row>
    <row r="415" spans="1:12" x14ac:dyDescent="0.35">
      <c r="A415" s="5" t="s">
        <v>904</v>
      </c>
      <c r="B415" s="5" t="str">
        <f>VLOOKUP(globalfreelancepreprocesseddata!A415,worksheet!A:P,3,FALSE)</f>
        <v>Allison Henderson</v>
      </c>
      <c r="C415" s="5" t="str">
        <f>VLOOKUP(globalfreelancepreprocesseddata!A415,worksheet!A:P,5,FALSE)</f>
        <v>Female</v>
      </c>
      <c r="D415" s="5">
        <f>VLOOKUP(globalfreelancepreprocesseddata!A415,worksheet!A:P,6,FALSE)</f>
        <v>26</v>
      </c>
      <c r="E415" s="5" t="str">
        <f>VLOOKUP(globalfreelancepreprocesseddata!A415,worksheet!A:P,7,FALSE)</f>
        <v>Egypt</v>
      </c>
      <c r="F415" s="5" t="str">
        <f>VLOOKUP(globalfreelancepreprocesseddata!A415,worksheet!A:P,8,FALSE)</f>
        <v>Arabic</v>
      </c>
      <c r="G415" s="5" t="str">
        <f>VLOOKUP(globalfreelancepreprocesseddata!A415,worksheet!A:P,9,FALSE)</f>
        <v>Web Development</v>
      </c>
      <c r="H415" s="5">
        <f>VLOOKUP(globalfreelancepreprocesseddata!A415,worksheet!A:P,10,FALSE)</f>
        <v>2</v>
      </c>
      <c r="I415" s="6">
        <f>VLOOKUP(globalfreelancepreprocesseddata!A415,worksheet!A:P,12,FALSE)</f>
        <v>20</v>
      </c>
      <c r="J415" s="5">
        <f>VLOOKUP(globalfreelancepreprocesseddata!A415,worksheet!A:P,13,FALSE)</f>
        <v>1.3</v>
      </c>
      <c r="K415" s="5">
        <f>VLOOKUP(globalfreelancepreprocesseddata!A415,worksheet!A:P,14,FALSE)</f>
        <v>1</v>
      </c>
      <c r="L415" s="7">
        <f>VLOOKUP(globalfreelancepreprocesseddata!A415,worksheet!A:P,16,FALSE)</f>
        <v>0.83</v>
      </c>
    </row>
    <row r="416" spans="1:12" x14ac:dyDescent="0.35">
      <c r="A416" s="5" t="s">
        <v>906</v>
      </c>
      <c r="B416" s="5" t="str">
        <f>VLOOKUP(globalfreelancepreprocesseddata!A416,worksheet!A:P,3,FALSE)</f>
        <v>Susan Dixon</v>
      </c>
      <c r="C416" s="5" t="str">
        <f>VLOOKUP(globalfreelancepreprocesseddata!A416,worksheet!A:P,5,FALSE)</f>
        <v>Female</v>
      </c>
      <c r="D416" s="5">
        <f>VLOOKUP(globalfreelancepreprocesseddata!A416,worksheet!A:P,6,FALSE)</f>
        <v>44</v>
      </c>
      <c r="E416" s="5" t="str">
        <f>VLOOKUP(globalfreelancepreprocesseddata!A416,worksheet!A:P,7,FALSE)</f>
        <v>South Korea</v>
      </c>
      <c r="F416" s="5" t="str">
        <f>VLOOKUP(globalfreelancepreprocesseddata!A416,worksheet!A:P,8,FALSE)</f>
        <v>Korean</v>
      </c>
      <c r="G416" s="5" t="str">
        <f>VLOOKUP(globalfreelancepreprocesseddata!A416,worksheet!A:P,9,FALSE)</f>
        <v>Cybersecurity</v>
      </c>
      <c r="H416" s="5">
        <f>VLOOKUP(globalfreelancepreprocesseddata!A416,worksheet!A:P,10,FALSE)</f>
        <v>22</v>
      </c>
      <c r="I416" s="6">
        <f>VLOOKUP(globalfreelancepreprocesseddata!A416,worksheet!A:P,12,FALSE)</f>
        <v>30</v>
      </c>
      <c r="J416" s="5">
        <f>VLOOKUP(globalfreelancepreprocesseddata!A416,worksheet!A:P,13,FALSE)</f>
        <v>4.0999999999999996</v>
      </c>
      <c r="K416" s="5">
        <f>VLOOKUP(globalfreelancepreprocesseddata!A416,worksheet!A:P,14,FALSE)</f>
        <v>1</v>
      </c>
      <c r="L416" s="7">
        <f>VLOOKUP(globalfreelancepreprocesseddata!A416,worksheet!A:P,16,FALSE)</f>
        <v>0.16</v>
      </c>
    </row>
    <row r="417" spans="1:12" x14ac:dyDescent="0.35">
      <c r="A417" s="5" t="s">
        <v>908</v>
      </c>
      <c r="B417" s="5" t="str">
        <f>VLOOKUP(globalfreelancepreprocesseddata!A417,worksheet!A:P,3,FALSE)</f>
        <v>David Morrison</v>
      </c>
      <c r="C417" s="5" t="str">
        <f>VLOOKUP(globalfreelancepreprocesseddata!A417,worksheet!A:P,5,FALSE)</f>
        <v>Male</v>
      </c>
      <c r="D417" s="5">
        <f>VLOOKUP(globalfreelancepreprocesseddata!A417,worksheet!A:P,6,FALSE)</f>
        <v>42</v>
      </c>
      <c r="E417" s="5" t="str">
        <f>VLOOKUP(globalfreelancepreprocesseddata!A417,worksheet!A:P,7,FALSE)</f>
        <v>Mexico</v>
      </c>
      <c r="F417" s="5" t="str">
        <f>VLOOKUP(globalfreelancepreprocesseddata!A417,worksheet!A:P,8,FALSE)</f>
        <v>Spanish</v>
      </c>
      <c r="G417" s="5" t="str">
        <f>VLOOKUP(globalfreelancepreprocesseddata!A417,worksheet!A:P,9,FALSE)</f>
        <v>Machine Learning</v>
      </c>
      <c r="H417" s="5">
        <f>VLOOKUP(globalfreelancepreprocesseddata!A417,worksheet!A:P,10,FALSE)</f>
        <v>8</v>
      </c>
      <c r="I417" s="6">
        <f>VLOOKUP(globalfreelancepreprocesseddata!A417,worksheet!A:P,12,FALSE)</f>
        <v>50</v>
      </c>
      <c r="J417" s="5">
        <f>VLOOKUP(globalfreelancepreprocesseddata!A417,worksheet!A:P,13,FALSE)</f>
        <v>2.4</v>
      </c>
      <c r="K417" s="5">
        <f>VLOOKUP(globalfreelancepreprocesseddata!A417,worksheet!A:P,14,FALSE)</f>
        <v>1</v>
      </c>
      <c r="L417" s="7">
        <f>VLOOKUP(globalfreelancepreprocesseddata!A417,worksheet!A:P,16,FALSE)</f>
        <v>0.68</v>
      </c>
    </row>
    <row r="418" spans="1:12" x14ac:dyDescent="0.35">
      <c r="A418" s="5" t="s">
        <v>910</v>
      </c>
      <c r="B418" s="5" t="str">
        <f>VLOOKUP(globalfreelancepreprocesseddata!A418,worksheet!A:P,3,FALSE)</f>
        <v>Jason Carter</v>
      </c>
      <c r="C418" s="5" t="str">
        <f>VLOOKUP(globalfreelancepreprocesseddata!A418,worksheet!A:P,5,FALSE)</f>
        <v>Male</v>
      </c>
      <c r="D418" s="5">
        <f>VLOOKUP(globalfreelancepreprocesseddata!A418,worksheet!A:P,6,FALSE)</f>
        <v>38</v>
      </c>
      <c r="E418" s="5" t="str">
        <f>VLOOKUP(globalfreelancepreprocesseddata!A418,worksheet!A:P,7,FALSE)</f>
        <v>Mexico</v>
      </c>
      <c r="F418" s="5" t="str">
        <f>VLOOKUP(globalfreelancepreprocesseddata!A418,worksheet!A:P,8,FALSE)</f>
        <v>Spanish</v>
      </c>
      <c r="G418" s="5" t="str">
        <f>VLOOKUP(globalfreelancepreprocesseddata!A418,worksheet!A:P,9,FALSE)</f>
        <v>Data Analysis</v>
      </c>
      <c r="H418" s="5">
        <f>VLOOKUP(globalfreelancepreprocesseddata!A418,worksheet!A:P,10,FALSE)</f>
        <v>9</v>
      </c>
      <c r="I418" s="6">
        <f>VLOOKUP(globalfreelancepreprocesseddata!A418,worksheet!A:P,12,FALSE)</f>
        <v>50</v>
      </c>
      <c r="J418" s="5">
        <f>VLOOKUP(globalfreelancepreprocesseddata!A418,worksheet!A:P,13,FALSE)</f>
        <v>0</v>
      </c>
      <c r="K418" s="5">
        <f>VLOOKUP(globalfreelancepreprocesseddata!A418,worksheet!A:P,14,FALSE)</f>
        <v>0</v>
      </c>
      <c r="L418" s="7">
        <f>VLOOKUP(globalfreelancepreprocesseddata!A418,worksheet!A:P,16,FALSE)</f>
        <v>0.74</v>
      </c>
    </row>
    <row r="419" spans="1:12" x14ac:dyDescent="0.35">
      <c r="A419" s="5" t="s">
        <v>911</v>
      </c>
      <c r="B419" s="5" t="str">
        <f>VLOOKUP(globalfreelancepreprocesseddata!A419,worksheet!A:P,3,FALSE)</f>
        <v>James Jacobs</v>
      </c>
      <c r="C419" s="5" t="str">
        <f>VLOOKUP(globalfreelancepreprocesseddata!A419,worksheet!A:P,5,FALSE)</f>
        <v>Male</v>
      </c>
      <c r="D419" s="5">
        <f>VLOOKUP(globalfreelancepreprocesseddata!A419,worksheet!A:P,6,FALSE)</f>
        <v>51</v>
      </c>
      <c r="E419" s="5" t="str">
        <f>VLOOKUP(globalfreelancepreprocesseddata!A419,worksheet!A:P,7,FALSE)</f>
        <v>Egypt</v>
      </c>
      <c r="F419" s="5" t="str">
        <f>VLOOKUP(globalfreelancepreprocesseddata!A419,worksheet!A:P,8,FALSE)</f>
        <v>Arabic</v>
      </c>
      <c r="G419" s="5" t="str">
        <f>VLOOKUP(globalfreelancepreprocesseddata!A419,worksheet!A:P,9,FALSE)</f>
        <v>Web Development</v>
      </c>
      <c r="H419" s="5">
        <f>VLOOKUP(globalfreelancepreprocesseddata!A419,worksheet!A:P,10,FALSE)</f>
        <v>32</v>
      </c>
      <c r="I419" s="6">
        <f>VLOOKUP(globalfreelancepreprocesseddata!A419,worksheet!A:P,12,FALSE)</f>
        <v>100</v>
      </c>
      <c r="J419" s="5">
        <f>VLOOKUP(globalfreelancepreprocesseddata!A419,worksheet!A:P,13,FALSE)</f>
        <v>4.4000000000000004</v>
      </c>
      <c r="K419" s="5">
        <f>VLOOKUP(globalfreelancepreprocesseddata!A419,worksheet!A:P,14,FALSE)</f>
        <v>0</v>
      </c>
      <c r="L419" s="7">
        <f>VLOOKUP(globalfreelancepreprocesseddata!A419,worksheet!A:P,16,FALSE)</f>
        <v>0.91</v>
      </c>
    </row>
    <row r="420" spans="1:12" x14ac:dyDescent="0.35">
      <c r="A420" s="5" t="s">
        <v>913</v>
      </c>
      <c r="B420" s="5" t="str">
        <f>VLOOKUP(globalfreelancepreprocesseddata!A420,worksheet!A:P,3,FALSE)</f>
        <v>Kathleen Quinn</v>
      </c>
      <c r="C420" s="5" t="str">
        <f>VLOOKUP(globalfreelancepreprocesseddata!A420,worksheet!A:P,5,FALSE)</f>
        <v>Female</v>
      </c>
      <c r="D420" s="5">
        <f>VLOOKUP(globalfreelancepreprocesseddata!A420,worksheet!A:P,6,FALSE)</f>
        <v>36</v>
      </c>
      <c r="E420" s="5" t="str">
        <f>VLOOKUP(globalfreelancepreprocesseddata!A420,worksheet!A:P,7,FALSE)</f>
        <v>France</v>
      </c>
      <c r="F420" s="5" t="str">
        <f>VLOOKUP(globalfreelancepreprocesseddata!A420,worksheet!A:P,8,FALSE)</f>
        <v>French</v>
      </c>
      <c r="G420" s="5" t="str">
        <f>VLOOKUP(globalfreelancepreprocesseddata!A420,worksheet!A:P,9,FALSE)</f>
        <v>AI</v>
      </c>
      <c r="H420" s="5">
        <f>VLOOKUP(globalfreelancepreprocesseddata!A420,worksheet!A:P,10,FALSE)</f>
        <v>8</v>
      </c>
      <c r="I420" s="6" t="str">
        <f>VLOOKUP(globalfreelancepreprocesseddata!A420,worksheet!A:P,12,FALSE)</f>
        <v>$ 100</v>
      </c>
      <c r="J420" s="5">
        <f>VLOOKUP(globalfreelancepreprocesseddata!A420,worksheet!A:P,13,FALSE)</f>
        <v>2.2000000000000002</v>
      </c>
      <c r="K420" s="5">
        <f>VLOOKUP(globalfreelancepreprocesseddata!A420,worksheet!A:P,14,FALSE)</f>
        <v>1</v>
      </c>
      <c r="L420" s="7">
        <f>VLOOKUP(globalfreelancepreprocesseddata!A420,worksheet!A:P,16,FALSE)</f>
        <v>0.97</v>
      </c>
    </row>
    <row r="421" spans="1:12" x14ac:dyDescent="0.35">
      <c r="A421" s="5" t="s">
        <v>915</v>
      </c>
      <c r="B421" s="5" t="str">
        <f>VLOOKUP(globalfreelancepreprocesseddata!A421,worksheet!A:P,3,FALSE)</f>
        <v>Natalie Frank Md</v>
      </c>
      <c r="C421" s="5" t="str">
        <f>VLOOKUP(globalfreelancepreprocesseddata!A421,worksheet!A:P,5,FALSE)</f>
        <v>Female</v>
      </c>
      <c r="D421" s="5">
        <f>VLOOKUP(globalfreelancepreprocesseddata!A421,worksheet!A:P,6,FALSE)</f>
        <v>37</v>
      </c>
      <c r="E421" s="5" t="str">
        <f>VLOOKUP(globalfreelancepreprocesseddata!A421,worksheet!A:P,7,FALSE)</f>
        <v>Australia</v>
      </c>
      <c r="F421" s="5" t="str">
        <f>VLOOKUP(globalfreelancepreprocesseddata!A421,worksheet!A:P,8,FALSE)</f>
        <v>English</v>
      </c>
      <c r="G421" s="5" t="str">
        <f>VLOOKUP(globalfreelancepreprocesseddata!A421,worksheet!A:P,9,FALSE)</f>
        <v>Mobile Apps</v>
      </c>
      <c r="H421" s="5">
        <f>VLOOKUP(globalfreelancepreprocesseddata!A421,worksheet!A:P,10,FALSE)</f>
        <v>10</v>
      </c>
      <c r="I421" s="6">
        <f>VLOOKUP(globalfreelancepreprocesseddata!A421,worksheet!A:P,12,FALSE)</f>
        <v>30</v>
      </c>
      <c r="J421" s="5">
        <f>VLOOKUP(globalfreelancepreprocesseddata!A421,worksheet!A:P,13,FALSE)</f>
        <v>0</v>
      </c>
      <c r="K421" s="5">
        <f>VLOOKUP(globalfreelancepreprocesseddata!A421,worksheet!A:P,14,FALSE)</f>
        <v>0</v>
      </c>
      <c r="L421" s="7">
        <f>VLOOKUP(globalfreelancepreprocesseddata!A421,worksheet!A:P,16,FALSE)</f>
        <v>0.96</v>
      </c>
    </row>
    <row r="422" spans="1:12" x14ac:dyDescent="0.35">
      <c r="A422" s="5" t="s">
        <v>917</v>
      </c>
      <c r="B422" s="5" t="str">
        <f>VLOOKUP(globalfreelancepreprocesseddata!A422,worksheet!A:P,3,FALSE)</f>
        <v>Michael Reed</v>
      </c>
      <c r="C422" s="5" t="str">
        <f>VLOOKUP(globalfreelancepreprocesseddata!A422,worksheet!A:P,5,FALSE)</f>
        <v>Male</v>
      </c>
      <c r="D422" s="5">
        <f>VLOOKUP(globalfreelancepreprocesseddata!A422,worksheet!A:P,6,FALSE)</f>
        <v>31</v>
      </c>
      <c r="E422" s="5" t="str">
        <f>VLOOKUP(globalfreelancepreprocesseddata!A422,worksheet!A:P,7,FALSE)</f>
        <v>South Africa</v>
      </c>
      <c r="F422" s="5" t="str">
        <f>VLOOKUP(globalfreelancepreprocesseddata!A422,worksheet!A:P,8,FALSE)</f>
        <v>Afrikaans</v>
      </c>
      <c r="G422" s="5" t="str">
        <f>VLOOKUP(globalfreelancepreprocesseddata!A422,worksheet!A:P,9,FALSE)</f>
        <v>DevOps</v>
      </c>
      <c r="H422" s="5">
        <f>VLOOKUP(globalfreelancepreprocesseddata!A422,worksheet!A:P,10,FALSE)</f>
        <v>11</v>
      </c>
      <c r="I422" s="6">
        <f>VLOOKUP(globalfreelancepreprocesseddata!A422,worksheet!A:P,12,FALSE)</f>
        <v>50</v>
      </c>
      <c r="J422" s="5">
        <f>VLOOKUP(globalfreelancepreprocesseddata!A422,worksheet!A:P,13,FALSE)</f>
        <v>1.1000000000000001</v>
      </c>
      <c r="K422" s="5">
        <f>VLOOKUP(globalfreelancepreprocesseddata!A422,worksheet!A:P,14,FALSE)</f>
        <v>1</v>
      </c>
      <c r="L422" s="7">
        <f>VLOOKUP(globalfreelancepreprocesseddata!A422,worksheet!A:P,16,FALSE)</f>
        <v>0.73</v>
      </c>
    </row>
    <row r="423" spans="1:12" x14ac:dyDescent="0.35">
      <c r="A423" s="5" t="s">
        <v>919</v>
      </c>
      <c r="B423" s="5" t="str">
        <f>VLOOKUP(globalfreelancepreprocesseddata!A423,worksheet!A:P,3,FALSE)</f>
        <v>Sheila Smith</v>
      </c>
      <c r="C423" s="5" t="str">
        <f>VLOOKUP(globalfreelancepreprocesseddata!A423,worksheet!A:P,5,FALSE)</f>
        <v>Female</v>
      </c>
      <c r="D423" s="5">
        <f>VLOOKUP(globalfreelancepreprocesseddata!A423,worksheet!A:P,6,FALSE)</f>
        <v>47</v>
      </c>
      <c r="E423" s="5" t="str">
        <f>VLOOKUP(globalfreelancepreprocesseddata!A423,worksheet!A:P,7,FALSE)</f>
        <v>India</v>
      </c>
      <c r="F423" s="5" t="str">
        <f>VLOOKUP(globalfreelancepreprocesseddata!A423,worksheet!A:P,8,FALSE)</f>
        <v>Hindi</v>
      </c>
      <c r="G423" s="5" t="str">
        <f>VLOOKUP(globalfreelancepreprocesseddata!A423,worksheet!A:P,9,FALSE)</f>
        <v>Cybersecurity</v>
      </c>
      <c r="H423" s="5">
        <f>VLOOKUP(globalfreelancepreprocesseddata!A423,worksheet!A:P,10,FALSE)</f>
        <v>22</v>
      </c>
      <c r="I423" s="6">
        <f>VLOOKUP(globalfreelancepreprocesseddata!A423,worksheet!A:P,12,FALSE)</f>
        <v>40</v>
      </c>
      <c r="J423" s="5">
        <f>VLOOKUP(globalfreelancepreprocesseddata!A423,worksheet!A:P,13,FALSE)</f>
        <v>1.4</v>
      </c>
      <c r="K423" s="5">
        <f>VLOOKUP(globalfreelancepreprocesseddata!A423,worksheet!A:P,14,FALSE)</f>
        <v>1</v>
      </c>
      <c r="L423" s="7">
        <f>VLOOKUP(globalfreelancepreprocesseddata!A423,worksheet!A:P,16,FALSE)</f>
        <v>0.72</v>
      </c>
    </row>
    <row r="424" spans="1:12" x14ac:dyDescent="0.35">
      <c r="A424" s="5" t="s">
        <v>921</v>
      </c>
      <c r="B424" s="5" t="str">
        <f>VLOOKUP(globalfreelancepreprocesseddata!A424,worksheet!A:P,3,FALSE)</f>
        <v>Morgan Ford</v>
      </c>
      <c r="C424" s="5" t="str">
        <f>VLOOKUP(globalfreelancepreprocesseddata!A424,worksheet!A:P,5,FALSE)</f>
        <v>Female</v>
      </c>
      <c r="D424" s="5">
        <f>VLOOKUP(globalfreelancepreprocesseddata!A424,worksheet!A:P,6,FALSE)</f>
        <v>60</v>
      </c>
      <c r="E424" s="5" t="str">
        <f>VLOOKUP(globalfreelancepreprocesseddata!A424,worksheet!A:P,7,FALSE)</f>
        <v>Mexico</v>
      </c>
      <c r="F424" s="5" t="str">
        <f>VLOOKUP(globalfreelancepreprocesseddata!A424,worksheet!A:P,8,FALSE)</f>
        <v>Spanish</v>
      </c>
      <c r="G424" s="5" t="str">
        <f>VLOOKUP(globalfreelancepreprocesseddata!A424,worksheet!A:P,9,FALSE)</f>
        <v>UI/UX Design</v>
      </c>
      <c r="H424" s="5">
        <f>VLOOKUP(globalfreelancepreprocesseddata!A424,worksheet!A:P,10,FALSE)</f>
        <v>34</v>
      </c>
      <c r="I424" s="6">
        <f>VLOOKUP(globalfreelancepreprocesseddata!A424,worksheet!A:P,12,FALSE)</f>
        <v>100</v>
      </c>
      <c r="J424" s="5">
        <f>VLOOKUP(globalfreelancepreprocesseddata!A424,worksheet!A:P,13,FALSE)</f>
        <v>0</v>
      </c>
      <c r="K424" s="5">
        <f>VLOOKUP(globalfreelancepreprocesseddata!A424,worksheet!A:P,14,FALSE)</f>
        <v>1</v>
      </c>
      <c r="L424" s="7">
        <f>VLOOKUP(globalfreelancepreprocesseddata!A424,worksheet!A:P,16,FALSE)</f>
        <v>0.74</v>
      </c>
    </row>
    <row r="425" spans="1:12" x14ac:dyDescent="0.35">
      <c r="A425" s="5" t="s">
        <v>923</v>
      </c>
      <c r="B425" s="5" t="str">
        <f>VLOOKUP(globalfreelancepreprocesseddata!A425,worksheet!A:P,3,FALSE)</f>
        <v>Linda Schultz</v>
      </c>
      <c r="C425" s="5" t="str">
        <f>VLOOKUP(globalfreelancepreprocesseddata!A425,worksheet!A:P,5,FALSE)</f>
        <v>Female</v>
      </c>
      <c r="D425" s="5">
        <f>VLOOKUP(globalfreelancepreprocesseddata!A425,worksheet!A:P,6,FALSE)</f>
        <v>48</v>
      </c>
      <c r="E425" s="5" t="str">
        <f>VLOOKUP(globalfreelancepreprocesseddata!A425,worksheet!A:P,7,FALSE)</f>
        <v>Argentina</v>
      </c>
      <c r="F425" s="5" t="str">
        <f>VLOOKUP(globalfreelancepreprocesseddata!A425,worksheet!A:P,8,FALSE)</f>
        <v>Spanish</v>
      </c>
      <c r="G425" s="5" t="str">
        <f>VLOOKUP(globalfreelancepreprocesseddata!A425,worksheet!A:P,9,FALSE)</f>
        <v>Mobile Apps</v>
      </c>
      <c r="H425" s="5">
        <f>VLOOKUP(globalfreelancepreprocesseddata!A425,worksheet!A:P,10,FALSE)</f>
        <v>5</v>
      </c>
      <c r="I425" s="6">
        <f>VLOOKUP(globalfreelancepreprocesseddata!A425,worksheet!A:P,12,FALSE)</f>
        <v>30</v>
      </c>
      <c r="J425" s="5">
        <f>VLOOKUP(globalfreelancepreprocesseddata!A425,worksheet!A:P,13,FALSE)</f>
        <v>1.5</v>
      </c>
      <c r="K425" s="5">
        <f>VLOOKUP(globalfreelancepreprocesseddata!A425,worksheet!A:P,14,FALSE)</f>
        <v>0</v>
      </c>
      <c r="L425" s="7">
        <f>VLOOKUP(globalfreelancepreprocesseddata!A425,worksheet!A:P,16,FALSE)</f>
        <v>0.16</v>
      </c>
    </row>
    <row r="426" spans="1:12" x14ac:dyDescent="0.35">
      <c r="A426" s="5" t="s">
        <v>925</v>
      </c>
      <c r="B426" s="5" t="str">
        <f>VLOOKUP(globalfreelancepreprocesseddata!A426,worksheet!A:P,3,FALSE)</f>
        <v>Regina Daniel</v>
      </c>
      <c r="C426" s="5" t="str">
        <f>VLOOKUP(globalfreelancepreprocesseddata!A426,worksheet!A:P,5,FALSE)</f>
        <v>Female</v>
      </c>
      <c r="D426" s="5">
        <f>VLOOKUP(globalfreelancepreprocesseddata!A426,worksheet!A:P,6,FALSE)</f>
        <v>24</v>
      </c>
      <c r="E426" s="5" t="str">
        <f>VLOOKUP(globalfreelancepreprocesseddata!A426,worksheet!A:P,7,FALSE)</f>
        <v>India</v>
      </c>
      <c r="F426" s="5" t="str">
        <f>VLOOKUP(globalfreelancepreprocesseddata!A426,worksheet!A:P,8,FALSE)</f>
        <v>Hindi</v>
      </c>
      <c r="G426" s="5" t="str">
        <f>VLOOKUP(globalfreelancepreprocesseddata!A426,worksheet!A:P,9,FALSE)</f>
        <v>AI</v>
      </c>
      <c r="H426" s="5">
        <f>VLOOKUP(globalfreelancepreprocesseddata!A426,worksheet!A:P,10,FALSE)</f>
        <v>3</v>
      </c>
      <c r="I426" s="6">
        <f>VLOOKUP(globalfreelancepreprocesseddata!A426,worksheet!A:P,12,FALSE)</f>
        <v>20</v>
      </c>
      <c r="J426" s="5">
        <f>VLOOKUP(globalfreelancepreprocesseddata!A426,worksheet!A:P,13,FALSE)</f>
        <v>0</v>
      </c>
      <c r="K426" s="5">
        <f>VLOOKUP(globalfreelancepreprocesseddata!A426,worksheet!A:P,14,FALSE)</f>
        <v>1</v>
      </c>
      <c r="L426" s="7">
        <f>VLOOKUP(globalfreelancepreprocesseddata!A426,worksheet!A:P,16,FALSE)</f>
        <v>0.16</v>
      </c>
    </row>
    <row r="427" spans="1:12" x14ac:dyDescent="0.35">
      <c r="A427" s="5" t="s">
        <v>927</v>
      </c>
      <c r="B427" s="5" t="str">
        <f>VLOOKUP(globalfreelancepreprocesseddata!A427,worksheet!A:P,3,FALSE)</f>
        <v>Allison Perkins</v>
      </c>
      <c r="C427" s="5" t="str">
        <f>VLOOKUP(globalfreelancepreprocesseddata!A427,worksheet!A:P,5,FALSE)</f>
        <v>Female</v>
      </c>
      <c r="D427" s="5">
        <f>VLOOKUP(globalfreelancepreprocesseddata!A427,worksheet!A:P,6,FALSE)</f>
        <v>35</v>
      </c>
      <c r="E427" s="5" t="str">
        <f>VLOOKUP(globalfreelancepreprocesseddata!A427,worksheet!A:P,7,FALSE)</f>
        <v>Netherlands</v>
      </c>
      <c r="F427" s="5" t="str">
        <f>VLOOKUP(globalfreelancepreprocesseddata!A427,worksheet!A:P,8,FALSE)</f>
        <v>Dutch</v>
      </c>
      <c r="G427" s="5" t="str">
        <f>VLOOKUP(globalfreelancepreprocesseddata!A427,worksheet!A:P,9,FALSE)</f>
        <v>Machine Learning</v>
      </c>
      <c r="H427" s="5">
        <f>VLOOKUP(globalfreelancepreprocesseddata!A427,worksheet!A:P,10,FALSE)</f>
        <v>10</v>
      </c>
      <c r="I427" s="6">
        <f>VLOOKUP(globalfreelancepreprocesseddata!A427,worksheet!A:P,12,FALSE)</f>
        <v>75</v>
      </c>
      <c r="J427" s="5">
        <f>VLOOKUP(globalfreelancepreprocesseddata!A427,worksheet!A:P,13,FALSE)</f>
        <v>0</v>
      </c>
      <c r="K427" s="5">
        <f>VLOOKUP(globalfreelancepreprocesseddata!A427,worksheet!A:P,14,FALSE)</f>
        <v>1</v>
      </c>
      <c r="L427" s="7">
        <f>VLOOKUP(globalfreelancepreprocesseddata!A427,worksheet!A:P,16,FALSE)</f>
        <v>0.74</v>
      </c>
    </row>
    <row r="428" spans="1:12" x14ac:dyDescent="0.35">
      <c r="A428" s="5" t="s">
        <v>929</v>
      </c>
      <c r="B428" s="5" t="str">
        <f>VLOOKUP(globalfreelancepreprocesseddata!A428,worksheet!A:P,3,FALSE)</f>
        <v>Bradley Weaver</v>
      </c>
      <c r="C428" s="5" t="str">
        <f>VLOOKUP(globalfreelancepreprocesseddata!A428,worksheet!A:P,5,FALSE)</f>
        <v>Male</v>
      </c>
      <c r="D428" s="5">
        <f>VLOOKUP(globalfreelancepreprocesseddata!A428,worksheet!A:P,6,FALSE)</f>
        <v>35</v>
      </c>
      <c r="E428" s="5" t="str">
        <f>VLOOKUP(globalfreelancepreprocesseddata!A428,worksheet!A:P,7,FALSE)</f>
        <v>United States</v>
      </c>
      <c r="F428" s="5" t="str">
        <f>VLOOKUP(globalfreelancepreprocesseddata!A428,worksheet!A:P,8,FALSE)</f>
        <v>English</v>
      </c>
      <c r="G428" s="5" t="str">
        <f>VLOOKUP(globalfreelancepreprocesseddata!A428,worksheet!A:P,9,FALSE)</f>
        <v>DevOps</v>
      </c>
      <c r="H428" s="5">
        <f>VLOOKUP(globalfreelancepreprocesseddata!A428,worksheet!A:P,10,FALSE)</f>
        <v>11</v>
      </c>
      <c r="I428" s="6">
        <f>VLOOKUP(globalfreelancepreprocesseddata!A428,worksheet!A:P,12,FALSE)</f>
        <v>100</v>
      </c>
      <c r="J428" s="5">
        <f>VLOOKUP(globalfreelancepreprocesseddata!A428,worksheet!A:P,13,FALSE)</f>
        <v>3.5</v>
      </c>
      <c r="K428" s="5">
        <f>VLOOKUP(globalfreelancepreprocesseddata!A428,worksheet!A:P,14,FALSE)</f>
        <v>1</v>
      </c>
      <c r="L428" s="7">
        <f>VLOOKUP(globalfreelancepreprocesseddata!A428,worksheet!A:P,16,FALSE)</f>
        <v>0.71</v>
      </c>
    </row>
    <row r="429" spans="1:12" x14ac:dyDescent="0.35">
      <c r="A429" s="5" t="s">
        <v>931</v>
      </c>
      <c r="B429" s="5" t="str">
        <f>VLOOKUP(globalfreelancepreprocesseddata!A429,worksheet!A:P,3,FALSE)</f>
        <v>Sarah Hall</v>
      </c>
      <c r="C429" s="5" t="str">
        <f>VLOOKUP(globalfreelancepreprocesseddata!A429,worksheet!A:P,5,FALSE)</f>
        <v>Female</v>
      </c>
      <c r="D429" s="5">
        <f>VLOOKUP(globalfreelancepreprocesseddata!A429,worksheet!A:P,6,FALSE)</f>
        <v>29</v>
      </c>
      <c r="E429" s="5" t="str">
        <f>VLOOKUP(globalfreelancepreprocesseddata!A429,worksheet!A:P,7,FALSE)</f>
        <v>Netherlands</v>
      </c>
      <c r="F429" s="5" t="str">
        <f>VLOOKUP(globalfreelancepreprocesseddata!A429,worksheet!A:P,8,FALSE)</f>
        <v>Dutch</v>
      </c>
      <c r="G429" s="5" t="str">
        <f>VLOOKUP(globalfreelancepreprocesseddata!A429,worksheet!A:P,9,FALSE)</f>
        <v>UI/UX Design</v>
      </c>
      <c r="H429" s="5">
        <f>VLOOKUP(globalfreelancepreprocesseddata!A429,worksheet!A:P,10,FALSE)</f>
        <v>6</v>
      </c>
      <c r="I429" s="6">
        <f>VLOOKUP(globalfreelancepreprocesseddata!A429,worksheet!A:P,12,FALSE)</f>
        <v>40</v>
      </c>
      <c r="J429" s="5">
        <f>VLOOKUP(globalfreelancepreprocesseddata!A429,worksheet!A:P,13,FALSE)</f>
        <v>4.8</v>
      </c>
      <c r="K429" s="5">
        <f>VLOOKUP(globalfreelancepreprocesseddata!A429,worksheet!A:P,14,FALSE)</f>
        <v>0</v>
      </c>
      <c r="L429" s="7">
        <f>VLOOKUP(globalfreelancepreprocesseddata!A429,worksheet!A:P,16,FALSE)</f>
        <v>0.83</v>
      </c>
    </row>
    <row r="430" spans="1:12" x14ac:dyDescent="0.35">
      <c r="A430" s="5" t="s">
        <v>933</v>
      </c>
      <c r="B430" s="5" t="str">
        <f>VLOOKUP(globalfreelancepreprocesseddata!A430,worksheet!A:P,3,FALSE)</f>
        <v>Diana Walton</v>
      </c>
      <c r="C430" s="5" t="str">
        <f>VLOOKUP(globalfreelancepreprocesseddata!A430,worksheet!A:P,5,FALSE)</f>
        <v>Female</v>
      </c>
      <c r="D430" s="5">
        <f>VLOOKUP(globalfreelancepreprocesseddata!A430,worksheet!A:P,6,FALSE)</f>
        <v>36</v>
      </c>
      <c r="E430" s="5" t="str">
        <f>VLOOKUP(globalfreelancepreprocesseddata!A430,worksheet!A:P,7,FALSE)</f>
        <v>Italy</v>
      </c>
      <c r="F430" s="5" t="str">
        <f>VLOOKUP(globalfreelancepreprocesseddata!A430,worksheet!A:P,8,FALSE)</f>
        <v>Italian</v>
      </c>
      <c r="G430" s="5" t="str">
        <f>VLOOKUP(globalfreelancepreprocesseddata!A430,worksheet!A:P,9,FALSE)</f>
        <v>Machine Learning</v>
      </c>
      <c r="H430" s="5">
        <f>VLOOKUP(globalfreelancepreprocesseddata!A430,worksheet!A:P,10,FALSE)</f>
        <v>1</v>
      </c>
      <c r="I430" s="6">
        <f>VLOOKUP(globalfreelancepreprocesseddata!A430,worksheet!A:P,12,FALSE)</f>
        <v>75</v>
      </c>
      <c r="J430" s="5">
        <f>VLOOKUP(globalfreelancepreprocesseddata!A430,worksheet!A:P,13,FALSE)</f>
        <v>3</v>
      </c>
      <c r="K430" s="5">
        <f>VLOOKUP(globalfreelancepreprocesseddata!A430,worksheet!A:P,14,FALSE)</f>
        <v>1</v>
      </c>
      <c r="L430" s="7">
        <f>VLOOKUP(globalfreelancepreprocesseddata!A430,worksheet!A:P,16,FALSE)</f>
        <v>0.63</v>
      </c>
    </row>
    <row r="431" spans="1:12" x14ac:dyDescent="0.35">
      <c r="A431" s="5" t="s">
        <v>935</v>
      </c>
      <c r="B431" s="5" t="str">
        <f>VLOOKUP(globalfreelancepreprocesseddata!A431,worksheet!A:P,3,FALSE)</f>
        <v>Donna Davis</v>
      </c>
      <c r="C431" s="5" t="str">
        <f>VLOOKUP(globalfreelancepreprocesseddata!A431,worksheet!A:P,5,FALSE)</f>
        <v>Female</v>
      </c>
      <c r="D431" s="5">
        <f>VLOOKUP(globalfreelancepreprocesseddata!A431,worksheet!A:P,6,FALSE)</f>
        <v>44</v>
      </c>
      <c r="E431" s="5" t="str">
        <f>VLOOKUP(globalfreelancepreprocesseddata!A431,worksheet!A:P,7,FALSE)</f>
        <v>Canada</v>
      </c>
      <c r="F431" s="5" t="str">
        <f>VLOOKUP(globalfreelancepreprocesseddata!A431,worksheet!A:P,8,FALSE)</f>
        <v>English</v>
      </c>
      <c r="G431" s="5" t="str">
        <f>VLOOKUP(globalfreelancepreprocesseddata!A431,worksheet!A:P,9,FALSE)</f>
        <v>AI</v>
      </c>
      <c r="H431" s="5">
        <f>VLOOKUP(globalfreelancepreprocesseddata!A431,worksheet!A:P,10,FALSE)</f>
        <v>11</v>
      </c>
      <c r="I431" s="6">
        <f>VLOOKUP(globalfreelancepreprocesseddata!A431,worksheet!A:P,12,FALSE)</f>
        <v>40</v>
      </c>
      <c r="J431" s="5">
        <f>VLOOKUP(globalfreelancepreprocesseddata!A431,worksheet!A:P,13,FALSE)</f>
        <v>4.8</v>
      </c>
      <c r="K431" s="5">
        <f>VLOOKUP(globalfreelancepreprocesseddata!A431,worksheet!A:P,14,FALSE)</f>
        <v>1</v>
      </c>
      <c r="L431" s="7">
        <f>VLOOKUP(globalfreelancepreprocesseddata!A431,worksheet!A:P,16,FALSE)</f>
        <v>0.84</v>
      </c>
    </row>
    <row r="432" spans="1:12" x14ac:dyDescent="0.35">
      <c r="A432" s="5" t="s">
        <v>937</v>
      </c>
      <c r="B432" s="5" t="str">
        <f>VLOOKUP(globalfreelancepreprocesseddata!A432,worksheet!A:P,3,FALSE)</f>
        <v>Christopher Mcclain</v>
      </c>
      <c r="C432" s="5" t="str">
        <f>VLOOKUP(globalfreelancepreprocesseddata!A432,worksheet!A:P,5,FALSE)</f>
        <v>Male</v>
      </c>
      <c r="D432" s="5">
        <f>VLOOKUP(globalfreelancepreprocesseddata!A432,worksheet!A:P,6,FALSE)</f>
        <v>44</v>
      </c>
      <c r="E432" s="5" t="str">
        <f>VLOOKUP(globalfreelancepreprocesseddata!A432,worksheet!A:P,7,FALSE)</f>
        <v>South Africa</v>
      </c>
      <c r="F432" s="5" t="str">
        <f>VLOOKUP(globalfreelancepreprocesseddata!A432,worksheet!A:P,8,FALSE)</f>
        <v>Afrikaans</v>
      </c>
      <c r="G432" s="5" t="str">
        <f>VLOOKUP(globalfreelancepreprocesseddata!A432,worksheet!A:P,9,FALSE)</f>
        <v>Web Development</v>
      </c>
      <c r="H432" s="5">
        <f>VLOOKUP(globalfreelancepreprocesseddata!A432,worksheet!A:P,10,FALSE)</f>
        <v>11</v>
      </c>
      <c r="I432" s="6">
        <f>VLOOKUP(globalfreelancepreprocesseddata!A432,worksheet!A:P,12,FALSE)</f>
        <v>40</v>
      </c>
      <c r="J432" s="5">
        <f>VLOOKUP(globalfreelancepreprocesseddata!A432,worksheet!A:P,13,FALSE)</f>
        <v>1.4</v>
      </c>
      <c r="K432" s="5">
        <f>VLOOKUP(globalfreelancepreprocesseddata!A432,worksheet!A:P,14,FALSE)</f>
        <v>0</v>
      </c>
      <c r="L432" s="7">
        <f>VLOOKUP(globalfreelancepreprocesseddata!A432,worksheet!A:P,16,FALSE)</f>
        <v>0.93</v>
      </c>
    </row>
    <row r="433" spans="1:12" x14ac:dyDescent="0.35">
      <c r="A433" s="5" t="s">
        <v>939</v>
      </c>
      <c r="B433" s="5" t="str">
        <f>VLOOKUP(globalfreelancepreprocesseddata!A433,worksheet!A:P,3,FALSE)</f>
        <v>Dr. Paul Williamson</v>
      </c>
      <c r="C433" s="5" t="str">
        <f>VLOOKUP(globalfreelancepreprocesseddata!A433,worksheet!A:P,5,FALSE)</f>
        <v>Male</v>
      </c>
      <c r="D433" s="5">
        <f>VLOOKUP(globalfreelancepreprocesseddata!A433,worksheet!A:P,6,FALSE)</f>
        <v>40</v>
      </c>
      <c r="E433" s="5" t="str">
        <f>VLOOKUP(globalfreelancepreprocesseddata!A433,worksheet!A:P,7,FALSE)</f>
        <v>India</v>
      </c>
      <c r="F433" s="5" t="str">
        <f>VLOOKUP(globalfreelancepreprocesseddata!A433,worksheet!A:P,8,FALSE)</f>
        <v>Hindi</v>
      </c>
      <c r="G433" s="5" t="str">
        <f>VLOOKUP(globalfreelancepreprocesseddata!A433,worksheet!A:P,9,FALSE)</f>
        <v>AI</v>
      </c>
      <c r="H433" s="5">
        <f>VLOOKUP(globalfreelancepreprocesseddata!A433,worksheet!A:P,10,FALSE)</f>
        <v>13</v>
      </c>
      <c r="I433" s="6" t="str">
        <f>VLOOKUP(globalfreelancepreprocesseddata!A433,worksheet!A:P,12,FALSE)</f>
        <v>$ 100</v>
      </c>
      <c r="J433" s="5">
        <f>VLOOKUP(globalfreelancepreprocesseddata!A433,worksheet!A:P,13,FALSE)</f>
        <v>1.1000000000000001</v>
      </c>
      <c r="K433" s="5">
        <f>VLOOKUP(globalfreelancepreprocesseddata!A433,worksheet!A:P,14,FALSE)</f>
        <v>1</v>
      </c>
      <c r="L433" s="7">
        <f>VLOOKUP(globalfreelancepreprocesseddata!A433,worksheet!A:P,16,FALSE)</f>
        <v>0.16</v>
      </c>
    </row>
    <row r="434" spans="1:12" x14ac:dyDescent="0.35">
      <c r="A434" s="5" t="s">
        <v>941</v>
      </c>
      <c r="B434" s="5" t="str">
        <f>VLOOKUP(globalfreelancepreprocesseddata!A434,worksheet!A:P,3,FALSE)</f>
        <v>Barbara Brown</v>
      </c>
      <c r="C434" s="5" t="str">
        <f>VLOOKUP(globalfreelancepreprocesseddata!A434,worksheet!A:P,5,FALSE)</f>
        <v>Female</v>
      </c>
      <c r="D434" s="5">
        <f>VLOOKUP(globalfreelancepreprocesseddata!A434,worksheet!A:P,6,FALSE)</f>
        <v>53</v>
      </c>
      <c r="E434" s="5" t="str">
        <f>VLOOKUP(globalfreelancepreprocesseddata!A434,worksheet!A:P,7,FALSE)</f>
        <v>Netherlands</v>
      </c>
      <c r="F434" s="5" t="str">
        <f>VLOOKUP(globalfreelancepreprocesseddata!A434,worksheet!A:P,8,FALSE)</f>
        <v>Dutch</v>
      </c>
      <c r="G434" s="5" t="str">
        <f>VLOOKUP(globalfreelancepreprocesseddata!A434,worksheet!A:P,9,FALSE)</f>
        <v>Machine Learning</v>
      </c>
      <c r="H434" s="5">
        <f>VLOOKUP(globalfreelancepreprocesseddata!A434,worksheet!A:P,10,FALSE)</f>
        <v>13</v>
      </c>
      <c r="I434" s="6">
        <f>VLOOKUP(globalfreelancepreprocesseddata!A434,worksheet!A:P,12,FALSE)</f>
        <v>50</v>
      </c>
      <c r="J434" s="5">
        <f>VLOOKUP(globalfreelancepreprocesseddata!A434,worksheet!A:P,13,FALSE)</f>
        <v>3.3</v>
      </c>
      <c r="K434" s="5">
        <f>VLOOKUP(globalfreelancepreprocesseddata!A434,worksheet!A:P,14,FALSE)</f>
        <v>1</v>
      </c>
      <c r="L434" s="7">
        <f>VLOOKUP(globalfreelancepreprocesseddata!A434,worksheet!A:P,16,FALSE)</f>
        <v>0.93</v>
      </c>
    </row>
    <row r="435" spans="1:12" x14ac:dyDescent="0.35">
      <c r="A435" s="5" t="s">
        <v>943</v>
      </c>
      <c r="B435" s="5" t="str">
        <f>VLOOKUP(globalfreelancepreprocesseddata!A435,worksheet!A:P,3,FALSE)</f>
        <v>Kimberly Allen</v>
      </c>
      <c r="C435" s="5" t="str">
        <f>VLOOKUP(globalfreelancepreprocesseddata!A435,worksheet!A:P,5,FALSE)</f>
        <v>Female</v>
      </c>
      <c r="D435" s="5">
        <f>VLOOKUP(globalfreelancepreprocesseddata!A435,worksheet!A:P,6,FALSE)</f>
        <v>35</v>
      </c>
      <c r="E435" s="5" t="str">
        <f>VLOOKUP(globalfreelancepreprocesseddata!A435,worksheet!A:P,7,FALSE)</f>
        <v>Germany</v>
      </c>
      <c r="F435" s="5" t="str">
        <f>VLOOKUP(globalfreelancepreprocesseddata!A435,worksheet!A:P,8,FALSE)</f>
        <v>German</v>
      </c>
      <c r="G435" s="5" t="str">
        <f>VLOOKUP(globalfreelancepreprocesseddata!A435,worksheet!A:P,9,FALSE)</f>
        <v>Blockchain Development</v>
      </c>
      <c r="H435" s="5">
        <f>VLOOKUP(globalfreelancepreprocesseddata!A435,worksheet!A:P,10,FALSE)</f>
        <v>11</v>
      </c>
      <c r="I435" s="6" t="str">
        <f>VLOOKUP(globalfreelancepreprocesseddata!A435,worksheet!A:P,12,FALSE)</f>
        <v>$ 30</v>
      </c>
      <c r="J435" s="5">
        <f>VLOOKUP(globalfreelancepreprocesseddata!A435,worksheet!A:P,13,FALSE)</f>
        <v>4.5999999999999996</v>
      </c>
      <c r="K435" s="5">
        <f>VLOOKUP(globalfreelancepreprocesseddata!A435,worksheet!A:P,14,FALSE)</f>
        <v>1</v>
      </c>
      <c r="L435" s="7">
        <f>VLOOKUP(globalfreelancepreprocesseddata!A435,worksheet!A:P,16,FALSE)</f>
        <v>0.97</v>
      </c>
    </row>
    <row r="436" spans="1:12" x14ac:dyDescent="0.35">
      <c r="A436" s="5" t="s">
        <v>945</v>
      </c>
      <c r="B436" s="5" t="str">
        <f>VLOOKUP(globalfreelancepreprocesseddata!A436,worksheet!A:P,3,FALSE)</f>
        <v>Elizabeth Edwards</v>
      </c>
      <c r="C436" s="5" t="str">
        <f>VLOOKUP(globalfreelancepreprocesseddata!A436,worksheet!A:P,5,FALSE)</f>
        <v>Female</v>
      </c>
      <c r="D436" s="5">
        <f>VLOOKUP(globalfreelancepreprocesseddata!A436,worksheet!A:P,6,FALSE)</f>
        <v>27</v>
      </c>
      <c r="E436" s="5" t="str">
        <f>VLOOKUP(globalfreelancepreprocesseddata!A436,worksheet!A:P,7,FALSE)</f>
        <v>Argentina</v>
      </c>
      <c r="F436" s="5" t="str">
        <f>VLOOKUP(globalfreelancepreprocesseddata!A436,worksheet!A:P,8,FALSE)</f>
        <v>Spanish</v>
      </c>
      <c r="G436" s="5" t="str">
        <f>VLOOKUP(globalfreelancepreprocesseddata!A436,worksheet!A:P,9,FALSE)</f>
        <v>Machine Learning</v>
      </c>
      <c r="H436" s="5">
        <f>VLOOKUP(globalfreelancepreprocesseddata!A436,worksheet!A:P,10,FALSE)</f>
        <v>7</v>
      </c>
      <c r="I436" s="6" t="str">
        <f>VLOOKUP(globalfreelancepreprocesseddata!A436,worksheet!A:P,12,FALSE)</f>
        <v>$ 75</v>
      </c>
      <c r="J436" s="5">
        <f>VLOOKUP(globalfreelancepreprocesseddata!A436,worksheet!A:P,13,FALSE)</f>
        <v>2.8</v>
      </c>
      <c r="K436" s="5">
        <f>VLOOKUP(globalfreelancepreprocesseddata!A436,worksheet!A:P,14,FALSE)</f>
        <v>1</v>
      </c>
      <c r="L436" s="7">
        <f>VLOOKUP(globalfreelancepreprocesseddata!A436,worksheet!A:P,16,FALSE)</f>
        <v>0.92</v>
      </c>
    </row>
    <row r="437" spans="1:12" x14ac:dyDescent="0.35">
      <c r="A437" s="5" t="s">
        <v>947</v>
      </c>
      <c r="B437" s="5" t="str">
        <f>VLOOKUP(globalfreelancepreprocesseddata!A437,worksheet!A:P,3,FALSE)</f>
        <v>Anthony Downs</v>
      </c>
      <c r="C437" s="5" t="str">
        <f>VLOOKUP(globalfreelancepreprocesseddata!A437,worksheet!A:P,5,FALSE)</f>
        <v>Male</v>
      </c>
      <c r="D437" s="5">
        <f>VLOOKUP(globalfreelancepreprocesseddata!A437,worksheet!A:P,6,FALSE)</f>
        <v>34</v>
      </c>
      <c r="E437" s="5" t="str">
        <f>VLOOKUP(globalfreelancepreprocesseddata!A437,worksheet!A:P,7,FALSE)</f>
        <v>Australia</v>
      </c>
      <c r="F437" s="5" t="str">
        <f>VLOOKUP(globalfreelancepreprocesseddata!A437,worksheet!A:P,8,FALSE)</f>
        <v>English</v>
      </c>
      <c r="G437" s="5" t="str">
        <f>VLOOKUP(globalfreelancepreprocesseddata!A437,worksheet!A:P,9,FALSE)</f>
        <v>DevOps</v>
      </c>
      <c r="H437" s="5">
        <f>VLOOKUP(globalfreelancepreprocesseddata!A437,worksheet!A:P,10,FALSE)</f>
        <v>6</v>
      </c>
      <c r="I437" s="6">
        <f>VLOOKUP(globalfreelancepreprocesseddata!A437,worksheet!A:P,12,FALSE)</f>
        <v>50</v>
      </c>
      <c r="J437" s="5">
        <f>VLOOKUP(globalfreelancepreprocesseddata!A437,worksheet!A:P,13,FALSE)</f>
        <v>5</v>
      </c>
      <c r="K437" s="5">
        <f>VLOOKUP(globalfreelancepreprocesseddata!A437,worksheet!A:P,14,FALSE)</f>
        <v>1</v>
      </c>
      <c r="L437" s="7">
        <f>VLOOKUP(globalfreelancepreprocesseddata!A437,worksheet!A:P,16,FALSE)</f>
        <v>0.92</v>
      </c>
    </row>
    <row r="438" spans="1:12" x14ac:dyDescent="0.35">
      <c r="A438" s="5" t="s">
        <v>949</v>
      </c>
      <c r="B438" s="5" t="str">
        <f>VLOOKUP(globalfreelancepreprocesseddata!A438,worksheet!A:P,3,FALSE)</f>
        <v>Jack Ortega</v>
      </c>
      <c r="C438" s="5" t="str">
        <f>VLOOKUP(globalfreelancepreprocesseddata!A438,worksheet!A:P,5,FALSE)</f>
        <v>Male</v>
      </c>
      <c r="D438" s="5">
        <f>VLOOKUP(globalfreelancepreprocesseddata!A438,worksheet!A:P,6,FALSE)</f>
        <v>24</v>
      </c>
      <c r="E438" s="5" t="str">
        <f>VLOOKUP(globalfreelancepreprocesseddata!A438,worksheet!A:P,7,FALSE)</f>
        <v>India</v>
      </c>
      <c r="F438" s="5" t="str">
        <f>VLOOKUP(globalfreelancepreprocesseddata!A438,worksheet!A:P,8,FALSE)</f>
        <v>Hindi</v>
      </c>
      <c r="G438" s="5" t="str">
        <f>VLOOKUP(globalfreelancepreprocesseddata!A438,worksheet!A:P,9,FALSE)</f>
        <v>Cybersecurity</v>
      </c>
      <c r="H438" s="5">
        <f>VLOOKUP(globalfreelancepreprocesseddata!A438,worksheet!A:P,10,FALSE)</f>
        <v>2</v>
      </c>
      <c r="I438" s="6">
        <f>VLOOKUP(globalfreelancepreprocesseddata!A438,worksheet!A:P,12,FALSE)</f>
        <v>75</v>
      </c>
      <c r="J438" s="5">
        <f>VLOOKUP(globalfreelancepreprocesseddata!A438,worksheet!A:P,13,FALSE)</f>
        <v>4.7</v>
      </c>
      <c r="K438" s="5">
        <f>VLOOKUP(globalfreelancepreprocesseddata!A438,worksheet!A:P,14,FALSE)</f>
        <v>1</v>
      </c>
      <c r="L438" s="7">
        <f>VLOOKUP(globalfreelancepreprocesseddata!A438,worksheet!A:P,16,FALSE)</f>
        <v>0.68</v>
      </c>
    </row>
    <row r="439" spans="1:12" x14ac:dyDescent="0.35">
      <c r="A439" s="5" t="s">
        <v>951</v>
      </c>
      <c r="B439" s="5" t="str">
        <f>VLOOKUP(globalfreelancepreprocesseddata!A439,worksheet!A:P,3,FALSE)</f>
        <v>Marvin Moore</v>
      </c>
      <c r="C439" s="5" t="str">
        <f>VLOOKUP(globalfreelancepreprocesseddata!A439,worksheet!A:P,5,FALSE)</f>
        <v>Male</v>
      </c>
      <c r="D439" s="5">
        <f>VLOOKUP(globalfreelancepreprocesseddata!A439,worksheet!A:P,6,FALSE)</f>
        <v>57</v>
      </c>
      <c r="E439" s="5" t="str">
        <f>VLOOKUP(globalfreelancepreprocesseddata!A439,worksheet!A:P,7,FALSE)</f>
        <v>United States</v>
      </c>
      <c r="F439" s="5" t="str">
        <f>VLOOKUP(globalfreelancepreprocesseddata!A439,worksheet!A:P,8,FALSE)</f>
        <v>English</v>
      </c>
      <c r="G439" s="5" t="str">
        <f>VLOOKUP(globalfreelancepreprocesseddata!A439,worksheet!A:P,9,FALSE)</f>
        <v>UI/UX Design</v>
      </c>
      <c r="H439" s="5">
        <f>VLOOKUP(globalfreelancepreprocesseddata!A439,worksheet!A:P,10,FALSE)</f>
        <v>13</v>
      </c>
      <c r="I439" s="6">
        <f>VLOOKUP(globalfreelancepreprocesseddata!A439,worksheet!A:P,12,FALSE)</f>
        <v>100</v>
      </c>
      <c r="J439" s="5">
        <f>VLOOKUP(globalfreelancepreprocesseddata!A439,worksheet!A:P,13,FALSE)</f>
        <v>3.5</v>
      </c>
      <c r="K439" s="5">
        <f>VLOOKUP(globalfreelancepreprocesseddata!A439,worksheet!A:P,14,FALSE)</f>
        <v>1</v>
      </c>
      <c r="L439" s="7">
        <f>VLOOKUP(globalfreelancepreprocesseddata!A439,worksheet!A:P,16,FALSE)</f>
        <v>0.95</v>
      </c>
    </row>
    <row r="440" spans="1:12" x14ac:dyDescent="0.35">
      <c r="A440" s="5" t="s">
        <v>953</v>
      </c>
      <c r="B440" s="5" t="str">
        <f>VLOOKUP(globalfreelancepreprocesseddata!A440,worksheet!A:P,3,FALSE)</f>
        <v>Tony French</v>
      </c>
      <c r="C440" s="5" t="str">
        <f>VLOOKUP(globalfreelancepreprocesseddata!A440,worksheet!A:P,5,FALSE)</f>
        <v>Male</v>
      </c>
      <c r="D440" s="5">
        <f>VLOOKUP(globalfreelancepreprocesseddata!A440,worksheet!A:P,6,FALSE)</f>
        <v>28</v>
      </c>
      <c r="E440" s="5" t="str">
        <f>VLOOKUP(globalfreelancepreprocesseddata!A440,worksheet!A:P,7,FALSE)</f>
        <v>South Korea</v>
      </c>
      <c r="F440" s="5" t="str">
        <f>VLOOKUP(globalfreelancepreprocesseddata!A440,worksheet!A:P,8,FALSE)</f>
        <v>Korean</v>
      </c>
      <c r="G440" s="5" t="str">
        <f>VLOOKUP(globalfreelancepreprocesseddata!A440,worksheet!A:P,9,FALSE)</f>
        <v>UI/UX Design</v>
      </c>
      <c r="H440" s="5">
        <f>VLOOKUP(globalfreelancepreprocesseddata!A440,worksheet!A:P,10,FALSE)</f>
        <v>7</v>
      </c>
      <c r="I440" s="6">
        <f>VLOOKUP(globalfreelancepreprocesseddata!A440,worksheet!A:P,12,FALSE)</f>
        <v>100</v>
      </c>
      <c r="J440" s="5">
        <f>VLOOKUP(globalfreelancepreprocesseddata!A440,worksheet!A:P,13,FALSE)</f>
        <v>4.3</v>
      </c>
      <c r="K440" s="5">
        <f>VLOOKUP(globalfreelancepreprocesseddata!A440,worksheet!A:P,14,FALSE)</f>
        <v>0</v>
      </c>
      <c r="L440" s="7">
        <f>VLOOKUP(globalfreelancepreprocesseddata!A440,worksheet!A:P,16,FALSE)</f>
        <v>0.76</v>
      </c>
    </row>
    <row r="441" spans="1:12" x14ac:dyDescent="0.35">
      <c r="A441" s="5" t="s">
        <v>955</v>
      </c>
      <c r="B441" s="5" t="str">
        <f>VLOOKUP(globalfreelancepreprocesseddata!A441,worksheet!A:P,3,FALSE)</f>
        <v>Stacy Hudson</v>
      </c>
      <c r="C441" s="5" t="str">
        <f>VLOOKUP(globalfreelancepreprocesseddata!A441,worksheet!A:P,5,FALSE)</f>
        <v>Female</v>
      </c>
      <c r="D441" s="5">
        <f>VLOOKUP(globalfreelancepreprocesseddata!A441,worksheet!A:P,6,FALSE)</f>
        <v>26</v>
      </c>
      <c r="E441" s="5" t="str">
        <f>VLOOKUP(globalfreelancepreprocesseddata!A441,worksheet!A:P,7,FALSE)</f>
        <v>Italy</v>
      </c>
      <c r="F441" s="5" t="str">
        <f>VLOOKUP(globalfreelancepreprocesseddata!A441,worksheet!A:P,8,FALSE)</f>
        <v>Italian</v>
      </c>
      <c r="G441" s="5" t="str">
        <f>VLOOKUP(globalfreelancepreprocesseddata!A441,worksheet!A:P,9,FALSE)</f>
        <v>DevOps</v>
      </c>
      <c r="H441" s="5">
        <f>VLOOKUP(globalfreelancepreprocesseddata!A441,worksheet!A:P,10,FALSE)</f>
        <v>7</v>
      </c>
      <c r="I441" s="6" t="str">
        <f>VLOOKUP(globalfreelancepreprocesseddata!A441,worksheet!A:P,12,FALSE)</f>
        <v>$ 100</v>
      </c>
      <c r="J441" s="5">
        <f>VLOOKUP(globalfreelancepreprocesseddata!A441,worksheet!A:P,13,FALSE)</f>
        <v>3.3</v>
      </c>
      <c r="K441" s="5">
        <f>VLOOKUP(globalfreelancepreprocesseddata!A441,worksheet!A:P,14,FALSE)</f>
        <v>1</v>
      </c>
      <c r="L441" s="7">
        <f>VLOOKUP(globalfreelancepreprocesseddata!A441,worksheet!A:P,16,FALSE)</f>
        <v>0.66</v>
      </c>
    </row>
    <row r="442" spans="1:12" x14ac:dyDescent="0.35">
      <c r="A442" s="5" t="s">
        <v>957</v>
      </c>
      <c r="B442" s="5" t="str">
        <f>VLOOKUP(globalfreelancepreprocesseddata!A442,worksheet!A:P,3,FALSE)</f>
        <v>Scott Washington</v>
      </c>
      <c r="C442" s="5" t="str">
        <f>VLOOKUP(globalfreelancepreprocesseddata!A442,worksheet!A:P,5,FALSE)</f>
        <v>Male</v>
      </c>
      <c r="D442" s="5">
        <f>VLOOKUP(globalfreelancepreprocesseddata!A442,worksheet!A:P,6,FALSE)</f>
        <v>34</v>
      </c>
      <c r="E442" s="5" t="str">
        <f>VLOOKUP(globalfreelancepreprocesseddata!A442,worksheet!A:P,7,FALSE)</f>
        <v>Argentina</v>
      </c>
      <c r="F442" s="5" t="str">
        <f>VLOOKUP(globalfreelancepreprocesseddata!A442,worksheet!A:P,8,FALSE)</f>
        <v>Spanish</v>
      </c>
      <c r="G442" s="5" t="str">
        <f>VLOOKUP(globalfreelancepreprocesseddata!A442,worksheet!A:P,9,FALSE)</f>
        <v>Mobile Apps</v>
      </c>
      <c r="H442" s="5">
        <f>VLOOKUP(globalfreelancepreprocesseddata!A442,worksheet!A:P,10,FALSE)</f>
        <v>15</v>
      </c>
      <c r="I442" s="6">
        <f>VLOOKUP(globalfreelancepreprocesseddata!A442,worksheet!A:P,12,FALSE)</f>
        <v>75</v>
      </c>
      <c r="J442" s="5">
        <f>VLOOKUP(globalfreelancepreprocesseddata!A442,worksheet!A:P,13,FALSE)</f>
        <v>3</v>
      </c>
      <c r="K442" s="5">
        <f>VLOOKUP(globalfreelancepreprocesseddata!A442,worksheet!A:P,14,FALSE)</f>
        <v>0</v>
      </c>
      <c r="L442" s="7">
        <f>VLOOKUP(globalfreelancepreprocesseddata!A442,worksheet!A:P,16,FALSE)</f>
        <v>0.73</v>
      </c>
    </row>
    <row r="443" spans="1:12" x14ac:dyDescent="0.35">
      <c r="A443" s="5" t="s">
        <v>959</v>
      </c>
      <c r="B443" s="5" t="str">
        <f>VLOOKUP(globalfreelancepreprocesseddata!A443,worksheet!A:P,3,FALSE)</f>
        <v>Timothy Wright</v>
      </c>
      <c r="C443" s="5" t="str">
        <f>VLOOKUP(globalfreelancepreprocesseddata!A443,worksheet!A:P,5,FALSE)</f>
        <v>Male</v>
      </c>
      <c r="D443" s="5">
        <f>VLOOKUP(globalfreelancepreprocesseddata!A443,worksheet!A:P,6,FALSE)</f>
        <v>43</v>
      </c>
      <c r="E443" s="5" t="str">
        <f>VLOOKUP(globalfreelancepreprocesseddata!A443,worksheet!A:P,7,FALSE)</f>
        <v>Japan</v>
      </c>
      <c r="F443" s="5" t="str">
        <f>VLOOKUP(globalfreelancepreprocesseddata!A443,worksheet!A:P,8,FALSE)</f>
        <v>Japanese</v>
      </c>
      <c r="G443" s="5" t="str">
        <f>VLOOKUP(globalfreelancepreprocesseddata!A443,worksheet!A:P,9,FALSE)</f>
        <v>AI</v>
      </c>
      <c r="H443" s="5">
        <f>VLOOKUP(globalfreelancepreprocesseddata!A443,worksheet!A:P,10,FALSE)</f>
        <v>11</v>
      </c>
      <c r="I443" s="6" t="str">
        <f>VLOOKUP(globalfreelancepreprocesseddata!A443,worksheet!A:P,12,FALSE)</f>
        <v>$ 20</v>
      </c>
      <c r="J443" s="5">
        <f>VLOOKUP(globalfreelancepreprocesseddata!A443,worksheet!A:P,13,FALSE)</f>
        <v>2.8</v>
      </c>
      <c r="K443" s="5">
        <f>VLOOKUP(globalfreelancepreprocesseddata!A443,worksheet!A:P,14,FALSE)</f>
        <v>1</v>
      </c>
      <c r="L443" s="7">
        <f>VLOOKUP(globalfreelancepreprocesseddata!A443,worksheet!A:P,16,FALSE)</f>
        <v>0.99</v>
      </c>
    </row>
    <row r="444" spans="1:12" x14ac:dyDescent="0.35">
      <c r="A444" s="5" t="s">
        <v>961</v>
      </c>
      <c r="B444" s="5" t="str">
        <f>VLOOKUP(globalfreelancepreprocesseddata!A444,worksheet!A:P,3,FALSE)</f>
        <v>Joseph Gonzalez</v>
      </c>
      <c r="C444" s="5" t="str">
        <f>VLOOKUP(globalfreelancepreprocesseddata!A444,worksheet!A:P,5,FALSE)</f>
        <v>Male</v>
      </c>
      <c r="D444" s="5">
        <f>VLOOKUP(globalfreelancepreprocesseddata!A444,worksheet!A:P,6,FALSE)</f>
        <v>31</v>
      </c>
      <c r="E444" s="5" t="str">
        <f>VLOOKUP(globalfreelancepreprocesseddata!A444,worksheet!A:P,7,FALSE)</f>
        <v>China</v>
      </c>
      <c r="F444" s="5" t="str">
        <f>VLOOKUP(globalfreelancepreprocesseddata!A444,worksheet!A:P,8,FALSE)</f>
        <v>Mandarin</v>
      </c>
      <c r="G444" s="5" t="str">
        <f>VLOOKUP(globalfreelancepreprocesseddata!A444,worksheet!A:P,9,FALSE)</f>
        <v>Graphic Design</v>
      </c>
      <c r="H444" s="5">
        <f>VLOOKUP(globalfreelancepreprocesseddata!A444,worksheet!A:P,10,FALSE)</f>
        <v>5</v>
      </c>
      <c r="I444" s="6">
        <f>VLOOKUP(globalfreelancepreprocesseddata!A444,worksheet!A:P,12,FALSE)</f>
        <v>40</v>
      </c>
      <c r="J444" s="5">
        <f>VLOOKUP(globalfreelancepreprocesseddata!A444,worksheet!A:P,13,FALSE)</f>
        <v>2.7</v>
      </c>
      <c r="K444" s="5">
        <f>VLOOKUP(globalfreelancepreprocesseddata!A444,worksheet!A:P,14,FALSE)</f>
        <v>1</v>
      </c>
      <c r="L444" s="7">
        <f>VLOOKUP(globalfreelancepreprocesseddata!A444,worksheet!A:P,16,FALSE)</f>
        <v>0.94</v>
      </c>
    </row>
    <row r="445" spans="1:12" x14ac:dyDescent="0.35">
      <c r="A445" s="5" t="s">
        <v>963</v>
      </c>
      <c r="B445" s="5" t="str">
        <f>VLOOKUP(globalfreelancepreprocesseddata!A445,worksheet!A:P,3,FALSE)</f>
        <v>Andrea Perez</v>
      </c>
      <c r="C445" s="5" t="str">
        <f>VLOOKUP(globalfreelancepreprocesseddata!A445,worksheet!A:P,5,FALSE)</f>
        <v>Female</v>
      </c>
      <c r="D445" s="5">
        <f>VLOOKUP(globalfreelancepreprocesseddata!A445,worksheet!A:P,6,FALSE)</f>
        <v>34</v>
      </c>
      <c r="E445" s="5" t="str">
        <f>VLOOKUP(globalfreelancepreprocesseddata!A445,worksheet!A:P,7,FALSE)</f>
        <v>China</v>
      </c>
      <c r="F445" s="5" t="str">
        <f>VLOOKUP(globalfreelancepreprocesseddata!A445,worksheet!A:P,8,FALSE)</f>
        <v>Mandarin</v>
      </c>
      <c r="G445" s="5" t="str">
        <f>VLOOKUP(globalfreelancepreprocesseddata!A445,worksheet!A:P,9,FALSE)</f>
        <v>Blockchain Development</v>
      </c>
      <c r="H445" s="5">
        <f>VLOOKUP(globalfreelancepreprocesseddata!A445,worksheet!A:P,10,FALSE)</f>
        <v>11</v>
      </c>
      <c r="I445" s="6">
        <f>VLOOKUP(globalfreelancepreprocesseddata!A445,worksheet!A:P,12,FALSE)</f>
        <v>50</v>
      </c>
      <c r="J445" s="5">
        <f>VLOOKUP(globalfreelancepreprocesseddata!A445,worksheet!A:P,13,FALSE)</f>
        <v>0</v>
      </c>
      <c r="K445" s="5">
        <f>VLOOKUP(globalfreelancepreprocesseddata!A445,worksheet!A:P,14,FALSE)</f>
        <v>0</v>
      </c>
      <c r="L445" s="7">
        <f>VLOOKUP(globalfreelancepreprocesseddata!A445,worksheet!A:P,16,FALSE)</f>
        <v>0.84</v>
      </c>
    </row>
    <row r="446" spans="1:12" x14ac:dyDescent="0.35">
      <c r="A446" s="5" t="s">
        <v>965</v>
      </c>
      <c r="B446" s="5" t="str">
        <f>VLOOKUP(globalfreelancepreprocesseddata!A446,worksheet!A:P,3,FALSE)</f>
        <v>Angel Collins</v>
      </c>
      <c r="C446" s="5" t="str">
        <f>VLOOKUP(globalfreelancepreprocesseddata!A446,worksheet!A:P,5,FALSE)</f>
        <v>Female</v>
      </c>
      <c r="D446" s="5">
        <f>VLOOKUP(globalfreelancepreprocesseddata!A446,worksheet!A:P,6,FALSE)</f>
        <v>32</v>
      </c>
      <c r="E446" s="5" t="str">
        <f>VLOOKUP(globalfreelancepreprocesseddata!A446,worksheet!A:P,7,FALSE)</f>
        <v>Russia</v>
      </c>
      <c r="F446" s="5" t="str">
        <f>VLOOKUP(globalfreelancepreprocesseddata!A446,worksheet!A:P,8,FALSE)</f>
        <v>Russian</v>
      </c>
      <c r="G446" s="5" t="str">
        <f>VLOOKUP(globalfreelancepreprocesseddata!A446,worksheet!A:P,9,FALSE)</f>
        <v>Cybersecurity</v>
      </c>
      <c r="H446" s="5">
        <f>VLOOKUP(globalfreelancepreprocesseddata!A446,worksheet!A:P,10,FALSE)</f>
        <v>10</v>
      </c>
      <c r="I446" s="6">
        <f>VLOOKUP(globalfreelancepreprocesseddata!A446,worksheet!A:P,12,FALSE)</f>
        <v>20</v>
      </c>
      <c r="J446" s="5">
        <f>VLOOKUP(globalfreelancepreprocesseddata!A446,worksheet!A:P,13,FALSE)</f>
        <v>3</v>
      </c>
      <c r="K446" s="5">
        <f>VLOOKUP(globalfreelancepreprocesseddata!A446,worksheet!A:P,14,FALSE)</f>
        <v>1</v>
      </c>
      <c r="L446" s="7">
        <f>VLOOKUP(globalfreelancepreprocesseddata!A446,worksheet!A:P,16,FALSE)</f>
        <v>0.92</v>
      </c>
    </row>
    <row r="447" spans="1:12" x14ac:dyDescent="0.35">
      <c r="A447" s="5" t="s">
        <v>967</v>
      </c>
      <c r="B447" s="5" t="str">
        <f>VLOOKUP(globalfreelancepreprocesseddata!A447,worksheet!A:P,3,FALSE)</f>
        <v>Daniel Terry</v>
      </c>
      <c r="C447" s="5" t="str">
        <f>VLOOKUP(globalfreelancepreprocesseddata!A447,worksheet!A:P,5,FALSE)</f>
        <v>Male</v>
      </c>
      <c r="D447" s="5">
        <f>VLOOKUP(globalfreelancepreprocesseddata!A447,worksheet!A:P,6,FALSE)</f>
        <v>24</v>
      </c>
      <c r="E447" s="5" t="str">
        <f>VLOOKUP(globalfreelancepreprocesseddata!A447,worksheet!A:P,7,FALSE)</f>
        <v>Egypt</v>
      </c>
      <c r="F447" s="5" t="str">
        <f>VLOOKUP(globalfreelancepreprocesseddata!A447,worksheet!A:P,8,FALSE)</f>
        <v>Arabic</v>
      </c>
      <c r="G447" s="5" t="str">
        <f>VLOOKUP(globalfreelancepreprocesseddata!A447,worksheet!A:P,9,FALSE)</f>
        <v>DevOps</v>
      </c>
      <c r="H447" s="5">
        <f>VLOOKUP(globalfreelancepreprocesseddata!A447,worksheet!A:P,10,FALSE)</f>
        <v>6</v>
      </c>
      <c r="I447" s="6">
        <f>VLOOKUP(globalfreelancepreprocesseddata!A447,worksheet!A:P,12,FALSE)</f>
        <v>75</v>
      </c>
      <c r="J447" s="5">
        <f>VLOOKUP(globalfreelancepreprocesseddata!A447,worksheet!A:P,13,FALSE)</f>
        <v>4.3</v>
      </c>
      <c r="K447" s="5">
        <f>VLOOKUP(globalfreelancepreprocesseddata!A447,worksheet!A:P,14,FALSE)</f>
        <v>1</v>
      </c>
      <c r="L447" s="7">
        <f>VLOOKUP(globalfreelancepreprocesseddata!A447,worksheet!A:P,16,FALSE)</f>
        <v>0.16</v>
      </c>
    </row>
    <row r="448" spans="1:12" x14ac:dyDescent="0.35">
      <c r="A448" s="5" t="s">
        <v>969</v>
      </c>
      <c r="B448" s="5" t="str">
        <f>VLOOKUP(globalfreelancepreprocesseddata!A448,worksheet!A:P,3,FALSE)</f>
        <v>Steven Whitaker</v>
      </c>
      <c r="C448" s="5" t="str">
        <f>VLOOKUP(globalfreelancepreprocesseddata!A448,worksheet!A:P,5,FALSE)</f>
        <v>Male</v>
      </c>
      <c r="D448" s="5">
        <f>VLOOKUP(globalfreelancepreprocesseddata!A448,worksheet!A:P,6,FALSE)</f>
        <v>35</v>
      </c>
      <c r="E448" s="5" t="str">
        <f>VLOOKUP(globalfreelancepreprocesseddata!A448,worksheet!A:P,7,FALSE)</f>
        <v>United Kingdom</v>
      </c>
      <c r="F448" s="5" t="str">
        <f>VLOOKUP(globalfreelancepreprocesseddata!A448,worksheet!A:P,8,FALSE)</f>
        <v>English</v>
      </c>
      <c r="G448" s="5" t="str">
        <f>VLOOKUP(globalfreelancepreprocesseddata!A448,worksheet!A:P,9,FALSE)</f>
        <v>AI</v>
      </c>
      <c r="H448" s="5">
        <f>VLOOKUP(globalfreelancepreprocesseddata!A448,worksheet!A:P,10,FALSE)</f>
        <v>8</v>
      </c>
      <c r="I448" s="6" t="str">
        <f>VLOOKUP(globalfreelancepreprocesseddata!A448,worksheet!A:P,12,FALSE)</f>
        <v>$ 50</v>
      </c>
      <c r="J448" s="5">
        <f>VLOOKUP(globalfreelancepreprocesseddata!A448,worksheet!A:P,13,FALSE)</f>
        <v>3</v>
      </c>
      <c r="K448" s="5">
        <f>VLOOKUP(globalfreelancepreprocesseddata!A448,worksheet!A:P,14,FALSE)</f>
        <v>1</v>
      </c>
      <c r="L448" s="7">
        <f>VLOOKUP(globalfreelancepreprocesseddata!A448,worksheet!A:P,16,FALSE)</f>
        <v>0.9</v>
      </c>
    </row>
    <row r="449" spans="1:12" x14ac:dyDescent="0.35">
      <c r="A449" s="5" t="s">
        <v>971</v>
      </c>
      <c r="B449" s="5" t="str">
        <f>VLOOKUP(globalfreelancepreprocesseddata!A449,worksheet!A:P,3,FALSE)</f>
        <v>Denise Neal</v>
      </c>
      <c r="C449" s="5" t="str">
        <f>VLOOKUP(globalfreelancepreprocesseddata!A449,worksheet!A:P,5,FALSE)</f>
        <v>Female</v>
      </c>
      <c r="D449" s="5">
        <f>VLOOKUP(globalfreelancepreprocesseddata!A449,worksheet!A:P,6,FALSE)</f>
        <v>22</v>
      </c>
      <c r="E449" s="5" t="str">
        <f>VLOOKUP(globalfreelancepreprocesseddata!A449,worksheet!A:P,7,FALSE)</f>
        <v>Australia</v>
      </c>
      <c r="F449" s="5" t="str">
        <f>VLOOKUP(globalfreelancepreprocesseddata!A449,worksheet!A:P,8,FALSE)</f>
        <v>English</v>
      </c>
      <c r="G449" s="5" t="str">
        <f>VLOOKUP(globalfreelancepreprocesseddata!A449,worksheet!A:P,9,FALSE)</f>
        <v>Mobile Apps</v>
      </c>
      <c r="H449" s="5">
        <f>VLOOKUP(globalfreelancepreprocesseddata!A449,worksheet!A:P,10,FALSE)</f>
        <v>4</v>
      </c>
      <c r="I449" s="6">
        <f>VLOOKUP(globalfreelancepreprocesseddata!A449,worksheet!A:P,12,FALSE)</f>
        <v>20</v>
      </c>
      <c r="J449" s="5">
        <f>VLOOKUP(globalfreelancepreprocesseddata!A449,worksheet!A:P,13,FALSE)</f>
        <v>3</v>
      </c>
      <c r="K449" s="5">
        <f>VLOOKUP(globalfreelancepreprocesseddata!A449,worksheet!A:P,14,FALSE)</f>
        <v>0</v>
      </c>
      <c r="L449" s="7">
        <f>VLOOKUP(globalfreelancepreprocesseddata!A449,worksheet!A:P,16,FALSE)</f>
        <v>0.73</v>
      </c>
    </row>
    <row r="450" spans="1:12" x14ac:dyDescent="0.35">
      <c r="A450" s="5" t="s">
        <v>973</v>
      </c>
      <c r="B450" s="5" t="str">
        <f>VLOOKUP(globalfreelancepreprocesseddata!A450,worksheet!A:P,3,FALSE)</f>
        <v>Amanda Jacobs</v>
      </c>
      <c r="C450" s="5" t="str">
        <f>VLOOKUP(globalfreelancepreprocesseddata!A450,worksheet!A:P,5,FALSE)</f>
        <v>Female</v>
      </c>
      <c r="D450" s="5">
        <f>VLOOKUP(globalfreelancepreprocesseddata!A450,worksheet!A:P,6,FALSE)</f>
        <v>55</v>
      </c>
      <c r="E450" s="5" t="str">
        <f>VLOOKUP(globalfreelancepreprocesseddata!A450,worksheet!A:P,7,FALSE)</f>
        <v>Egypt</v>
      </c>
      <c r="F450" s="5" t="str">
        <f>VLOOKUP(globalfreelancepreprocesseddata!A450,worksheet!A:P,8,FALSE)</f>
        <v>Arabic</v>
      </c>
      <c r="G450" s="5" t="str">
        <f>VLOOKUP(globalfreelancepreprocesseddata!A450,worksheet!A:P,9,FALSE)</f>
        <v>AI</v>
      </c>
      <c r="H450" s="5">
        <f>VLOOKUP(globalfreelancepreprocesseddata!A450,worksheet!A:P,10,FALSE)</f>
        <v>3</v>
      </c>
      <c r="I450" s="6">
        <f>VLOOKUP(globalfreelancepreprocesseddata!A450,worksheet!A:P,12,FALSE)</f>
        <v>100</v>
      </c>
      <c r="J450" s="5">
        <f>VLOOKUP(globalfreelancepreprocesseddata!A450,worksheet!A:P,13,FALSE)</f>
        <v>3</v>
      </c>
      <c r="K450" s="5">
        <f>VLOOKUP(globalfreelancepreprocesseddata!A450,worksheet!A:P,14,FALSE)</f>
        <v>1</v>
      </c>
      <c r="L450" s="7">
        <f>VLOOKUP(globalfreelancepreprocesseddata!A450,worksheet!A:P,16,FALSE)</f>
        <v>0.73</v>
      </c>
    </row>
    <row r="451" spans="1:12" x14ac:dyDescent="0.35">
      <c r="A451" s="5" t="s">
        <v>975</v>
      </c>
      <c r="B451" s="5" t="str">
        <f>VLOOKUP(globalfreelancepreprocesseddata!A451,worksheet!A:P,3,FALSE)</f>
        <v>Karen Mercer</v>
      </c>
      <c r="C451" s="5" t="str">
        <f>VLOOKUP(globalfreelancepreprocesseddata!A451,worksheet!A:P,5,FALSE)</f>
        <v>Female</v>
      </c>
      <c r="D451" s="5">
        <f>VLOOKUP(globalfreelancepreprocesseddata!A451,worksheet!A:P,6,FALSE)</f>
        <v>54</v>
      </c>
      <c r="E451" s="5" t="str">
        <f>VLOOKUP(globalfreelancepreprocesseddata!A451,worksheet!A:P,7,FALSE)</f>
        <v>Argentina</v>
      </c>
      <c r="F451" s="5" t="str">
        <f>VLOOKUP(globalfreelancepreprocesseddata!A451,worksheet!A:P,8,FALSE)</f>
        <v>Spanish</v>
      </c>
      <c r="G451" s="5" t="str">
        <f>VLOOKUP(globalfreelancepreprocesseddata!A451,worksheet!A:P,9,FALSE)</f>
        <v>Machine Learning</v>
      </c>
      <c r="H451" s="5">
        <f>VLOOKUP(globalfreelancepreprocesseddata!A451,worksheet!A:P,10,FALSE)</f>
        <v>11</v>
      </c>
      <c r="I451" s="6">
        <f>VLOOKUP(globalfreelancepreprocesseddata!A451,worksheet!A:P,12,FALSE)</f>
        <v>30</v>
      </c>
      <c r="J451" s="5">
        <f>VLOOKUP(globalfreelancepreprocesseddata!A451,worksheet!A:P,13,FALSE)</f>
        <v>2.9</v>
      </c>
      <c r="K451" s="5">
        <f>VLOOKUP(globalfreelancepreprocesseddata!A451,worksheet!A:P,14,FALSE)</f>
        <v>1</v>
      </c>
      <c r="L451" s="7">
        <f>VLOOKUP(globalfreelancepreprocesseddata!A451,worksheet!A:P,16,FALSE)</f>
        <v>0.78</v>
      </c>
    </row>
    <row r="452" spans="1:12" x14ac:dyDescent="0.35">
      <c r="A452" s="5" t="s">
        <v>977</v>
      </c>
      <c r="B452" s="5" t="str">
        <f>VLOOKUP(globalfreelancepreprocesseddata!A452,worksheet!A:P,3,FALSE)</f>
        <v>Lindsay Hudson</v>
      </c>
      <c r="C452" s="5" t="str">
        <f>VLOOKUP(globalfreelancepreprocesseddata!A452,worksheet!A:P,5,FALSE)</f>
        <v>Female</v>
      </c>
      <c r="D452" s="5">
        <f>VLOOKUP(globalfreelancepreprocesseddata!A452,worksheet!A:P,6,FALSE)</f>
        <v>36</v>
      </c>
      <c r="E452" s="5" t="str">
        <f>VLOOKUP(globalfreelancepreprocesseddata!A452,worksheet!A:P,7,FALSE)</f>
        <v>Netherlands</v>
      </c>
      <c r="F452" s="5" t="str">
        <f>VLOOKUP(globalfreelancepreprocesseddata!A452,worksheet!A:P,8,FALSE)</f>
        <v>Dutch</v>
      </c>
      <c r="G452" s="5" t="str">
        <f>VLOOKUP(globalfreelancepreprocesseddata!A452,worksheet!A:P,9,FALSE)</f>
        <v>Cybersecurity</v>
      </c>
      <c r="H452" s="5">
        <f>VLOOKUP(globalfreelancepreprocesseddata!A452,worksheet!A:P,10,FALSE)</f>
        <v>11</v>
      </c>
      <c r="I452" s="6">
        <f>VLOOKUP(globalfreelancepreprocesseddata!A452,worksheet!A:P,12,FALSE)</f>
        <v>30</v>
      </c>
      <c r="J452" s="5">
        <f>VLOOKUP(globalfreelancepreprocesseddata!A452,worksheet!A:P,13,FALSE)</f>
        <v>0</v>
      </c>
      <c r="K452" s="5">
        <f>VLOOKUP(globalfreelancepreprocesseddata!A452,worksheet!A:P,14,FALSE)</f>
        <v>1</v>
      </c>
      <c r="L452" s="7">
        <f>VLOOKUP(globalfreelancepreprocesseddata!A452,worksheet!A:P,16,FALSE)</f>
        <v>0.63</v>
      </c>
    </row>
    <row r="453" spans="1:12" x14ac:dyDescent="0.35">
      <c r="A453" s="5" t="s">
        <v>979</v>
      </c>
      <c r="B453" s="5" t="str">
        <f>VLOOKUP(globalfreelancepreprocesseddata!A453,worksheet!A:P,3,FALSE)</f>
        <v>Stephanie Armstrong</v>
      </c>
      <c r="C453" s="5" t="str">
        <f>VLOOKUP(globalfreelancepreprocesseddata!A453,worksheet!A:P,5,FALSE)</f>
        <v>Female</v>
      </c>
      <c r="D453" s="5">
        <f>VLOOKUP(globalfreelancepreprocesseddata!A453,worksheet!A:P,6,FALSE)</f>
        <v>36</v>
      </c>
      <c r="E453" s="5" t="str">
        <f>VLOOKUP(globalfreelancepreprocesseddata!A453,worksheet!A:P,7,FALSE)</f>
        <v>Netherlands</v>
      </c>
      <c r="F453" s="5" t="str">
        <f>VLOOKUP(globalfreelancepreprocesseddata!A453,worksheet!A:P,8,FALSE)</f>
        <v>Dutch</v>
      </c>
      <c r="G453" s="5" t="str">
        <f>VLOOKUP(globalfreelancepreprocesseddata!A453,worksheet!A:P,9,FALSE)</f>
        <v>AI</v>
      </c>
      <c r="H453" s="5">
        <f>VLOOKUP(globalfreelancepreprocesseddata!A453,worksheet!A:P,10,FALSE)</f>
        <v>17</v>
      </c>
      <c r="I453" s="6">
        <f>VLOOKUP(globalfreelancepreprocesseddata!A453,worksheet!A:P,12,FALSE)</f>
        <v>50</v>
      </c>
      <c r="J453" s="5">
        <f>VLOOKUP(globalfreelancepreprocesseddata!A453,worksheet!A:P,13,FALSE)</f>
        <v>1.3</v>
      </c>
      <c r="K453" s="5">
        <f>VLOOKUP(globalfreelancepreprocesseddata!A453,worksheet!A:P,14,FALSE)</f>
        <v>1</v>
      </c>
      <c r="L453" s="7">
        <f>VLOOKUP(globalfreelancepreprocesseddata!A453,worksheet!A:P,16,FALSE)</f>
        <v>0.64</v>
      </c>
    </row>
    <row r="454" spans="1:12" x14ac:dyDescent="0.35">
      <c r="A454" s="5" t="s">
        <v>981</v>
      </c>
      <c r="B454" s="5" t="str">
        <f>VLOOKUP(globalfreelancepreprocesseddata!A454,worksheet!A:P,3,FALSE)</f>
        <v>Dr. Jessica Campbell</v>
      </c>
      <c r="C454" s="5" t="str">
        <f>VLOOKUP(globalfreelancepreprocesseddata!A454,worksheet!A:P,5,FALSE)</f>
        <v>Female</v>
      </c>
      <c r="D454" s="5">
        <f>VLOOKUP(globalfreelancepreprocesseddata!A454,worksheet!A:P,6,FALSE)</f>
        <v>25</v>
      </c>
      <c r="E454" s="5" t="str">
        <f>VLOOKUP(globalfreelancepreprocesseddata!A454,worksheet!A:P,7,FALSE)</f>
        <v>Argentina</v>
      </c>
      <c r="F454" s="5" t="str">
        <f>VLOOKUP(globalfreelancepreprocesseddata!A454,worksheet!A:P,8,FALSE)</f>
        <v>Spanish</v>
      </c>
      <c r="G454" s="5" t="str">
        <f>VLOOKUP(globalfreelancepreprocesseddata!A454,worksheet!A:P,9,FALSE)</f>
        <v>Web Development</v>
      </c>
      <c r="H454" s="5">
        <f>VLOOKUP(globalfreelancepreprocesseddata!A454,worksheet!A:P,10,FALSE)</f>
        <v>1</v>
      </c>
      <c r="I454" s="6">
        <f>VLOOKUP(globalfreelancepreprocesseddata!A454,worksheet!A:P,12,FALSE)</f>
        <v>75</v>
      </c>
      <c r="J454" s="5">
        <f>VLOOKUP(globalfreelancepreprocesseddata!A454,worksheet!A:P,13,FALSE)</f>
        <v>0</v>
      </c>
      <c r="K454" s="5">
        <f>VLOOKUP(globalfreelancepreprocesseddata!A454,worksheet!A:P,14,FALSE)</f>
        <v>1</v>
      </c>
      <c r="L454" s="7">
        <f>VLOOKUP(globalfreelancepreprocesseddata!A454,worksheet!A:P,16,FALSE)</f>
        <v>0.16</v>
      </c>
    </row>
    <row r="455" spans="1:12" x14ac:dyDescent="0.35">
      <c r="A455" s="5" t="s">
        <v>983</v>
      </c>
      <c r="B455" s="5" t="str">
        <f>VLOOKUP(globalfreelancepreprocesseddata!A455,worksheet!A:P,3,FALSE)</f>
        <v>Curtis Maxwell</v>
      </c>
      <c r="C455" s="5" t="str">
        <f>VLOOKUP(globalfreelancepreprocesseddata!A455,worksheet!A:P,5,FALSE)</f>
        <v>Male</v>
      </c>
      <c r="D455" s="5">
        <f>VLOOKUP(globalfreelancepreprocesseddata!A455,worksheet!A:P,6,FALSE)</f>
        <v>46</v>
      </c>
      <c r="E455" s="5" t="str">
        <f>VLOOKUP(globalfreelancepreprocesseddata!A455,worksheet!A:P,7,FALSE)</f>
        <v>Indonesia</v>
      </c>
      <c r="F455" s="5" t="str">
        <f>VLOOKUP(globalfreelancepreprocesseddata!A455,worksheet!A:P,8,FALSE)</f>
        <v>Indonesian</v>
      </c>
      <c r="G455" s="5" t="str">
        <f>VLOOKUP(globalfreelancepreprocesseddata!A455,worksheet!A:P,9,FALSE)</f>
        <v>AI</v>
      </c>
      <c r="H455" s="5">
        <f>VLOOKUP(globalfreelancepreprocesseddata!A455,worksheet!A:P,10,FALSE)</f>
        <v>16</v>
      </c>
      <c r="I455" s="6">
        <f>VLOOKUP(globalfreelancepreprocesseddata!A455,worksheet!A:P,12,FALSE)</f>
        <v>20</v>
      </c>
      <c r="J455" s="5">
        <f>VLOOKUP(globalfreelancepreprocesseddata!A455,worksheet!A:P,13,FALSE)</f>
        <v>4.8</v>
      </c>
      <c r="K455" s="5">
        <f>VLOOKUP(globalfreelancepreprocesseddata!A455,worksheet!A:P,14,FALSE)</f>
        <v>1</v>
      </c>
      <c r="L455" s="7">
        <f>VLOOKUP(globalfreelancepreprocesseddata!A455,worksheet!A:P,16,FALSE)</f>
        <v>0.86</v>
      </c>
    </row>
    <row r="456" spans="1:12" x14ac:dyDescent="0.35">
      <c r="A456" s="5" t="s">
        <v>985</v>
      </c>
      <c r="B456" s="5" t="str">
        <f>VLOOKUP(globalfreelancepreprocesseddata!A456,worksheet!A:P,3,FALSE)</f>
        <v>Adam Kelly Phd</v>
      </c>
      <c r="C456" s="5" t="str">
        <f>VLOOKUP(globalfreelancepreprocesseddata!A456,worksheet!A:P,5,FALSE)</f>
        <v>Male</v>
      </c>
      <c r="D456" s="5">
        <f>VLOOKUP(globalfreelancepreprocesseddata!A456,worksheet!A:P,6,FALSE)</f>
        <v>41</v>
      </c>
      <c r="E456" s="5" t="str">
        <f>VLOOKUP(globalfreelancepreprocesseddata!A456,worksheet!A:P,7,FALSE)</f>
        <v>Argentina</v>
      </c>
      <c r="F456" s="5" t="str">
        <f>VLOOKUP(globalfreelancepreprocesseddata!A456,worksheet!A:P,8,FALSE)</f>
        <v>Spanish</v>
      </c>
      <c r="G456" s="5" t="str">
        <f>VLOOKUP(globalfreelancepreprocesseddata!A456,worksheet!A:P,9,FALSE)</f>
        <v>Machine Learning</v>
      </c>
      <c r="H456" s="5">
        <f>VLOOKUP(globalfreelancepreprocesseddata!A456,worksheet!A:P,10,FALSE)</f>
        <v>11</v>
      </c>
      <c r="I456" s="6">
        <f>VLOOKUP(globalfreelancepreprocesseddata!A456,worksheet!A:P,12,FALSE)</f>
        <v>40</v>
      </c>
      <c r="J456" s="5">
        <f>VLOOKUP(globalfreelancepreprocesseddata!A456,worksheet!A:P,13,FALSE)</f>
        <v>2.4</v>
      </c>
      <c r="K456" s="5">
        <f>VLOOKUP(globalfreelancepreprocesseddata!A456,worksheet!A:P,14,FALSE)</f>
        <v>0</v>
      </c>
      <c r="L456" s="7">
        <f>VLOOKUP(globalfreelancepreprocesseddata!A456,worksheet!A:P,16,FALSE)</f>
        <v>0.16</v>
      </c>
    </row>
    <row r="457" spans="1:12" x14ac:dyDescent="0.35">
      <c r="A457" s="5" t="s">
        <v>987</v>
      </c>
      <c r="B457" s="5" t="str">
        <f>VLOOKUP(globalfreelancepreprocesseddata!A457,worksheet!A:P,3,FALSE)</f>
        <v>Julie Becker</v>
      </c>
      <c r="C457" s="5" t="str">
        <f>VLOOKUP(globalfreelancepreprocesseddata!A457,worksheet!A:P,5,FALSE)</f>
        <v>Female</v>
      </c>
      <c r="D457" s="5">
        <f>VLOOKUP(globalfreelancepreprocesseddata!A457,worksheet!A:P,6,FALSE)</f>
        <v>21</v>
      </c>
      <c r="E457" s="5" t="str">
        <f>VLOOKUP(globalfreelancepreprocesseddata!A457,worksheet!A:P,7,FALSE)</f>
        <v>Russia</v>
      </c>
      <c r="F457" s="5" t="str">
        <f>VLOOKUP(globalfreelancepreprocesseddata!A457,worksheet!A:P,8,FALSE)</f>
        <v>Russian</v>
      </c>
      <c r="G457" s="5" t="str">
        <f>VLOOKUP(globalfreelancepreprocesseddata!A457,worksheet!A:P,9,FALSE)</f>
        <v>Mobile Apps</v>
      </c>
      <c r="H457" s="5">
        <f>VLOOKUP(globalfreelancepreprocesseddata!A457,worksheet!A:P,10,FALSE)</f>
        <v>3</v>
      </c>
      <c r="I457" s="6">
        <f>VLOOKUP(globalfreelancepreprocesseddata!A457,worksheet!A:P,12,FALSE)</f>
        <v>100</v>
      </c>
      <c r="J457" s="5">
        <f>VLOOKUP(globalfreelancepreprocesseddata!A457,worksheet!A:P,13,FALSE)</f>
        <v>4.7</v>
      </c>
      <c r="K457" s="5">
        <f>VLOOKUP(globalfreelancepreprocesseddata!A457,worksheet!A:P,14,FALSE)</f>
        <v>0</v>
      </c>
      <c r="L457" s="7">
        <f>VLOOKUP(globalfreelancepreprocesseddata!A457,worksheet!A:P,16,FALSE)</f>
        <v>0.96</v>
      </c>
    </row>
    <row r="458" spans="1:12" x14ac:dyDescent="0.35">
      <c r="A458" s="5" t="s">
        <v>989</v>
      </c>
      <c r="B458" s="5" t="str">
        <f>VLOOKUP(globalfreelancepreprocesseddata!A458,worksheet!A:P,3,FALSE)</f>
        <v>James Moore</v>
      </c>
      <c r="C458" s="5" t="str">
        <f>VLOOKUP(globalfreelancepreprocesseddata!A458,worksheet!A:P,5,FALSE)</f>
        <v>Male</v>
      </c>
      <c r="D458" s="5">
        <f>VLOOKUP(globalfreelancepreprocesseddata!A458,worksheet!A:P,6,FALSE)</f>
        <v>29</v>
      </c>
      <c r="E458" s="5" t="str">
        <f>VLOOKUP(globalfreelancepreprocesseddata!A458,worksheet!A:P,7,FALSE)</f>
        <v>United States</v>
      </c>
      <c r="F458" s="5" t="str">
        <f>VLOOKUP(globalfreelancepreprocesseddata!A458,worksheet!A:P,8,FALSE)</f>
        <v>English</v>
      </c>
      <c r="G458" s="5" t="str">
        <f>VLOOKUP(globalfreelancepreprocesseddata!A458,worksheet!A:P,9,FALSE)</f>
        <v>Graphic Design</v>
      </c>
      <c r="H458" s="5">
        <f>VLOOKUP(globalfreelancepreprocesseddata!A458,worksheet!A:P,10,FALSE)</f>
        <v>11</v>
      </c>
      <c r="I458" s="6">
        <f>VLOOKUP(globalfreelancepreprocesseddata!A458,worksheet!A:P,12,FALSE)</f>
        <v>75</v>
      </c>
      <c r="J458" s="5">
        <f>VLOOKUP(globalfreelancepreprocesseddata!A458,worksheet!A:P,13,FALSE)</f>
        <v>2</v>
      </c>
      <c r="K458" s="5">
        <f>VLOOKUP(globalfreelancepreprocesseddata!A458,worksheet!A:P,14,FALSE)</f>
        <v>0</v>
      </c>
      <c r="L458" s="7">
        <f>VLOOKUP(globalfreelancepreprocesseddata!A458,worksheet!A:P,16,FALSE)</f>
        <v>0.16</v>
      </c>
    </row>
    <row r="459" spans="1:12" x14ac:dyDescent="0.35">
      <c r="A459" s="5" t="s">
        <v>991</v>
      </c>
      <c r="B459" s="5" t="str">
        <f>VLOOKUP(globalfreelancepreprocesseddata!A459,worksheet!A:P,3,FALSE)</f>
        <v>Danielle Barrera</v>
      </c>
      <c r="C459" s="5" t="str">
        <f>VLOOKUP(globalfreelancepreprocesseddata!A459,worksheet!A:P,5,FALSE)</f>
        <v>Female</v>
      </c>
      <c r="D459" s="5">
        <f>VLOOKUP(globalfreelancepreprocesseddata!A459,worksheet!A:P,6,FALSE)</f>
        <v>44</v>
      </c>
      <c r="E459" s="5" t="str">
        <f>VLOOKUP(globalfreelancepreprocesseddata!A459,worksheet!A:P,7,FALSE)</f>
        <v>United States</v>
      </c>
      <c r="F459" s="5" t="str">
        <f>VLOOKUP(globalfreelancepreprocesseddata!A459,worksheet!A:P,8,FALSE)</f>
        <v>English</v>
      </c>
      <c r="G459" s="5" t="str">
        <f>VLOOKUP(globalfreelancepreprocesseddata!A459,worksheet!A:P,9,FALSE)</f>
        <v>Mobile Apps</v>
      </c>
      <c r="H459" s="5">
        <f>VLOOKUP(globalfreelancepreprocesseddata!A459,worksheet!A:P,10,FALSE)</f>
        <v>3</v>
      </c>
      <c r="I459" s="6">
        <f>VLOOKUP(globalfreelancepreprocesseddata!A459,worksheet!A:P,12,FALSE)</f>
        <v>50</v>
      </c>
      <c r="J459" s="5">
        <f>VLOOKUP(globalfreelancepreprocesseddata!A459,worksheet!A:P,13,FALSE)</f>
        <v>2.2000000000000002</v>
      </c>
      <c r="K459" s="5">
        <f>VLOOKUP(globalfreelancepreprocesseddata!A459,worksheet!A:P,14,FALSE)</f>
        <v>0</v>
      </c>
      <c r="L459" s="7">
        <f>VLOOKUP(globalfreelancepreprocesseddata!A459,worksheet!A:P,16,FALSE)</f>
        <v>0.77</v>
      </c>
    </row>
    <row r="460" spans="1:12" x14ac:dyDescent="0.35">
      <c r="A460" s="5" t="s">
        <v>993</v>
      </c>
      <c r="B460" s="5" t="str">
        <f>VLOOKUP(globalfreelancepreprocesseddata!A460,worksheet!A:P,3,FALSE)</f>
        <v>David Sanchez</v>
      </c>
      <c r="C460" s="5" t="str">
        <f>VLOOKUP(globalfreelancepreprocesseddata!A460,worksheet!A:P,5,FALSE)</f>
        <v>Male</v>
      </c>
      <c r="D460" s="5">
        <f>VLOOKUP(globalfreelancepreprocesseddata!A460,worksheet!A:P,6,FALSE)</f>
        <v>40</v>
      </c>
      <c r="E460" s="5" t="str">
        <f>VLOOKUP(globalfreelancepreprocesseddata!A460,worksheet!A:P,7,FALSE)</f>
        <v>Canada</v>
      </c>
      <c r="F460" s="5" t="str">
        <f>VLOOKUP(globalfreelancepreprocesseddata!A460,worksheet!A:P,8,FALSE)</f>
        <v>English</v>
      </c>
      <c r="G460" s="5" t="str">
        <f>VLOOKUP(globalfreelancepreprocesseddata!A460,worksheet!A:P,9,FALSE)</f>
        <v>Machine Learning</v>
      </c>
      <c r="H460" s="5">
        <f>VLOOKUP(globalfreelancepreprocesseddata!A460,worksheet!A:P,10,FALSE)</f>
        <v>1</v>
      </c>
      <c r="I460" s="6">
        <f>VLOOKUP(globalfreelancepreprocesseddata!A460,worksheet!A:P,12,FALSE)</f>
        <v>100</v>
      </c>
      <c r="J460" s="5">
        <f>VLOOKUP(globalfreelancepreprocesseddata!A460,worksheet!A:P,13,FALSE)</f>
        <v>2.1</v>
      </c>
      <c r="K460" s="5">
        <f>VLOOKUP(globalfreelancepreprocesseddata!A460,worksheet!A:P,14,FALSE)</f>
        <v>1</v>
      </c>
      <c r="L460" s="7">
        <f>VLOOKUP(globalfreelancepreprocesseddata!A460,worksheet!A:P,16,FALSE)</f>
        <v>0.16</v>
      </c>
    </row>
    <row r="461" spans="1:12" x14ac:dyDescent="0.35">
      <c r="A461" s="5" t="s">
        <v>995</v>
      </c>
      <c r="B461" s="5" t="str">
        <f>VLOOKUP(globalfreelancepreprocesseddata!A461,worksheet!A:P,3,FALSE)</f>
        <v>Tiffany Bowman</v>
      </c>
      <c r="C461" s="5" t="str">
        <f>VLOOKUP(globalfreelancepreprocesseddata!A461,worksheet!A:P,5,FALSE)</f>
        <v>Female</v>
      </c>
      <c r="D461" s="5">
        <f>VLOOKUP(globalfreelancepreprocesseddata!A461,worksheet!A:P,6,FALSE)</f>
        <v>27</v>
      </c>
      <c r="E461" s="5" t="str">
        <f>VLOOKUP(globalfreelancepreprocesseddata!A461,worksheet!A:P,7,FALSE)</f>
        <v>Egypt</v>
      </c>
      <c r="F461" s="5" t="str">
        <f>VLOOKUP(globalfreelancepreprocesseddata!A461,worksheet!A:P,8,FALSE)</f>
        <v>Arabic</v>
      </c>
      <c r="G461" s="5" t="str">
        <f>VLOOKUP(globalfreelancepreprocesseddata!A461,worksheet!A:P,9,FALSE)</f>
        <v>Data Analysis</v>
      </c>
      <c r="H461" s="5">
        <f>VLOOKUP(globalfreelancepreprocesseddata!A461,worksheet!A:P,10,FALSE)</f>
        <v>1</v>
      </c>
      <c r="I461" s="6">
        <f>VLOOKUP(globalfreelancepreprocesseddata!A461,worksheet!A:P,12,FALSE)</f>
        <v>30</v>
      </c>
      <c r="J461" s="5">
        <f>VLOOKUP(globalfreelancepreprocesseddata!A461,worksheet!A:P,13,FALSE)</f>
        <v>1.7</v>
      </c>
      <c r="K461" s="5">
        <f>VLOOKUP(globalfreelancepreprocesseddata!A461,worksheet!A:P,14,FALSE)</f>
        <v>0</v>
      </c>
      <c r="L461" s="7">
        <f>VLOOKUP(globalfreelancepreprocesseddata!A461,worksheet!A:P,16,FALSE)</f>
        <v>0.65</v>
      </c>
    </row>
    <row r="462" spans="1:12" x14ac:dyDescent="0.35">
      <c r="A462" s="5" t="s">
        <v>997</v>
      </c>
      <c r="B462" s="5" t="str">
        <f>VLOOKUP(globalfreelancepreprocesseddata!A462,worksheet!A:P,3,FALSE)</f>
        <v>Jesus Quinn</v>
      </c>
      <c r="C462" s="5" t="str">
        <f>VLOOKUP(globalfreelancepreprocesseddata!A462,worksheet!A:P,5,FALSE)</f>
        <v>Male</v>
      </c>
      <c r="D462" s="5">
        <f>VLOOKUP(globalfreelancepreprocesseddata!A462,worksheet!A:P,6,FALSE)</f>
        <v>53</v>
      </c>
      <c r="E462" s="5" t="str">
        <f>VLOOKUP(globalfreelancepreprocesseddata!A462,worksheet!A:P,7,FALSE)</f>
        <v>France</v>
      </c>
      <c r="F462" s="5" t="str">
        <f>VLOOKUP(globalfreelancepreprocesseddata!A462,worksheet!A:P,8,FALSE)</f>
        <v>French</v>
      </c>
      <c r="G462" s="5" t="str">
        <f>VLOOKUP(globalfreelancepreprocesseddata!A462,worksheet!A:P,9,FALSE)</f>
        <v>Mobile Apps</v>
      </c>
      <c r="H462" s="5">
        <f>VLOOKUP(globalfreelancepreprocesseddata!A462,worksheet!A:P,10,FALSE)</f>
        <v>35</v>
      </c>
      <c r="I462" s="6">
        <f>VLOOKUP(globalfreelancepreprocesseddata!A462,worksheet!A:P,12,FALSE)</f>
        <v>40</v>
      </c>
      <c r="J462" s="5">
        <f>VLOOKUP(globalfreelancepreprocesseddata!A462,worksheet!A:P,13,FALSE)</f>
        <v>5</v>
      </c>
      <c r="K462" s="5">
        <f>VLOOKUP(globalfreelancepreprocesseddata!A462,worksheet!A:P,14,FALSE)</f>
        <v>1</v>
      </c>
      <c r="L462" s="7">
        <f>VLOOKUP(globalfreelancepreprocesseddata!A462,worksheet!A:P,16,FALSE)</f>
        <v>0.62</v>
      </c>
    </row>
    <row r="463" spans="1:12" x14ac:dyDescent="0.35">
      <c r="A463" s="5" t="s">
        <v>999</v>
      </c>
      <c r="B463" s="5" t="str">
        <f>VLOOKUP(globalfreelancepreprocesseddata!A463,worksheet!A:P,3,FALSE)</f>
        <v>Mr. Danny Morris Dds</v>
      </c>
      <c r="C463" s="5" t="str">
        <f>VLOOKUP(globalfreelancepreprocesseddata!A463,worksheet!A:P,5,FALSE)</f>
        <v>Male</v>
      </c>
      <c r="D463" s="5">
        <f>VLOOKUP(globalfreelancepreprocesseddata!A463,worksheet!A:P,6,FALSE)</f>
        <v>20</v>
      </c>
      <c r="E463" s="5" t="str">
        <f>VLOOKUP(globalfreelancepreprocesseddata!A463,worksheet!A:P,7,FALSE)</f>
        <v>Turkey</v>
      </c>
      <c r="F463" s="5" t="str">
        <f>VLOOKUP(globalfreelancepreprocesseddata!A463,worksheet!A:P,8,FALSE)</f>
        <v>Turkish</v>
      </c>
      <c r="G463" s="5" t="str">
        <f>VLOOKUP(globalfreelancepreprocesseddata!A463,worksheet!A:P,9,FALSE)</f>
        <v>Data Analysis</v>
      </c>
      <c r="H463" s="5">
        <f>VLOOKUP(globalfreelancepreprocesseddata!A463,worksheet!A:P,10,FALSE)</f>
        <v>1</v>
      </c>
      <c r="I463" s="6">
        <f>VLOOKUP(globalfreelancepreprocesseddata!A463,worksheet!A:P,12,FALSE)</f>
        <v>50</v>
      </c>
      <c r="J463" s="5">
        <f>VLOOKUP(globalfreelancepreprocesseddata!A463,worksheet!A:P,13,FALSE)</f>
        <v>2.9</v>
      </c>
      <c r="K463" s="5">
        <f>VLOOKUP(globalfreelancepreprocesseddata!A463,worksheet!A:P,14,FALSE)</f>
        <v>1</v>
      </c>
      <c r="L463" s="7">
        <f>VLOOKUP(globalfreelancepreprocesseddata!A463,worksheet!A:P,16,FALSE)</f>
        <v>0.81</v>
      </c>
    </row>
    <row r="464" spans="1:12" x14ac:dyDescent="0.35">
      <c r="A464" s="5" t="s">
        <v>1001</v>
      </c>
      <c r="B464" s="5" t="str">
        <f>VLOOKUP(globalfreelancepreprocesseddata!A464,worksheet!A:P,3,FALSE)</f>
        <v>Nicole York</v>
      </c>
      <c r="C464" s="5" t="str">
        <f>VLOOKUP(globalfreelancepreprocesseddata!A464,worksheet!A:P,5,FALSE)</f>
        <v>Female</v>
      </c>
      <c r="D464" s="5">
        <f>VLOOKUP(globalfreelancepreprocesseddata!A464,worksheet!A:P,6,FALSE)</f>
        <v>41</v>
      </c>
      <c r="E464" s="5" t="str">
        <f>VLOOKUP(globalfreelancepreprocesseddata!A464,worksheet!A:P,7,FALSE)</f>
        <v>Japan</v>
      </c>
      <c r="F464" s="5" t="str">
        <f>VLOOKUP(globalfreelancepreprocesseddata!A464,worksheet!A:P,8,FALSE)</f>
        <v>Japanese</v>
      </c>
      <c r="G464" s="5" t="str">
        <f>VLOOKUP(globalfreelancepreprocesseddata!A464,worksheet!A:P,9,FALSE)</f>
        <v>DevOps</v>
      </c>
      <c r="H464" s="5">
        <f>VLOOKUP(globalfreelancepreprocesseddata!A464,worksheet!A:P,10,FALSE)</f>
        <v>12</v>
      </c>
      <c r="I464" s="6">
        <f>VLOOKUP(globalfreelancepreprocesseddata!A464,worksheet!A:P,12,FALSE)</f>
        <v>50</v>
      </c>
      <c r="J464" s="5">
        <f>VLOOKUP(globalfreelancepreprocesseddata!A464,worksheet!A:P,13,FALSE)</f>
        <v>4.0999999999999996</v>
      </c>
      <c r="K464" s="5">
        <f>VLOOKUP(globalfreelancepreprocesseddata!A464,worksheet!A:P,14,FALSE)</f>
        <v>1</v>
      </c>
      <c r="L464" s="7">
        <f>VLOOKUP(globalfreelancepreprocesseddata!A464,worksheet!A:P,16,FALSE)</f>
        <v>0.62</v>
      </c>
    </row>
    <row r="465" spans="1:12" x14ac:dyDescent="0.35">
      <c r="A465" s="5" t="s">
        <v>1003</v>
      </c>
      <c r="B465" s="5" t="str">
        <f>VLOOKUP(globalfreelancepreprocesseddata!A465,worksheet!A:P,3,FALSE)</f>
        <v>John Mathis</v>
      </c>
      <c r="C465" s="5" t="str">
        <f>VLOOKUP(globalfreelancepreprocesseddata!A465,worksheet!A:P,5,FALSE)</f>
        <v>Male</v>
      </c>
      <c r="D465" s="5">
        <f>VLOOKUP(globalfreelancepreprocesseddata!A465,worksheet!A:P,6,FALSE)</f>
        <v>26</v>
      </c>
      <c r="E465" s="5" t="str">
        <f>VLOOKUP(globalfreelancepreprocesseddata!A465,worksheet!A:P,7,FALSE)</f>
        <v>Mexico</v>
      </c>
      <c r="F465" s="5" t="str">
        <f>VLOOKUP(globalfreelancepreprocesseddata!A465,worksheet!A:P,8,FALSE)</f>
        <v>Spanish</v>
      </c>
      <c r="G465" s="5" t="str">
        <f>VLOOKUP(globalfreelancepreprocesseddata!A465,worksheet!A:P,9,FALSE)</f>
        <v>Web Development</v>
      </c>
      <c r="H465" s="5">
        <f>VLOOKUP(globalfreelancepreprocesseddata!A465,worksheet!A:P,10,FALSE)</f>
        <v>8</v>
      </c>
      <c r="I465" s="6">
        <f>VLOOKUP(globalfreelancepreprocesseddata!A465,worksheet!A:P,12,FALSE)</f>
        <v>40</v>
      </c>
      <c r="J465" s="5">
        <f>VLOOKUP(globalfreelancepreprocesseddata!A465,worksheet!A:P,13,FALSE)</f>
        <v>4.9000000000000004</v>
      </c>
      <c r="K465" s="5">
        <f>VLOOKUP(globalfreelancepreprocesseddata!A465,worksheet!A:P,14,FALSE)</f>
        <v>0</v>
      </c>
      <c r="L465" s="7">
        <f>VLOOKUP(globalfreelancepreprocesseddata!A465,worksheet!A:P,16,FALSE)</f>
        <v>0.87</v>
      </c>
    </row>
    <row r="466" spans="1:12" x14ac:dyDescent="0.35">
      <c r="A466" s="5" t="s">
        <v>1005</v>
      </c>
      <c r="B466" s="5" t="str">
        <f>VLOOKUP(globalfreelancepreprocesseddata!A466,worksheet!A:P,3,FALSE)</f>
        <v>Julie Barnett</v>
      </c>
      <c r="C466" s="5" t="str">
        <f>VLOOKUP(globalfreelancepreprocesseddata!A466,worksheet!A:P,5,FALSE)</f>
        <v>Female</v>
      </c>
      <c r="D466" s="5">
        <f>VLOOKUP(globalfreelancepreprocesseddata!A466,worksheet!A:P,6,FALSE)</f>
        <v>49</v>
      </c>
      <c r="E466" s="5" t="str">
        <f>VLOOKUP(globalfreelancepreprocesseddata!A466,worksheet!A:P,7,FALSE)</f>
        <v>Brazil</v>
      </c>
      <c r="F466" s="5" t="str">
        <f>VLOOKUP(globalfreelancepreprocesseddata!A466,worksheet!A:P,8,FALSE)</f>
        <v>Portuguese</v>
      </c>
      <c r="G466" s="5" t="str">
        <f>VLOOKUP(globalfreelancepreprocesseddata!A466,worksheet!A:P,9,FALSE)</f>
        <v>Machine Learning</v>
      </c>
      <c r="H466" s="5">
        <f>VLOOKUP(globalfreelancepreprocesseddata!A466,worksheet!A:P,10,FALSE)</f>
        <v>13</v>
      </c>
      <c r="I466" s="6">
        <f>VLOOKUP(globalfreelancepreprocesseddata!A466,worksheet!A:P,12,FALSE)</f>
        <v>100</v>
      </c>
      <c r="J466" s="5">
        <f>VLOOKUP(globalfreelancepreprocesseddata!A466,worksheet!A:P,13,FALSE)</f>
        <v>2.5</v>
      </c>
      <c r="K466" s="5">
        <f>VLOOKUP(globalfreelancepreprocesseddata!A466,worksheet!A:P,14,FALSE)</f>
        <v>0</v>
      </c>
      <c r="L466" s="7">
        <f>VLOOKUP(globalfreelancepreprocesseddata!A466,worksheet!A:P,16,FALSE)</f>
        <v>0.16</v>
      </c>
    </row>
    <row r="467" spans="1:12" x14ac:dyDescent="0.35">
      <c r="A467" s="5" t="s">
        <v>1007</v>
      </c>
      <c r="B467" s="5" t="str">
        <f>VLOOKUP(globalfreelancepreprocesseddata!A467,worksheet!A:P,3,FALSE)</f>
        <v>Jasmine Harris</v>
      </c>
      <c r="C467" s="5" t="str">
        <f>VLOOKUP(globalfreelancepreprocesseddata!A467,worksheet!A:P,5,FALSE)</f>
        <v>Female</v>
      </c>
      <c r="D467" s="5">
        <f>VLOOKUP(globalfreelancepreprocesseddata!A467,worksheet!A:P,6,FALSE)</f>
        <v>20</v>
      </c>
      <c r="E467" s="5" t="str">
        <f>VLOOKUP(globalfreelancepreprocesseddata!A467,worksheet!A:P,7,FALSE)</f>
        <v>Egypt</v>
      </c>
      <c r="F467" s="5" t="str">
        <f>VLOOKUP(globalfreelancepreprocesseddata!A467,worksheet!A:P,8,FALSE)</f>
        <v>Arabic</v>
      </c>
      <c r="G467" s="5" t="str">
        <f>VLOOKUP(globalfreelancepreprocesseddata!A467,worksheet!A:P,9,FALSE)</f>
        <v>Data Analysis</v>
      </c>
      <c r="H467" s="5">
        <f>VLOOKUP(globalfreelancepreprocesseddata!A467,worksheet!A:P,10,FALSE)</f>
        <v>11</v>
      </c>
      <c r="I467" s="6" t="str">
        <f>VLOOKUP(globalfreelancepreprocesseddata!A467,worksheet!A:P,12,FALSE)</f>
        <v>$ 30</v>
      </c>
      <c r="J467" s="5">
        <f>VLOOKUP(globalfreelancepreprocesseddata!A467,worksheet!A:P,13,FALSE)</f>
        <v>0</v>
      </c>
      <c r="K467" s="5">
        <f>VLOOKUP(globalfreelancepreprocesseddata!A467,worksheet!A:P,14,FALSE)</f>
        <v>1</v>
      </c>
      <c r="L467" s="7">
        <f>VLOOKUP(globalfreelancepreprocesseddata!A467,worksheet!A:P,16,FALSE)</f>
        <v>0.76</v>
      </c>
    </row>
    <row r="468" spans="1:12" x14ac:dyDescent="0.35">
      <c r="A468" s="5" t="s">
        <v>1009</v>
      </c>
      <c r="B468" s="5" t="str">
        <f>VLOOKUP(globalfreelancepreprocesseddata!A468,worksheet!A:P,3,FALSE)</f>
        <v>Mary Henry</v>
      </c>
      <c r="C468" s="5" t="str">
        <f>VLOOKUP(globalfreelancepreprocesseddata!A468,worksheet!A:P,5,FALSE)</f>
        <v>Female</v>
      </c>
      <c r="D468" s="5">
        <f>VLOOKUP(globalfreelancepreprocesseddata!A468,worksheet!A:P,6,FALSE)</f>
        <v>39</v>
      </c>
      <c r="E468" s="5" t="str">
        <f>VLOOKUP(globalfreelancepreprocesseddata!A468,worksheet!A:P,7,FALSE)</f>
        <v>China</v>
      </c>
      <c r="F468" s="5" t="str">
        <f>VLOOKUP(globalfreelancepreprocesseddata!A468,worksheet!A:P,8,FALSE)</f>
        <v>Mandarin</v>
      </c>
      <c r="G468" s="5" t="str">
        <f>VLOOKUP(globalfreelancepreprocesseddata!A468,worksheet!A:P,9,FALSE)</f>
        <v>Blockchain Development</v>
      </c>
      <c r="H468" s="5">
        <f>VLOOKUP(globalfreelancepreprocesseddata!A468,worksheet!A:P,10,FALSE)</f>
        <v>11</v>
      </c>
      <c r="I468" s="6">
        <f>VLOOKUP(globalfreelancepreprocesseddata!A468,worksheet!A:P,12,FALSE)</f>
        <v>100</v>
      </c>
      <c r="J468" s="5">
        <f>VLOOKUP(globalfreelancepreprocesseddata!A468,worksheet!A:P,13,FALSE)</f>
        <v>2.8</v>
      </c>
      <c r="K468" s="5">
        <f>VLOOKUP(globalfreelancepreprocesseddata!A468,worksheet!A:P,14,FALSE)</f>
        <v>1</v>
      </c>
      <c r="L468" s="7">
        <f>VLOOKUP(globalfreelancepreprocesseddata!A468,worksheet!A:P,16,FALSE)</f>
        <v>0.7</v>
      </c>
    </row>
    <row r="469" spans="1:12" x14ac:dyDescent="0.35">
      <c r="A469" s="5" t="s">
        <v>1011</v>
      </c>
      <c r="B469" s="5" t="str">
        <f>VLOOKUP(globalfreelancepreprocesseddata!A469,worksheet!A:P,3,FALSE)</f>
        <v>Judith Riggs</v>
      </c>
      <c r="C469" s="5" t="str">
        <f>VLOOKUP(globalfreelancepreprocesseddata!A469,worksheet!A:P,5,FALSE)</f>
        <v>Female</v>
      </c>
      <c r="D469" s="5">
        <f>VLOOKUP(globalfreelancepreprocesseddata!A469,worksheet!A:P,6,FALSE)</f>
        <v>41</v>
      </c>
      <c r="E469" s="5" t="str">
        <f>VLOOKUP(globalfreelancepreprocesseddata!A469,worksheet!A:P,7,FALSE)</f>
        <v>China</v>
      </c>
      <c r="F469" s="5" t="str">
        <f>VLOOKUP(globalfreelancepreprocesseddata!A469,worksheet!A:P,8,FALSE)</f>
        <v>Mandarin</v>
      </c>
      <c r="G469" s="5" t="str">
        <f>VLOOKUP(globalfreelancepreprocesseddata!A469,worksheet!A:P,9,FALSE)</f>
        <v>Machine Learning</v>
      </c>
      <c r="H469" s="5">
        <f>VLOOKUP(globalfreelancepreprocesseddata!A469,worksheet!A:P,10,FALSE)</f>
        <v>19</v>
      </c>
      <c r="I469" s="6">
        <f>VLOOKUP(globalfreelancepreprocesseddata!A469,worksheet!A:P,12,FALSE)</f>
        <v>100</v>
      </c>
      <c r="J469" s="5">
        <f>VLOOKUP(globalfreelancepreprocesseddata!A469,worksheet!A:P,13,FALSE)</f>
        <v>3.8</v>
      </c>
      <c r="K469" s="5">
        <f>VLOOKUP(globalfreelancepreprocesseddata!A469,worksheet!A:P,14,FALSE)</f>
        <v>1</v>
      </c>
      <c r="L469" s="7">
        <f>VLOOKUP(globalfreelancepreprocesseddata!A469,worksheet!A:P,16,FALSE)</f>
        <v>0.71</v>
      </c>
    </row>
    <row r="470" spans="1:12" x14ac:dyDescent="0.35">
      <c r="A470" s="5" t="s">
        <v>1013</v>
      </c>
      <c r="B470" s="5" t="str">
        <f>VLOOKUP(globalfreelancepreprocesseddata!A470,worksheet!A:P,3,FALSE)</f>
        <v>Justin Ruiz</v>
      </c>
      <c r="C470" s="5" t="str">
        <f>VLOOKUP(globalfreelancepreprocesseddata!A470,worksheet!A:P,5,FALSE)</f>
        <v>Male</v>
      </c>
      <c r="D470" s="5">
        <f>VLOOKUP(globalfreelancepreprocesseddata!A470,worksheet!A:P,6,FALSE)</f>
        <v>59</v>
      </c>
      <c r="E470" s="5" t="str">
        <f>VLOOKUP(globalfreelancepreprocesseddata!A470,worksheet!A:P,7,FALSE)</f>
        <v>Canada</v>
      </c>
      <c r="F470" s="5" t="str">
        <f>VLOOKUP(globalfreelancepreprocesseddata!A470,worksheet!A:P,8,FALSE)</f>
        <v>English</v>
      </c>
      <c r="G470" s="5" t="str">
        <f>VLOOKUP(globalfreelancepreprocesseddata!A470,worksheet!A:P,9,FALSE)</f>
        <v>Mobile Apps</v>
      </c>
      <c r="H470" s="5">
        <f>VLOOKUP(globalfreelancepreprocesseddata!A470,worksheet!A:P,10,FALSE)</f>
        <v>30</v>
      </c>
      <c r="I470" s="6" t="str">
        <f>VLOOKUP(globalfreelancepreprocesseddata!A470,worksheet!A:P,12,FALSE)</f>
        <v>$ 30</v>
      </c>
      <c r="J470" s="5">
        <f>VLOOKUP(globalfreelancepreprocesseddata!A470,worksheet!A:P,13,FALSE)</f>
        <v>4.3</v>
      </c>
      <c r="K470" s="5">
        <f>VLOOKUP(globalfreelancepreprocesseddata!A470,worksheet!A:P,14,FALSE)</f>
        <v>1</v>
      </c>
      <c r="L470" s="7">
        <f>VLOOKUP(globalfreelancepreprocesseddata!A470,worksheet!A:P,16,FALSE)</f>
        <v>0.83</v>
      </c>
    </row>
    <row r="471" spans="1:12" x14ac:dyDescent="0.35">
      <c r="A471" s="5" t="s">
        <v>1015</v>
      </c>
      <c r="B471" s="5" t="str">
        <f>VLOOKUP(globalfreelancepreprocesseddata!A471,worksheet!A:P,3,FALSE)</f>
        <v>Jennifer Sullivan</v>
      </c>
      <c r="C471" s="5" t="str">
        <f>VLOOKUP(globalfreelancepreprocesseddata!A471,worksheet!A:P,5,FALSE)</f>
        <v>Female</v>
      </c>
      <c r="D471" s="5">
        <f>VLOOKUP(globalfreelancepreprocesseddata!A471,worksheet!A:P,6,FALSE)</f>
        <v>45</v>
      </c>
      <c r="E471" s="5" t="str">
        <f>VLOOKUP(globalfreelancepreprocesseddata!A471,worksheet!A:P,7,FALSE)</f>
        <v>Australia</v>
      </c>
      <c r="F471" s="5" t="str">
        <f>VLOOKUP(globalfreelancepreprocesseddata!A471,worksheet!A:P,8,FALSE)</f>
        <v>English</v>
      </c>
      <c r="G471" s="5" t="str">
        <f>VLOOKUP(globalfreelancepreprocesseddata!A471,worksheet!A:P,9,FALSE)</f>
        <v>Blockchain Development</v>
      </c>
      <c r="H471" s="5">
        <f>VLOOKUP(globalfreelancepreprocesseddata!A471,worksheet!A:P,10,FALSE)</f>
        <v>8</v>
      </c>
      <c r="I471" s="6">
        <f>VLOOKUP(globalfreelancepreprocesseddata!A471,worksheet!A:P,12,FALSE)</f>
        <v>40</v>
      </c>
      <c r="J471" s="5">
        <f>VLOOKUP(globalfreelancepreprocesseddata!A471,worksheet!A:P,13,FALSE)</f>
        <v>0</v>
      </c>
      <c r="K471" s="5">
        <f>VLOOKUP(globalfreelancepreprocesseddata!A471,worksheet!A:P,14,FALSE)</f>
        <v>0</v>
      </c>
      <c r="L471" s="7">
        <f>VLOOKUP(globalfreelancepreprocesseddata!A471,worksheet!A:P,16,FALSE)</f>
        <v>0.78</v>
      </c>
    </row>
    <row r="472" spans="1:12" x14ac:dyDescent="0.35">
      <c r="A472" s="5" t="s">
        <v>1017</v>
      </c>
      <c r="B472" s="5" t="str">
        <f>VLOOKUP(globalfreelancepreprocesseddata!A472,worksheet!A:P,3,FALSE)</f>
        <v>Jesse Moran</v>
      </c>
      <c r="C472" s="5" t="str">
        <f>VLOOKUP(globalfreelancepreprocesseddata!A472,worksheet!A:P,5,FALSE)</f>
        <v>Male</v>
      </c>
      <c r="D472" s="5">
        <f>VLOOKUP(globalfreelancepreprocesseddata!A472,worksheet!A:P,6,FALSE)</f>
        <v>22</v>
      </c>
      <c r="E472" s="5" t="str">
        <f>VLOOKUP(globalfreelancepreprocesseddata!A472,worksheet!A:P,7,FALSE)</f>
        <v>Indonesia</v>
      </c>
      <c r="F472" s="5" t="str">
        <f>VLOOKUP(globalfreelancepreprocesseddata!A472,worksheet!A:P,8,FALSE)</f>
        <v>Indonesian</v>
      </c>
      <c r="G472" s="5" t="str">
        <f>VLOOKUP(globalfreelancepreprocesseddata!A472,worksheet!A:P,9,FALSE)</f>
        <v>Cybersecurity</v>
      </c>
      <c r="H472" s="5">
        <f>VLOOKUP(globalfreelancepreprocesseddata!A472,worksheet!A:P,10,FALSE)</f>
        <v>11</v>
      </c>
      <c r="I472" s="6">
        <f>VLOOKUP(globalfreelancepreprocesseddata!A472,worksheet!A:P,12,FALSE)</f>
        <v>40</v>
      </c>
      <c r="J472" s="5">
        <f>VLOOKUP(globalfreelancepreprocesseddata!A472,worksheet!A:P,13,FALSE)</f>
        <v>1.3</v>
      </c>
      <c r="K472" s="5">
        <f>VLOOKUP(globalfreelancepreprocesseddata!A472,worksheet!A:P,14,FALSE)</f>
        <v>1</v>
      </c>
      <c r="L472" s="7">
        <f>VLOOKUP(globalfreelancepreprocesseddata!A472,worksheet!A:P,16,FALSE)</f>
        <v>0.78</v>
      </c>
    </row>
    <row r="473" spans="1:12" x14ac:dyDescent="0.35">
      <c r="A473" s="5" t="s">
        <v>1019</v>
      </c>
      <c r="B473" s="5" t="str">
        <f>VLOOKUP(globalfreelancepreprocesseddata!A473,worksheet!A:P,3,FALSE)</f>
        <v>Monica Smith</v>
      </c>
      <c r="C473" s="5" t="str">
        <f>VLOOKUP(globalfreelancepreprocesseddata!A473,worksheet!A:P,5,FALSE)</f>
        <v>Female</v>
      </c>
      <c r="D473" s="5">
        <f>VLOOKUP(globalfreelancepreprocesseddata!A473,worksheet!A:P,6,FALSE)</f>
        <v>48</v>
      </c>
      <c r="E473" s="5" t="str">
        <f>VLOOKUP(globalfreelancepreprocesseddata!A473,worksheet!A:P,7,FALSE)</f>
        <v>India</v>
      </c>
      <c r="F473" s="5" t="str">
        <f>VLOOKUP(globalfreelancepreprocesseddata!A473,worksheet!A:P,8,FALSE)</f>
        <v>Hindi</v>
      </c>
      <c r="G473" s="5" t="str">
        <f>VLOOKUP(globalfreelancepreprocesseddata!A473,worksheet!A:P,9,FALSE)</f>
        <v>Mobile Apps</v>
      </c>
      <c r="H473" s="5">
        <f>VLOOKUP(globalfreelancepreprocesseddata!A473,worksheet!A:P,10,FALSE)</f>
        <v>7</v>
      </c>
      <c r="I473" s="6">
        <f>VLOOKUP(globalfreelancepreprocesseddata!A473,worksheet!A:P,12,FALSE)</f>
        <v>50</v>
      </c>
      <c r="J473" s="5">
        <f>VLOOKUP(globalfreelancepreprocesseddata!A473,worksheet!A:P,13,FALSE)</f>
        <v>4.7</v>
      </c>
      <c r="K473" s="5">
        <f>VLOOKUP(globalfreelancepreprocesseddata!A473,worksheet!A:P,14,FALSE)</f>
        <v>1</v>
      </c>
      <c r="L473" s="7">
        <f>VLOOKUP(globalfreelancepreprocesseddata!A473,worksheet!A:P,16,FALSE)</f>
        <v>0.6</v>
      </c>
    </row>
    <row r="474" spans="1:12" x14ac:dyDescent="0.35">
      <c r="A474" s="5" t="s">
        <v>1021</v>
      </c>
      <c r="B474" s="5" t="str">
        <f>VLOOKUP(globalfreelancepreprocesseddata!A474,worksheet!A:P,3,FALSE)</f>
        <v>Ian May</v>
      </c>
      <c r="C474" s="5" t="str">
        <f>VLOOKUP(globalfreelancepreprocesseddata!A474,worksheet!A:P,5,FALSE)</f>
        <v>Male</v>
      </c>
      <c r="D474" s="5">
        <f>VLOOKUP(globalfreelancepreprocesseddata!A474,worksheet!A:P,6,FALSE)</f>
        <v>36</v>
      </c>
      <c r="E474" s="5" t="str">
        <f>VLOOKUP(globalfreelancepreprocesseddata!A474,worksheet!A:P,7,FALSE)</f>
        <v>France</v>
      </c>
      <c r="F474" s="5" t="str">
        <f>VLOOKUP(globalfreelancepreprocesseddata!A474,worksheet!A:P,8,FALSE)</f>
        <v>French</v>
      </c>
      <c r="G474" s="5" t="str">
        <f>VLOOKUP(globalfreelancepreprocesseddata!A474,worksheet!A:P,9,FALSE)</f>
        <v>Blockchain Development</v>
      </c>
      <c r="H474" s="5">
        <f>VLOOKUP(globalfreelancepreprocesseddata!A474,worksheet!A:P,10,FALSE)</f>
        <v>11</v>
      </c>
      <c r="I474" s="6">
        <f>VLOOKUP(globalfreelancepreprocesseddata!A474,worksheet!A:P,12,FALSE)</f>
        <v>40</v>
      </c>
      <c r="J474" s="5">
        <f>VLOOKUP(globalfreelancepreprocesseddata!A474,worksheet!A:P,13,FALSE)</f>
        <v>1.3</v>
      </c>
      <c r="K474" s="5">
        <f>VLOOKUP(globalfreelancepreprocesseddata!A474,worksheet!A:P,14,FALSE)</f>
        <v>1</v>
      </c>
      <c r="L474" s="7">
        <f>VLOOKUP(globalfreelancepreprocesseddata!A474,worksheet!A:P,16,FALSE)</f>
        <v>0.16</v>
      </c>
    </row>
    <row r="475" spans="1:12" x14ac:dyDescent="0.35">
      <c r="A475" s="5" t="s">
        <v>1023</v>
      </c>
      <c r="B475" s="5" t="str">
        <f>VLOOKUP(globalfreelancepreprocesseddata!A475,worksheet!A:P,3,FALSE)</f>
        <v>Kayla Meyers</v>
      </c>
      <c r="C475" s="5" t="str">
        <f>VLOOKUP(globalfreelancepreprocesseddata!A475,worksheet!A:P,5,FALSE)</f>
        <v>Female</v>
      </c>
      <c r="D475" s="5">
        <f>VLOOKUP(globalfreelancepreprocesseddata!A475,worksheet!A:P,6,FALSE)</f>
        <v>57</v>
      </c>
      <c r="E475" s="5" t="str">
        <f>VLOOKUP(globalfreelancepreprocesseddata!A475,worksheet!A:P,7,FALSE)</f>
        <v>China</v>
      </c>
      <c r="F475" s="5" t="str">
        <f>VLOOKUP(globalfreelancepreprocesseddata!A475,worksheet!A:P,8,FALSE)</f>
        <v>Mandarin</v>
      </c>
      <c r="G475" s="5" t="str">
        <f>VLOOKUP(globalfreelancepreprocesseddata!A475,worksheet!A:P,9,FALSE)</f>
        <v>Blockchain Development</v>
      </c>
      <c r="H475" s="5">
        <f>VLOOKUP(globalfreelancepreprocesseddata!A475,worksheet!A:P,10,FALSE)</f>
        <v>11</v>
      </c>
      <c r="I475" s="6">
        <f>VLOOKUP(globalfreelancepreprocesseddata!A475,worksheet!A:P,12,FALSE)</f>
        <v>75</v>
      </c>
      <c r="J475" s="5">
        <f>VLOOKUP(globalfreelancepreprocesseddata!A475,worksheet!A:P,13,FALSE)</f>
        <v>4.8</v>
      </c>
      <c r="K475" s="5">
        <f>VLOOKUP(globalfreelancepreprocesseddata!A475,worksheet!A:P,14,FALSE)</f>
        <v>1</v>
      </c>
      <c r="L475" s="7">
        <f>VLOOKUP(globalfreelancepreprocesseddata!A475,worksheet!A:P,16,FALSE)</f>
        <v>0.16</v>
      </c>
    </row>
    <row r="476" spans="1:12" x14ac:dyDescent="0.35">
      <c r="A476" s="5" t="s">
        <v>1025</v>
      </c>
      <c r="B476" s="5" t="str">
        <f>VLOOKUP(globalfreelancepreprocesseddata!A476,worksheet!A:P,3,FALSE)</f>
        <v>John Bray</v>
      </c>
      <c r="C476" s="5" t="str">
        <f>VLOOKUP(globalfreelancepreprocesseddata!A476,worksheet!A:P,5,FALSE)</f>
        <v>Male</v>
      </c>
      <c r="D476" s="5">
        <f>VLOOKUP(globalfreelancepreprocesseddata!A476,worksheet!A:P,6,FALSE)</f>
        <v>42</v>
      </c>
      <c r="E476" s="5" t="str">
        <f>VLOOKUP(globalfreelancepreprocesseddata!A476,worksheet!A:P,7,FALSE)</f>
        <v>United States</v>
      </c>
      <c r="F476" s="5" t="str">
        <f>VLOOKUP(globalfreelancepreprocesseddata!A476,worksheet!A:P,8,FALSE)</f>
        <v>English</v>
      </c>
      <c r="G476" s="5" t="str">
        <f>VLOOKUP(globalfreelancepreprocesseddata!A476,worksheet!A:P,9,FALSE)</f>
        <v>UI/UX Design</v>
      </c>
      <c r="H476" s="5">
        <f>VLOOKUP(globalfreelancepreprocesseddata!A476,worksheet!A:P,10,FALSE)</f>
        <v>14</v>
      </c>
      <c r="I476" s="6">
        <f>VLOOKUP(globalfreelancepreprocesseddata!A476,worksheet!A:P,12,FALSE)</f>
        <v>30</v>
      </c>
      <c r="J476" s="5">
        <f>VLOOKUP(globalfreelancepreprocesseddata!A476,worksheet!A:P,13,FALSE)</f>
        <v>1.3</v>
      </c>
      <c r="K476" s="5">
        <f>VLOOKUP(globalfreelancepreprocesseddata!A476,worksheet!A:P,14,FALSE)</f>
        <v>0</v>
      </c>
      <c r="L476" s="7">
        <f>VLOOKUP(globalfreelancepreprocesseddata!A476,worksheet!A:P,16,FALSE)</f>
        <v>0.94</v>
      </c>
    </row>
    <row r="477" spans="1:12" x14ac:dyDescent="0.35">
      <c r="A477" s="5" t="s">
        <v>1027</v>
      </c>
      <c r="B477" s="5" t="str">
        <f>VLOOKUP(globalfreelancepreprocesseddata!A477,worksheet!A:P,3,FALSE)</f>
        <v>James Smith</v>
      </c>
      <c r="C477" s="5" t="str">
        <f>VLOOKUP(globalfreelancepreprocesseddata!A477,worksheet!A:P,5,FALSE)</f>
        <v>Male</v>
      </c>
      <c r="D477" s="5">
        <f>VLOOKUP(globalfreelancepreprocesseddata!A477,worksheet!A:P,6,FALSE)</f>
        <v>31</v>
      </c>
      <c r="E477" s="5" t="str">
        <f>VLOOKUP(globalfreelancepreprocesseddata!A477,worksheet!A:P,7,FALSE)</f>
        <v>Indonesia</v>
      </c>
      <c r="F477" s="5" t="str">
        <f>VLOOKUP(globalfreelancepreprocesseddata!A477,worksheet!A:P,8,FALSE)</f>
        <v>Indonesian</v>
      </c>
      <c r="G477" s="5" t="str">
        <f>VLOOKUP(globalfreelancepreprocesseddata!A477,worksheet!A:P,9,FALSE)</f>
        <v>Cybersecurity</v>
      </c>
      <c r="H477" s="5">
        <f>VLOOKUP(globalfreelancepreprocesseddata!A477,worksheet!A:P,10,FALSE)</f>
        <v>11</v>
      </c>
      <c r="I477" s="6">
        <f>VLOOKUP(globalfreelancepreprocesseddata!A477,worksheet!A:P,12,FALSE)</f>
        <v>50</v>
      </c>
      <c r="J477" s="5">
        <f>VLOOKUP(globalfreelancepreprocesseddata!A477,worksheet!A:P,13,FALSE)</f>
        <v>4.3</v>
      </c>
      <c r="K477" s="5">
        <f>VLOOKUP(globalfreelancepreprocesseddata!A477,worksheet!A:P,14,FALSE)</f>
        <v>0</v>
      </c>
      <c r="L477" s="7">
        <f>VLOOKUP(globalfreelancepreprocesseddata!A477,worksheet!A:P,16,FALSE)</f>
        <v>0.62</v>
      </c>
    </row>
    <row r="478" spans="1:12" x14ac:dyDescent="0.35">
      <c r="A478" s="5" t="s">
        <v>1029</v>
      </c>
      <c r="B478" s="5" t="str">
        <f>VLOOKUP(globalfreelancepreprocesseddata!A478,worksheet!A:P,3,FALSE)</f>
        <v>Mark Duncan</v>
      </c>
      <c r="C478" s="5" t="str">
        <f>VLOOKUP(globalfreelancepreprocesseddata!A478,worksheet!A:P,5,FALSE)</f>
        <v>Male</v>
      </c>
      <c r="D478" s="5">
        <f>VLOOKUP(globalfreelancepreprocesseddata!A478,worksheet!A:P,6,FALSE)</f>
        <v>52</v>
      </c>
      <c r="E478" s="5" t="str">
        <f>VLOOKUP(globalfreelancepreprocesseddata!A478,worksheet!A:P,7,FALSE)</f>
        <v>Spain</v>
      </c>
      <c r="F478" s="5" t="str">
        <f>VLOOKUP(globalfreelancepreprocesseddata!A478,worksheet!A:P,8,FALSE)</f>
        <v>Spanish</v>
      </c>
      <c r="G478" s="5" t="str">
        <f>VLOOKUP(globalfreelancepreprocesseddata!A478,worksheet!A:P,9,FALSE)</f>
        <v>Cybersecurity</v>
      </c>
      <c r="H478" s="5">
        <f>VLOOKUP(globalfreelancepreprocesseddata!A478,worksheet!A:P,10,FALSE)</f>
        <v>31</v>
      </c>
      <c r="I478" s="6">
        <f>VLOOKUP(globalfreelancepreprocesseddata!A478,worksheet!A:P,12,FALSE)</f>
        <v>30</v>
      </c>
      <c r="J478" s="5">
        <f>VLOOKUP(globalfreelancepreprocesseddata!A478,worksheet!A:P,13,FALSE)</f>
        <v>3</v>
      </c>
      <c r="K478" s="5">
        <f>VLOOKUP(globalfreelancepreprocesseddata!A478,worksheet!A:P,14,FALSE)</f>
        <v>1</v>
      </c>
      <c r="L478" s="7">
        <f>VLOOKUP(globalfreelancepreprocesseddata!A478,worksheet!A:P,16,FALSE)</f>
        <v>0.16</v>
      </c>
    </row>
    <row r="479" spans="1:12" x14ac:dyDescent="0.35">
      <c r="A479" s="5" t="s">
        <v>1031</v>
      </c>
      <c r="B479" s="5" t="str">
        <f>VLOOKUP(globalfreelancepreprocesseddata!A479,worksheet!A:P,3,FALSE)</f>
        <v>Matthew Gay</v>
      </c>
      <c r="C479" s="5" t="str">
        <f>VLOOKUP(globalfreelancepreprocesseddata!A479,worksheet!A:P,5,FALSE)</f>
        <v>Male</v>
      </c>
      <c r="D479" s="5">
        <f>VLOOKUP(globalfreelancepreprocesseddata!A479,worksheet!A:P,6,FALSE)</f>
        <v>56</v>
      </c>
      <c r="E479" s="5" t="str">
        <f>VLOOKUP(globalfreelancepreprocesseddata!A479,worksheet!A:P,7,FALSE)</f>
        <v>Netherlands</v>
      </c>
      <c r="F479" s="5" t="str">
        <f>VLOOKUP(globalfreelancepreprocesseddata!A479,worksheet!A:P,8,FALSE)</f>
        <v>Dutch</v>
      </c>
      <c r="G479" s="5" t="str">
        <f>VLOOKUP(globalfreelancepreprocesseddata!A479,worksheet!A:P,9,FALSE)</f>
        <v>DevOps</v>
      </c>
      <c r="H479" s="5">
        <f>VLOOKUP(globalfreelancepreprocesseddata!A479,worksheet!A:P,10,FALSE)</f>
        <v>16</v>
      </c>
      <c r="I479" s="6" t="str">
        <f>VLOOKUP(globalfreelancepreprocesseddata!A479,worksheet!A:P,12,FALSE)</f>
        <v>$ 30</v>
      </c>
      <c r="J479" s="5">
        <f>VLOOKUP(globalfreelancepreprocesseddata!A479,worksheet!A:P,13,FALSE)</f>
        <v>0</v>
      </c>
      <c r="K479" s="5">
        <f>VLOOKUP(globalfreelancepreprocesseddata!A479,worksheet!A:P,14,FALSE)</f>
        <v>1</v>
      </c>
      <c r="L479" s="7">
        <f>VLOOKUP(globalfreelancepreprocesseddata!A479,worksheet!A:P,16,FALSE)</f>
        <v>0.16</v>
      </c>
    </row>
    <row r="480" spans="1:12" x14ac:dyDescent="0.35">
      <c r="A480" s="5" t="s">
        <v>1033</v>
      </c>
      <c r="B480" s="5" t="str">
        <f>VLOOKUP(globalfreelancepreprocesseddata!A480,worksheet!A:P,3,FALSE)</f>
        <v>Cheryl Freeman</v>
      </c>
      <c r="C480" s="5" t="str">
        <f>VLOOKUP(globalfreelancepreprocesseddata!A480,worksheet!A:P,5,FALSE)</f>
        <v>Female</v>
      </c>
      <c r="D480" s="5">
        <f>VLOOKUP(globalfreelancepreprocesseddata!A480,worksheet!A:P,6,FALSE)</f>
        <v>24</v>
      </c>
      <c r="E480" s="5" t="str">
        <f>VLOOKUP(globalfreelancepreprocesseddata!A480,worksheet!A:P,7,FALSE)</f>
        <v>Netherlands</v>
      </c>
      <c r="F480" s="5" t="str">
        <f>VLOOKUP(globalfreelancepreprocesseddata!A480,worksheet!A:P,8,FALSE)</f>
        <v>Dutch</v>
      </c>
      <c r="G480" s="5" t="str">
        <f>VLOOKUP(globalfreelancepreprocesseddata!A480,worksheet!A:P,9,FALSE)</f>
        <v>DevOps</v>
      </c>
      <c r="H480" s="5">
        <f>VLOOKUP(globalfreelancepreprocesseddata!A480,worksheet!A:P,10,FALSE)</f>
        <v>6</v>
      </c>
      <c r="I480" s="6">
        <f>VLOOKUP(globalfreelancepreprocesseddata!A480,worksheet!A:P,12,FALSE)</f>
        <v>30</v>
      </c>
      <c r="J480" s="5">
        <f>VLOOKUP(globalfreelancepreprocesseddata!A480,worksheet!A:P,13,FALSE)</f>
        <v>0</v>
      </c>
      <c r="K480" s="5">
        <f>VLOOKUP(globalfreelancepreprocesseddata!A480,worksheet!A:P,14,FALSE)</f>
        <v>1</v>
      </c>
      <c r="L480" s="7">
        <f>VLOOKUP(globalfreelancepreprocesseddata!A480,worksheet!A:P,16,FALSE)</f>
        <v>0.84</v>
      </c>
    </row>
    <row r="481" spans="1:12" x14ac:dyDescent="0.35">
      <c r="A481" s="5" t="s">
        <v>1035</v>
      </c>
      <c r="B481" s="5" t="str">
        <f>VLOOKUP(globalfreelancepreprocesseddata!A481,worksheet!A:P,3,FALSE)</f>
        <v>Patrick Welch</v>
      </c>
      <c r="C481" s="5" t="str">
        <f>VLOOKUP(globalfreelancepreprocesseddata!A481,worksheet!A:P,5,FALSE)</f>
        <v>Male</v>
      </c>
      <c r="D481" s="5">
        <f>VLOOKUP(globalfreelancepreprocesseddata!A481,worksheet!A:P,6,FALSE)</f>
        <v>48</v>
      </c>
      <c r="E481" s="5" t="str">
        <f>VLOOKUP(globalfreelancepreprocesseddata!A481,worksheet!A:P,7,FALSE)</f>
        <v>Canada</v>
      </c>
      <c r="F481" s="5" t="str">
        <f>VLOOKUP(globalfreelancepreprocesseddata!A481,worksheet!A:P,8,FALSE)</f>
        <v>English</v>
      </c>
      <c r="G481" s="5" t="str">
        <f>VLOOKUP(globalfreelancepreprocesseddata!A481,worksheet!A:P,9,FALSE)</f>
        <v>DevOps</v>
      </c>
      <c r="H481" s="5">
        <f>VLOOKUP(globalfreelancepreprocesseddata!A481,worksheet!A:P,10,FALSE)</f>
        <v>21</v>
      </c>
      <c r="I481" s="6">
        <f>VLOOKUP(globalfreelancepreprocesseddata!A481,worksheet!A:P,12,FALSE)</f>
        <v>75</v>
      </c>
      <c r="J481" s="5">
        <f>VLOOKUP(globalfreelancepreprocesseddata!A481,worksheet!A:P,13,FALSE)</f>
        <v>2.7</v>
      </c>
      <c r="K481" s="5">
        <f>VLOOKUP(globalfreelancepreprocesseddata!A481,worksheet!A:P,14,FALSE)</f>
        <v>1</v>
      </c>
      <c r="L481" s="7">
        <f>VLOOKUP(globalfreelancepreprocesseddata!A481,worksheet!A:P,16,FALSE)</f>
        <v>0.16</v>
      </c>
    </row>
    <row r="482" spans="1:12" x14ac:dyDescent="0.35">
      <c r="A482" s="5" t="s">
        <v>1037</v>
      </c>
      <c r="B482" s="5" t="str">
        <f>VLOOKUP(globalfreelancepreprocesseddata!A482,worksheet!A:P,3,FALSE)</f>
        <v>Craig Levine</v>
      </c>
      <c r="C482" s="5" t="str">
        <f>VLOOKUP(globalfreelancepreprocesseddata!A482,worksheet!A:P,5,FALSE)</f>
        <v>Male</v>
      </c>
      <c r="D482" s="5">
        <f>VLOOKUP(globalfreelancepreprocesseddata!A482,worksheet!A:P,6,FALSE)</f>
        <v>59</v>
      </c>
      <c r="E482" s="5" t="str">
        <f>VLOOKUP(globalfreelancepreprocesseddata!A482,worksheet!A:P,7,FALSE)</f>
        <v>France</v>
      </c>
      <c r="F482" s="5" t="str">
        <f>VLOOKUP(globalfreelancepreprocesseddata!A482,worksheet!A:P,8,FALSE)</f>
        <v>French</v>
      </c>
      <c r="G482" s="5" t="str">
        <f>VLOOKUP(globalfreelancepreprocesseddata!A482,worksheet!A:P,9,FALSE)</f>
        <v>Cybersecurity</v>
      </c>
      <c r="H482" s="5">
        <f>VLOOKUP(globalfreelancepreprocesseddata!A482,worksheet!A:P,10,FALSE)</f>
        <v>13</v>
      </c>
      <c r="I482" s="6">
        <f>VLOOKUP(globalfreelancepreprocesseddata!A482,worksheet!A:P,12,FALSE)</f>
        <v>40</v>
      </c>
      <c r="J482" s="5">
        <f>VLOOKUP(globalfreelancepreprocesseddata!A482,worksheet!A:P,13,FALSE)</f>
        <v>2.4</v>
      </c>
      <c r="K482" s="5">
        <f>VLOOKUP(globalfreelancepreprocesseddata!A482,worksheet!A:P,14,FALSE)</f>
        <v>1</v>
      </c>
      <c r="L482" s="7">
        <f>VLOOKUP(globalfreelancepreprocesseddata!A482,worksheet!A:P,16,FALSE)</f>
        <v>0.65</v>
      </c>
    </row>
    <row r="483" spans="1:12" x14ac:dyDescent="0.35">
      <c r="A483" s="5" t="s">
        <v>1039</v>
      </c>
      <c r="B483" s="5" t="str">
        <f>VLOOKUP(globalfreelancepreprocesseddata!A483,worksheet!A:P,3,FALSE)</f>
        <v>Richard Harvey</v>
      </c>
      <c r="C483" s="5" t="str">
        <f>VLOOKUP(globalfreelancepreprocesseddata!A483,worksheet!A:P,5,FALSE)</f>
        <v>Male</v>
      </c>
      <c r="D483" s="5">
        <f>VLOOKUP(globalfreelancepreprocesseddata!A483,worksheet!A:P,6,FALSE)</f>
        <v>41</v>
      </c>
      <c r="E483" s="5" t="str">
        <f>VLOOKUP(globalfreelancepreprocesseddata!A483,worksheet!A:P,7,FALSE)</f>
        <v>United Kingdom</v>
      </c>
      <c r="F483" s="5" t="str">
        <f>VLOOKUP(globalfreelancepreprocesseddata!A483,worksheet!A:P,8,FALSE)</f>
        <v>English</v>
      </c>
      <c r="G483" s="5" t="str">
        <f>VLOOKUP(globalfreelancepreprocesseddata!A483,worksheet!A:P,9,FALSE)</f>
        <v>Web Development</v>
      </c>
      <c r="H483" s="5">
        <f>VLOOKUP(globalfreelancepreprocesseddata!A483,worksheet!A:P,10,FALSE)</f>
        <v>11</v>
      </c>
      <c r="I483" s="6">
        <f>VLOOKUP(globalfreelancepreprocesseddata!A483,worksheet!A:P,12,FALSE)</f>
        <v>40</v>
      </c>
      <c r="J483" s="5">
        <f>VLOOKUP(globalfreelancepreprocesseddata!A483,worksheet!A:P,13,FALSE)</f>
        <v>1.9</v>
      </c>
      <c r="K483" s="5">
        <f>VLOOKUP(globalfreelancepreprocesseddata!A483,worksheet!A:P,14,FALSE)</f>
        <v>1</v>
      </c>
      <c r="L483" s="7">
        <f>VLOOKUP(globalfreelancepreprocesseddata!A483,worksheet!A:P,16,FALSE)</f>
        <v>0.94</v>
      </c>
    </row>
    <row r="484" spans="1:12" x14ac:dyDescent="0.35">
      <c r="A484" s="5" t="s">
        <v>1041</v>
      </c>
      <c r="B484" s="5" t="str">
        <f>VLOOKUP(globalfreelancepreprocesseddata!A484,worksheet!A:P,3,FALSE)</f>
        <v>Bonnie Sherman</v>
      </c>
      <c r="C484" s="5" t="str">
        <f>VLOOKUP(globalfreelancepreprocesseddata!A484,worksheet!A:P,5,FALSE)</f>
        <v>Female</v>
      </c>
      <c r="D484" s="5">
        <f>VLOOKUP(globalfreelancepreprocesseddata!A484,worksheet!A:P,6,FALSE)</f>
        <v>41</v>
      </c>
      <c r="E484" s="5" t="str">
        <f>VLOOKUP(globalfreelancepreprocesseddata!A484,worksheet!A:P,7,FALSE)</f>
        <v>Netherlands</v>
      </c>
      <c r="F484" s="5" t="str">
        <f>VLOOKUP(globalfreelancepreprocesseddata!A484,worksheet!A:P,8,FALSE)</f>
        <v>Dutch</v>
      </c>
      <c r="G484" s="5" t="str">
        <f>VLOOKUP(globalfreelancepreprocesseddata!A484,worksheet!A:P,9,FALSE)</f>
        <v>Mobile Apps</v>
      </c>
      <c r="H484" s="5">
        <f>VLOOKUP(globalfreelancepreprocesseddata!A484,worksheet!A:P,10,FALSE)</f>
        <v>11</v>
      </c>
      <c r="I484" s="6">
        <f>VLOOKUP(globalfreelancepreprocesseddata!A484,worksheet!A:P,12,FALSE)</f>
        <v>20</v>
      </c>
      <c r="J484" s="5">
        <f>VLOOKUP(globalfreelancepreprocesseddata!A484,worksheet!A:P,13,FALSE)</f>
        <v>3.6</v>
      </c>
      <c r="K484" s="5">
        <f>VLOOKUP(globalfreelancepreprocesseddata!A484,worksheet!A:P,14,FALSE)</f>
        <v>1</v>
      </c>
      <c r="L484" s="7">
        <f>VLOOKUP(globalfreelancepreprocesseddata!A484,worksheet!A:P,16,FALSE)</f>
        <v>0.69</v>
      </c>
    </row>
    <row r="485" spans="1:12" x14ac:dyDescent="0.35">
      <c r="A485" s="5" t="s">
        <v>1043</v>
      </c>
      <c r="B485" s="5" t="str">
        <f>VLOOKUP(globalfreelancepreprocesseddata!A485,worksheet!A:P,3,FALSE)</f>
        <v>Keith Trujillo</v>
      </c>
      <c r="C485" s="5" t="str">
        <f>VLOOKUP(globalfreelancepreprocesseddata!A485,worksheet!A:P,5,FALSE)</f>
        <v>Male</v>
      </c>
      <c r="D485" s="5">
        <f>VLOOKUP(globalfreelancepreprocesseddata!A485,worksheet!A:P,6,FALSE)</f>
        <v>25</v>
      </c>
      <c r="E485" s="5" t="str">
        <f>VLOOKUP(globalfreelancepreprocesseddata!A485,worksheet!A:P,7,FALSE)</f>
        <v>Netherlands</v>
      </c>
      <c r="F485" s="5" t="str">
        <f>VLOOKUP(globalfreelancepreprocesseddata!A485,worksheet!A:P,8,FALSE)</f>
        <v>Dutch</v>
      </c>
      <c r="G485" s="5" t="str">
        <f>VLOOKUP(globalfreelancepreprocesseddata!A485,worksheet!A:P,9,FALSE)</f>
        <v>Mobile Apps</v>
      </c>
      <c r="H485" s="5">
        <f>VLOOKUP(globalfreelancepreprocesseddata!A485,worksheet!A:P,10,FALSE)</f>
        <v>11</v>
      </c>
      <c r="I485" s="6">
        <f>VLOOKUP(globalfreelancepreprocesseddata!A485,worksheet!A:P,12,FALSE)</f>
        <v>50</v>
      </c>
      <c r="J485" s="5">
        <f>VLOOKUP(globalfreelancepreprocesseddata!A485,worksheet!A:P,13,FALSE)</f>
        <v>2.9</v>
      </c>
      <c r="K485" s="5">
        <f>VLOOKUP(globalfreelancepreprocesseddata!A485,worksheet!A:P,14,FALSE)</f>
        <v>1</v>
      </c>
      <c r="L485" s="7">
        <f>VLOOKUP(globalfreelancepreprocesseddata!A485,worksheet!A:P,16,FALSE)</f>
        <v>0.65</v>
      </c>
    </row>
    <row r="486" spans="1:12" x14ac:dyDescent="0.35">
      <c r="A486" s="5" t="s">
        <v>1045</v>
      </c>
      <c r="B486" s="5" t="str">
        <f>VLOOKUP(globalfreelancepreprocesseddata!A486,worksheet!A:P,3,FALSE)</f>
        <v>Corey Combs</v>
      </c>
      <c r="C486" s="5" t="str">
        <f>VLOOKUP(globalfreelancepreprocesseddata!A486,worksheet!A:P,5,FALSE)</f>
        <v>Male</v>
      </c>
      <c r="D486" s="5">
        <f>VLOOKUP(globalfreelancepreprocesseddata!A486,worksheet!A:P,6,FALSE)</f>
        <v>31</v>
      </c>
      <c r="E486" s="5" t="str">
        <f>VLOOKUP(globalfreelancepreprocesseddata!A486,worksheet!A:P,7,FALSE)</f>
        <v>Egypt</v>
      </c>
      <c r="F486" s="5" t="str">
        <f>VLOOKUP(globalfreelancepreprocesseddata!A486,worksheet!A:P,8,FALSE)</f>
        <v>Arabic</v>
      </c>
      <c r="G486" s="5" t="str">
        <f>VLOOKUP(globalfreelancepreprocesseddata!A486,worksheet!A:P,9,FALSE)</f>
        <v>Mobile Apps</v>
      </c>
      <c r="H486" s="5">
        <f>VLOOKUP(globalfreelancepreprocesseddata!A486,worksheet!A:P,10,FALSE)</f>
        <v>2</v>
      </c>
      <c r="I486" s="6">
        <f>VLOOKUP(globalfreelancepreprocesseddata!A486,worksheet!A:P,12,FALSE)</f>
        <v>75</v>
      </c>
      <c r="J486" s="5">
        <f>VLOOKUP(globalfreelancepreprocesseddata!A486,worksheet!A:P,13,FALSE)</f>
        <v>2.8</v>
      </c>
      <c r="K486" s="5">
        <f>VLOOKUP(globalfreelancepreprocesseddata!A486,worksheet!A:P,14,FALSE)</f>
        <v>0</v>
      </c>
      <c r="L486" s="7">
        <f>VLOOKUP(globalfreelancepreprocesseddata!A486,worksheet!A:P,16,FALSE)</f>
        <v>0.6</v>
      </c>
    </row>
    <row r="487" spans="1:12" x14ac:dyDescent="0.35">
      <c r="A487" s="5" t="s">
        <v>1047</v>
      </c>
      <c r="B487" s="5" t="str">
        <f>VLOOKUP(globalfreelancepreprocesseddata!A487,worksheet!A:P,3,FALSE)</f>
        <v>Antonio King</v>
      </c>
      <c r="C487" s="5" t="str">
        <f>VLOOKUP(globalfreelancepreprocesseddata!A487,worksheet!A:P,5,FALSE)</f>
        <v>Male</v>
      </c>
      <c r="D487" s="5">
        <f>VLOOKUP(globalfreelancepreprocesseddata!A487,worksheet!A:P,6,FALSE)</f>
        <v>40</v>
      </c>
      <c r="E487" s="5" t="str">
        <f>VLOOKUP(globalfreelancepreprocesseddata!A487,worksheet!A:P,7,FALSE)</f>
        <v>Turkey</v>
      </c>
      <c r="F487" s="5" t="str">
        <f>VLOOKUP(globalfreelancepreprocesseddata!A487,worksheet!A:P,8,FALSE)</f>
        <v>Turkish</v>
      </c>
      <c r="G487" s="5" t="str">
        <f>VLOOKUP(globalfreelancepreprocesseddata!A487,worksheet!A:P,9,FALSE)</f>
        <v>DevOps</v>
      </c>
      <c r="H487" s="5">
        <f>VLOOKUP(globalfreelancepreprocesseddata!A487,worksheet!A:P,10,FALSE)</f>
        <v>12</v>
      </c>
      <c r="I487" s="6">
        <f>VLOOKUP(globalfreelancepreprocesseddata!A487,worksheet!A:P,12,FALSE)</f>
        <v>75</v>
      </c>
      <c r="J487" s="5">
        <f>VLOOKUP(globalfreelancepreprocesseddata!A487,worksheet!A:P,13,FALSE)</f>
        <v>2.6</v>
      </c>
      <c r="K487" s="5">
        <f>VLOOKUP(globalfreelancepreprocesseddata!A487,worksheet!A:P,14,FALSE)</f>
        <v>0</v>
      </c>
      <c r="L487" s="7">
        <f>VLOOKUP(globalfreelancepreprocesseddata!A487,worksheet!A:P,16,FALSE)</f>
        <v>0.16</v>
      </c>
    </row>
    <row r="488" spans="1:12" x14ac:dyDescent="0.35">
      <c r="A488" s="5" t="s">
        <v>1049</v>
      </c>
      <c r="B488" s="5" t="str">
        <f>VLOOKUP(globalfreelancepreprocesseddata!A488,worksheet!A:P,3,FALSE)</f>
        <v>Amy Lee</v>
      </c>
      <c r="C488" s="5" t="str">
        <f>VLOOKUP(globalfreelancepreprocesseddata!A488,worksheet!A:P,5,FALSE)</f>
        <v>Female</v>
      </c>
      <c r="D488" s="5">
        <f>VLOOKUP(globalfreelancepreprocesseddata!A488,worksheet!A:P,6,FALSE)</f>
        <v>48</v>
      </c>
      <c r="E488" s="5" t="str">
        <f>VLOOKUP(globalfreelancepreprocesseddata!A488,worksheet!A:P,7,FALSE)</f>
        <v>Russia</v>
      </c>
      <c r="F488" s="5" t="str">
        <f>VLOOKUP(globalfreelancepreprocesseddata!A488,worksheet!A:P,8,FALSE)</f>
        <v>Russian</v>
      </c>
      <c r="G488" s="5" t="str">
        <f>VLOOKUP(globalfreelancepreprocesseddata!A488,worksheet!A:P,9,FALSE)</f>
        <v>Blockchain Development</v>
      </c>
      <c r="H488" s="5">
        <f>VLOOKUP(globalfreelancepreprocesseddata!A488,worksheet!A:P,10,FALSE)</f>
        <v>13</v>
      </c>
      <c r="I488" s="6">
        <f>VLOOKUP(globalfreelancepreprocesseddata!A488,worksheet!A:P,12,FALSE)</f>
        <v>100</v>
      </c>
      <c r="J488" s="5">
        <f>VLOOKUP(globalfreelancepreprocesseddata!A488,worksheet!A:P,13,FALSE)</f>
        <v>2.7</v>
      </c>
      <c r="K488" s="5">
        <f>VLOOKUP(globalfreelancepreprocesseddata!A488,worksheet!A:P,14,FALSE)</f>
        <v>1</v>
      </c>
      <c r="L488" s="7">
        <f>VLOOKUP(globalfreelancepreprocesseddata!A488,worksheet!A:P,16,FALSE)</f>
        <v>0.62</v>
      </c>
    </row>
    <row r="489" spans="1:12" x14ac:dyDescent="0.35">
      <c r="A489" s="5" t="s">
        <v>1050</v>
      </c>
      <c r="B489" s="5" t="str">
        <f>VLOOKUP(globalfreelancepreprocesseddata!A489,worksheet!A:P,3,FALSE)</f>
        <v>Jennifer Rogers</v>
      </c>
      <c r="C489" s="5" t="str">
        <f>VLOOKUP(globalfreelancepreprocesseddata!A489,worksheet!A:P,5,FALSE)</f>
        <v>Female</v>
      </c>
      <c r="D489" s="5">
        <f>VLOOKUP(globalfreelancepreprocesseddata!A489,worksheet!A:P,6,FALSE)</f>
        <v>24</v>
      </c>
      <c r="E489" s="5" t="str">
        <f>VLOOKUP(globalfreelancepreprocesseddata!A489,worksheet!A:P,7,FALSE)</f>
        <v>South Africa</v>
      </c>
      <c r="F489" s="5" t="str">
        <f>VLOOKUP(globalfreelancepreprocesseddata!A489,worksheet!A:P,8,FALSE)</f>
        <v>Afrikaans</v>
      </c>
      <c r="G489" s="5" t="str">
        <f>VLOOKUP(globalfreelancepreprocesseddata!A489,worksheet!A:P,9,FALSE)</f>
        <v>Mobile Apps</v>
      </c>
      <c r="H489" s="5">
        <f>VLOOKUP(globalfreelancepreprocesseddata!A489,worksheet!A:P,10,FALSE)</f>
        <v>6</v>
      </c>
      <c r="I489" s="6">
        <f>VLOOKUP(globalfreelancepreprocesseddata!A489,worksheet!A:P,12,FALSE)</f>
        <v>30</v>
      </c>
      <c r="J489" s="5">
        <f>VLOOKUP(globalfreelancepreprocesseddata!A489,worksheet!A:P,13,FALSE)</f>
        <v>1.1000000000000001</v>
      </c>
      <c r="K489" s="5">
        <f>VLOOKUP(globalfreelancepreprocesseddata!A489,worksheet!A:P,14,FALSE)</f>
        <v>1</v>
      </c>
      <c r="L489" s="7">
        <f>VLOOKUP(globalfreelancepreprocesseddata!A489,worksheet!A:P,16,FALSE)</f>
        <v>0.16</v>
      </c>
    </row>
    <row r="490" spans="1:12" x14ac:dyDescent="0.35">
      <c r="A490" s="5" t="s">
        <v>1052</v>
      </c>
      <c r="B490" s="5" t="str">
        <f>VLOOKUP(globalfreelancepreprocesseddata!A490,worksheet!A:P,3,FALSE)</f>
        <v>Jeffrey Cooper</v>
      </c>
      <c r="C490" s="5" t="str">
        <f>VLOOKUP(globalfreelancepreprocesseddata!A490,worksheet!A:P,5,FALSE)</f>
        <v>Male</v>
      </c>
      <c r="D490" s="5">
        <f>VLOOKUP(globalfreelancepreprocesseddata!A490,worksheet!A:P,6,FALSE)</f>
        <v>33</v>
      </c>
      <c r="E490" s="5" t="str">
        <f>VLOOKUP(globalfreelancepreprocesseddata!A490,worksheet!A:P,7,FALSE)</f>
        <v>Indonesia</v>
      </c>
      <c r="F490" s="5" t="str">
        <f>VLOOKUP(globalfreelancepreprocesseddata!A490,worksheet!A:P,8,FALSE)</f>
        <v>Indonesian</v>
      </c>
      <c r="G490" s="5" t="str">
        <f>VLOOKUP(globalfreelancepreprocesseddata!A490,worksheet!A:P,9,FALSE)</f>
        <v>Web Development</v>
      </c>
      <c r="H490" s="5">
        <f>VLOOKUP(globalfreelancepreprocesseddata!A490,worksheet!A:P,10,FALSE)</f>
        <v>10</v>
      </c>
      <c r="I490" s="6" t="str">
        <f>VLOOKUP(globalfreelancepreprocesseddata!A490,worksheet!A:P,12,FALSE)</f>
        <v>$ 30</v>
      </c>
      <c r="J490" s="5">
        <f>VLOOKUP(globalfreelancepreprocesseddata!A490,worksheet!A:P,13,FALSE)</f>
        <v>0</v>
      </c>
      <c r="K490" s="5">
        <f>VLOOKUP(globalfreelancepreprocesseddata!A490,worksheet!A:P,14,FALSE)</f>
        <v>1</v>
      </c>
      <c r="L490" s="7">
        <f>VLOOKUP(globalfreelancepreprocesseddata!A490,worksheet!A:P,16,FALSE)</f>
        <v>0.89</v>
      </c>
    </row>
    <row r="491" spans="1:12" x14ac:dyDescent="0.35">
      <c r="A491" s="5" t="s">
        <v>1054</v>
      </c>
      <c r="B491" s="5" t="str">
        <f>VLOOKUP(globalfreelancepreprocesseddata!A491,worksheet!A:P,3,FALSE)</f>
        <v>Allison Williams</v>
      </c>
      <c r="C491" s="5" t="str">
        <f>VLOOKUP(globalfreelancepreprocesseddata!A491,worksheet!A:P,5,FALSE)</f>
        <v>Female</v>
      </c>
      <c r="D491" s="5">
        <f>VLOOKUP(globalfreelancepreprocesseddata!A491,worksheet!A:P,6,FALSE)</f>
        <v>43</v>
      </c>
      <c r="E491" s="5" t="str">
        <f>VLOOKUP(globalfreelancepreprocesseddata!A491,worksheet!A:P,7,FALSE)</f>
        <v>Brazil</v>
      </c>
      <c r="F491" s="5" t="str">
        <f>VLOOKUP(globalfreelancepreprocesseddata!A491,worksheet!A:P,8,FALSE)</f>
        <v>Portuguese</v>
      </c>
      <c r="G491" s="5" t="str">
        <f>VLOOKUP(globalfreelancepreprocesseddata!A491,worksheet!A:P,9,FALSE)</f>
        <v>UI/UX Design</v>
      </c>
      <c r="H491" s="5">
        <f>VLOOKUP(globalfreelancepreprocesseddata!A491,worksheet!A:P,10,FALSE)</f>
        <v>2</v>
      </c>
      <c r="I491" s="6">
        <f>VLOOKUP(globalfreelancepreprocesseddata!A491,worksheet!A:P,12,FALSE)</f>
        <v>40</v>
      </c>
      <c r="J491" s="5">
        <f>VLOOKUP(globalfreelancepreprocesseddata!A491,worksheet!A:P,13,FALSE)</f>
        <v>0</v>
      </c>
      <c r="K491" s="5">
        <f>VLOOKUP(globalfreelancepreprocesseddata!A491,worksheet!A:P,14,FALSE)</f>
        <v>1</v>
      </c>
      <c r="L491" s="7">
        <f>VLOOKUP(globalfreelancepreprocesseddata!A491,worksheet!A:P,16,FALSE)</f>
        <v>0.89</v>
      </c>
    </row>
    <row r="492" spans="1:12" x14ac:dyDescent="0.35">
      <c r="A492" s="5" t="s">
        <v>1056</v>
      </c>
      <c r="B492" s="5" t="str">
        <f>VLOOKUP(globalfreelancepreprocesseddata!A492,worksheet!A:P,3,FALSE)</f>
        <v>Raymond Sherman</v>
      </c>
      <c r="C492" s="5" t="str">
        <f>VLOOKUP(globalfreelancepreprocesseddata!A492,worksheet!A:P,5,FALSE)</f>
        <v>Male</v>
      </c>
      <c r="D492" s="5">
        <f>VLOOKUP(globalfreelancepreprocesseddata!A492,worksheet!A:P,6,FALSE)</f>
        <v>43</v>
      </c>
      <c r="E492" s="5" t="str">
        <f>VLOOKUP(globalfreelancepreprocesseddata!A492,worksheet!A:P,7,FALSE)</f>
        <v>Spain</v>
      </c>
      <c r="F492" s="5" t="str">
        <f>VLOOKUP(globalfreelancepreprocesseddata!A492,worksheet!A:P,8,FALSE)</f>
        <v>Spanish</v>
      </c>
      <c r="G492" s="5" t="str">
        <f>VLOOKUP(globalfreelancepreprocesseddata!A492,worksheet!A:P,9,FALSE)</f>
        <v>Blockchain Development</v>
      </c>
      <c r="H492" s="5">
        <f>VLOOKUP(globalfreelancepreprocesseddata!A492,worksheet!A:P,10,FALSE)</f>
        <v>4</v>
      </c>
      <c r="I492" s="6">
        <f>VLOOKUP(globalfreelancepreprocesseddata!A492,worksheet!A:P,12,FALSE)</f>
        <v>50</v>
      </c>
      <c r="J492" s="5">
        <f>VLOOKUP(globalfreelancepreprocesseddata!A492,worksheet!A:P,13,FALSE)</f>
        <v>0</v>
      </c>
      <c r="K492" s="5">
        <f>VLOOKUP(globalfreelancepreprocesseddata!A492,worksheet!A:P,14,FALSE)</f>
        <v>1</v>
      </c>
      <c r="L492" s="7">
        <f>VLOOKUP(globalfreelancepreprocesseddata!A492,worksheet!A:P,16,FALSE)</f>
        <v>0.01</v>
      </c>
    </row>
    <row r="493" spans="1:12" x14ac:dyDescent="0.35">
      <c r="A493" s="5" t="s">
        <v>1058</v>
      </c>
      <c r="B493" s="5" t="str">
        <f>VLOOKUP(globalfreelancepreprocesseddata!A493,worksheet!A:P,3,FALSE)</f>
        <v>Jennifer Nelson</v>
      </c>
      <c r="C493" s="5" t="str">
        <f>VLOOKUP(globalfreelancepreprocesseddata!A493,worksheet!A:P,5,FALSE)</f>
        <v>Female</v>
      </c>
      <c r="D493" s="5">
        <f>VLOOKUP(globalfreelancepreprocesseddata!A493,worksheet!A:P,6,FALSE)</f>
        <v>33</v>
      </c>
      <c r="E493" s="5" t="str">
        <f>VLOOKUP(globalfreelancepreprocesseddata!A493,worksheet!A:P,7,FALSE)</f>
        <v>Australia</v>
      </c>
      <c r="F493" s="5" t="str">
        <f>VLOOKUP(globalfreelancepreprocesseddata!A493,worksheet!A:P,8,FALSE)</f>
        <v>English</v>
      </c>
      <c r="G493" s="5" t="str">
        <f>VLOOKUP(globalfreelancepreprocesseddata!A493,worksheet!A:P,9,FALSE)</f>
        <v>Web Development</v>
      </c>
      <c r="H493" s="5">
        <f>VLOOKUP(globalfreelancepreprocesseddata!A493,worksheet!A:P,10,FALSE)</f>
        <v>11</v>
      </c>
      <c r="I493" s="6">
        <f>VLOOKUP(globalfreelancepreprocesseddata!A493,worksheet!A:P,12,FALSE)</f>
        <v>40</v>
      </c>
      <c r="J493" s="5">
        <f>VLOOKUP(globalfreelancepreprocesseddata!A493,worksheet!A:P,13,FALSE)</f>
        <v>4.5999999999999996</v>
      </c>
      <c r="K493" s="5">
        <f>VLOOKUP(globalfreelancepreprocesseddata!A493,worksheet!A:P,14,FALSE)</f>
        <v>1</v>
      </c>
      <c r="L493" s="7">
        <f>VLOOKUP(globalfreelancepreprocesseddata!A493,worksheet!A:P,16,FALSE)</f>
        <v>0.16</v>
      </c>
    </row>
    <row r="494" spans="1:12" x14ac:dyDescent="0.35">
      <c r="A494" s="5" t="s">
        <v>1060</v>
      </c>
      <c r="B494" s="5" t="str">
        <f>VLOOKUP(globalfreelancepreprocesseddata!A494,worksheet!A:P,3,FALSE)</f>
        <v>Jennifer Carter</v>
      </c>
      <c r="C494" s="5" t="str">
        <f>VLOOKUP(globalfreelancepreprocesseddata!A494,worksheet!A:P,5,FALSE)</f>
        <v>Female</v>
      </c>
      <c r="D494" s="5">
        <f>VLOOKUP(globalfreelancepreprocesseddata!A494,worksheet!A:P,6,FALSE)</f>
        <v>49</v>
      </c>
      <c r="E494" s="5" t="str">
        <f>VLOOKUP(globalfreelancepreprocesseddata!A494,worksheet!A:P,7,FALSE)</f>
        <v>Russia</v>
      </c>
      <c r="F494" s="5" t="str">
        <f>VLOOKUP(globalfreelancepreprocesseddata!A494,worksheet!A:P,8,FALSE)</f>
        <v>Russian</v>
      </c>
      <c r="G494" s="5" t="str">
        <f>VLOOKUP(globalfreelancepreprocesseddata!A494,worksheet!A:P,9,FALSE)</f>
        <v>UI/UX Design</v>
      </c>
      <c r="H494" s="5">
        <f>VLOOKUP(globalfreelancepreprocesseddata!A494,worksheet!A:P,10,FALSE)</f>
        <v>14</v>
      </c>
      <c r="I494" s="6">
        <f>VLOOKUP(globalfreelancepreprocesseddata!A494,worksheet!A:P,12,FALSE)</f>
        <v>40</v>
      </c>
      <c r="J494" s="5">
        <f>VLOOKUP(globalfreelancepreprocesseddata!A494,worksheet!A:P,13,FALSE)</f>
        <v>1.5</v>
      </c>
      <c r="K494" s="5">
        <f>VLOOKUP(globalfreelancepreprocesseddata!A494,worksheet!A:P,14,FALSE)</f>
        <v>1</v>
      </c>
      <c r="L494" s="7">
        <f>VLOOKUP(globalfreelancepreprocesseddata!A494,worksheet!A:P,16,FALSE)</f>
        <v>0.6</v>
      </c>
    </row>
    <row r="495" spans="1:12" x14ac:dyDescent="0.35">
      <c r="A495" s="5" t="s">
        <v>1062</v>
      </c>
      <c r="B495" s="5" t="str">
        <f>VLOOKUP(globalfreelancepreprocesseddata!A495,worksheet!A:P,3,FALSE)</f>
        <v>Todd Williams</v>
      </c>
      <c r="C495" s="5" t="str">
        <f>VLOOKUP(globalfreelancepreprocesseddata!A495,worksheet!A:P,5,FALSE)</f>
        <v>Male</v>
      </c>
      <c r="D495" s="5">
        <f>VLOOKUP(globalfreelancepreprocesseddata!A495,worksheet!A:P,6,FALSE)</f>
        <v>55</v>
      </c>
      <c r="E495" s="5" t="str">
        <f>VLOOKUP(globalfreelancepreprocesseddata!A495,worksheet!A:P,7,FALSE)</f>
        <v>Canada</v>
      </c>
      <c r="F495" s="5" t="str">
        <f>VLOOKUP(globalfreelancepreprocesseddata!A495,worksheet!A:P,8,FALSE)</f>
        <v>English</v>
      </c>
      <c r="G495" s="5" t="str">
        <f>VLOOKUP(globalfreelancepreprocesseddata!A495,worksheet!A:P,9,FALSE)</f>
        <v>UI/UX Design</v>
      </c>
      <c r="H495" s="5">
        <f>VLOOKUP(globalfreelancepreprocesseddata!A495,worksheet!A:P,10,FALSE)</f>
        <v>10</v>
      </c>
      <c r="I495" s="6">
        <f>VLOOKUP(globalfreelancepreprocesseddata!A495,worksheet!A:P,12,FALSE)</f>
        <v>40</v>
      </c>
      <c r="J495" s="5">
        <f>VLOOKUP(globalfreelancepreprocesseddata!A495,worksheet!A:P,13,FALSE)</f>
        <v>2</v>
      </c>
      <c r="K495" s="5">
        <f>VLOOKUP(globalfreelancepreprocesseddata!A495,worksheet!A:P,14,FALSE)</f>
        <v>1</v>
      </c>
      <c r="L495" s="7">
        <f>VLOOKUP(globalfreelancepreprocesseddata!A495,worksheet!A:P,16,FALSE)</f>
        <v>0.85</v>
      </c>
    </row>
    <row r="496" spans="1:12" x14ac:dyDescent="0.35">
      <c r="A496" s="5" t="s">
        <v>1064</v>
      </c>
      <c r="B496" s="5" t="str">
        <f>VLOOKUP(globalfreelancepreprocesseddata!A496,worksheet!A:P,3,FALSE)</f>
        <v>Emily Horton</v>
      </c>
      <c r="C496" s="5" t="str">
        <f>VLOOKUP(globalfreelancepreprocesseddata!A496,worksheet!A:P,5,FALSE)</f>
        <v>Female</v>
      </c>
      <c r="D496" s="5">
        <f>VLOOKUP(globalfreelancepreprocesseddata!A496,worksheet!A:P,6,FALSE)</f>
        <v>33</v>
      </c>
      <c r="E496" s="5" t="str">
        <f>VLOOKUP(globalfreelancepreprocesseddata!A496,worksheet!A:P,7,FALSE)</f>
        <v>South Korea</v>
      </c>
      <c r="F496" s="5" t="str">
        <f>VLOOKUP(globalfreelancepreprocesseddata!A496,worksheet!A:P,8,FALSE)</f>
        <v>Korean</v>
      </c>
      <c r="G496" s="5" t="str">
        <f>VLOOKUP(globalfreelancepreprocesseddata!A496,worksheet!A:P,9,FALSE)</f>
        <v>Graphic Design</v>
      </c>
      <c r="H496" s="5">
        <f>VLOOKUP(globalfreelancepreprocesseddata!A496,worksheet!A:P,10,FALSE)</f>
        <v>3</v>
      </c>
      <c r="I496" s="6">
        <f>VLOOKUP(globalfreelancepreprocesseddata!A496,worksheet!A:P,12,FALSE)</f>
        <v>40</v>
      </c>
      <c r="J496" s="5">
        <f>VLOOKUP(globalfreelancepreprocesseddata!A496,worksheet!A:P,13,FALSE)</f>
        <v>1.6</v>
      </c>
      <c r="K496" s="5">
        <f>VLOOKUP(globalfreelancepreprocesseddata!A496,worksheet!A:P,14,FALSE)</f>
        <v>1</v>
      </c>
      <c r="L496" s="7">
        <f>VLOOKUP(globalfreelancepreprocesseddata!A496,worksheet!A:P,16,FALSE)</f>
        <v>0.83</v>
      </c>
    </row>
    <row r="497" spans="1:12" x14ac:dyDescent="0.35">
      <c r="A497" s="5" t="s">
        <v>1066</v>
      </c>
      <c r="B497" s="5" t="str">
        <f>VLOOKUP(globalfreelancepreprocesseddata!A497,worksheet!A:P,3,FALSE)</f>
        <v>Lance Lester</v>
      </c>
      <c r="C497" s="5" t="str">
        <f>VLOOKUP(globalfreelancepreprocesseddata!A497,worksheet!A:P,5,FALSE)</f>
        <v>Male</v>
      </c>
      <c r="D497" s="5">
        <f>VLOOKUP(globalfreelancepreprocesseddata!A497,worksheet!A:P,6,FALSE)</f>
        <v>32</v>
      </c>
      <c r="E497" s="5" t="str">
        <f>VLOOKUP(globalfreelancepreprocesseddata!A497,worksheet!A:P,7,FALSE)</f>
        <v>Argentina</v>
      </c>
      <c r="F497" s="5" t="str">
        <f>VLOOKUP(globalfreelancepreprocesseddata!A497,worksheet!A:P,8,FALSE)</f>
        <v>Spanish</v>
      </c>
      <c r="G497" s="5" t="str">
        <f>VLOOKUP(globalfreelancepreprocesseddata!A497,worksheet!A:P,9,FALSE)</f>
        <v>AI</v>
      </c>
      <c r="H497" s="5">
        <f>VLOOKUP(globalfreelancepreprocesseddata!A497,worksheet!A:P,10,FALSE)</f>
        <v>3</v>
      </c>
      <c r="I497" s="6">
        <f>VLOOKUP(globalfreelancepreprocesseddata!A497,worksheet!A:P,12,FALSE)</f>
        <v>30</v>
      </c>
      <c r="J497" s="5">
        <f>VLOOKUP(globalfreelancepreprocesseddata!A497,worksheet!A:P,13,FALSE)</f>
        <v>1.5</v>
      </c>
      <c r="K497" s="5">
        <f>VLOOKUP(globalfreelancepreprocesseddata!A497,worksheet!A:P,14,FALSE)</f>
        <v>0</v>
      </c>
      <c r="L497" s="7">
        <f>VLOOKUP(globalfreelancepreprocesseddata!A497,worksheet!A:P,16,FALSE)</f>
        <v>0.96</v>
      </c>
    </row>
    <row r="498" spans="1:12" x14ac:dyDescent="0.35">
      <c r="A498" s="5" t="s">
        <v>1068</v>
      </c>
      <c r="B498" s="5" t="str">
        <f>VLOOKUP(globalfreelancepreprocesseddata!A498,worksheet!A:P,3,FALSE)</f>
        <v>Kevin Flores</v>
      </c>
      <c r="C498" s="5" t="str">
        <f>VLOOKUP(globalfreelancepreprocesseddata!A498,worksheet!A:P,5,FALSE)</f>
        <v>Male</v>
      </c>
      <c r="D498" s="5">
        <f>VLOOKUP(globalfreelancepreprocesseddata!A498,worksheet!A:P,6,FALSE)</f>
        <v>58</v>
      </c>
      <c r="E498" s="5" t="str">
        <f>VLOOKUP(globalfreelancepreprocesseddata!A498,worksheet!A:P,7,FALSE)</f>
        <v>Netherlands</v>
      </c>
      <c r="F498" s="5" t="str">
        <f>VLOOKUP(globalfreelancepreprocesseddata!A498,worksheet!A:P,8,FALSE)</f>
        <v>Dutch</v>
      </c>
      <c r="G498" s="5" t="str">
        <f>VLOOKUP(globalfreelancepreprocesseddata!A498,worksheet!A:P,9,FALSE)</f>
        <v>Blockchain Development</v>
      </c>
      <c r="H498" s="5">
        <f>VLOOKUP(globalfreelancepreprocesseddata!A498,worksheet!A:P,10,FALSE)</f>
        <v>33</v>
      </c>
      <c r="I498" s="6">
        <f>VLOOKUP(globalfreelancepreprocesseddata!A498,worksheet!A:P,12,FALSE)</f>
        <v>40</v>
      </c>
      <c r="J498" s="5">
        <f>VLOOKUP(globalfreelancepreprocesseddata!A498,worksheet!A:P,13,FALSE)</f>
        <v>4.0999999999999996</v>
      </c>
      <c r="K498" s="5">
        <f>VLOOKUP(globalfreelancepreprocesseddata!A498,worksheet!A:P,14,FALSE)</f>
        <v>1</v>
      </c>
      <c r="L498" s="7">
        <f>VLOOKUP(globalfreelancepreprocesseddata!A498,worksheet!A:P,16,FALSE)</f>
        <v>0.83</v>
      </c>
    </row>
    <row r="499" spans="1:12" x14ac:dyDescent="0.35">
      <c r="A499" s="5" t="s">
        <v>1070</v>
      </c>
      <c r="B499" s="5" t="str">
        <f>VLOOKUP(globalfreelancepreprocesseddata!A499,worksheet!A:P,3,FALSE)</f>
        <v>Aaron Stewart Phd</v>
      </c>
      <c r="C499" s="5" t="str">
        <f>VLOOKUP(globalfreelancepreprocesseddata!A499,worksheet!A:P,5,FALSE)</f>
        <v>Male</v>
      </c>
      <c r="D499" s="5">
        <f>VLOOKUP(globalfreelancepreprocesseddata!A499,worksheet!A:P,6,FALSE)</f>
        <v>49</v>
      </c>
      <c r="E499" s="5" t="str">
        <f>VLOOKUP(globalfreelancepreprocesseddata!A499,worksheet!A:P,7,FALSE)</f>
        <v>Indonesia</v>
      </c>
      <c r="F499" s="5" t="str">
        <f>VLOOKUP(globalfreelancepreprocesseddata!A499,worksheet!A:P,8,FALSE)</f>
        <v>Indonesian</v>
      </c>
      <c r="G499" s="5" t="str">
        <f>VLOOKUP(globalfreelancepreprocesseddata!A499,worksheet!A:P,9,FALSE)</f>
        <v>Data Analysis</v>
      </c>
      <c r="H499" s="5">
        <f>VLOOKUP(globalfreelancepreprocesseddata!A499,worksheet!A:P,10,FALSE)</f>
        <v>24</v>
      </c>
      <c r="I499" s="6">
        <f>VLOOKUP(globalfreelancepreprocesseddata!A499,worksheet!A:P,12,FALSE)</f>
        <v>100</v>
      </c>
      <c r="J499" s="5">
        <f>VLOOKUP(globalfreelancepreprocesseddata!A499,worksheet!A:P,13,FALSE)</f>
        <v>4.7</v>
      </c>
      <c r="K499" s="5">
        <f>VLOOKUP(globalfreelancepreprocesseddata!A499,worksheet!A:P,14,FALSE)</f>
        <v>0</v>
      </c>
      <c r="L499" s="7">
        <f>VLOOKUP(globalfreelancepreprocesseddata!A499,worksheet!A:P,16,FALSE)</f>
        <v>0.6</v>
      </c>
    </row>
    <row r="500" spans="1:12" x14ac:dyDescent="0.35">
      <c r="A500" s="5" t="s">
        <v>1072</v>
      </c>
      <c r="B500" s="5" t="str">
        <f>VLOOKUP(globalfreelancepreprocesseddata!A500,worksheet!A:P,3,FALSE)</f>
        <v>Robin Moore</v>
      </c>
      <c r="C500" s="5" t="str">
        <f>VLOOKUP(globalfreelancepreprocesseddata!A500,worksheet!A:P,5,FALSE)</f>
        <v>Female</v>
      </c>
      <c r="D500" s="5">
        <f>VLOOKUP(globalfreelancepreprocesseddata!A500,worksheet!A:P,6,FALSE)</f>
        <v>22</v>
      </c>
      <c r="E500" s="5" t="str">
        <f>VLOOKUP(globalfreelancepreprocesseddata!A500,worksheet!A:P,7,FALSE)</f>
        <v>Russia</v>
      </c>
      <c r="F500" s="5" t="str">
        <f>VLOOKUP(globalfreelancepreprocesseddata!A500,worksheet!A:P,8,FALSE)</f>
        <v>Russian</v>
      </c>
      <c r="G500" s="5" t="str">
        <f>VLOOKUP(globalfreelancepreprocesseddata!A500,worksheet!A:P,9,FALSE)</f>
        <v>UI/UX Design</v>
      </c>
      <c r="H500" s="5">
        <f>VLOOKUP(globalfreelancepreprocesseddata!A500,worksheet!A:P,10,FALSE)</f>
        <v>3</v>
      </c>
      <c r="I500" s="6" t="str">
        <f>VLOOKUP(globalfreelancepreprocesseddata!A500,worksheet!A:P,12,FALSE)</f>
        <v>$ 100</v>
      </c>
      <c r="J500" s="5">
        <f>VLOOKUP(globalfreelancepreprocesseddata!A500,worksheet!A:P,13,FALSE)</f>
        <v>3.6</v>
      </c>
      <c r="K500" s="5">
        <f>VLOOKUP(globalfreelancepreprocesseddata!A500,worksheet!A:P,14,FALSE)</f>
        <v>1</v>
      </c>
      <c r="L500" s="7">
        <f>VLOOKUP(globalfreelancepreprocesseddata!A500,worksheet!A:P,16,FALSE)</f>
        <v>0.78</v>
      </c>
    </row>
    <row r="501" spans="1:12" x14ac:dyDescent="0.35">
      <c r="A501" s="5" t="s">
        <v>1074</v>
      </c>
      <c r="B501" s="5" t="str">
        <f>VLOOKUP(globalfreelancepreprocesseddata!A501,worksheet!A:P,3,FALSE)</f>
        <v>Suzanne Ingram</v>
      </c>
      <c r="C501" s="5" t="str">
        <f>VLOOKUP(globalfreelancepreprocesseddata!A501,worksheet!A:P,5,FALSE)</f>
        <v>Female</v>
      </c>
      <c r="D501" s="5">
        <f>VLOOKUP(globalfreelancepreprocesseddata!A501,worksheet!A:P,6,FALSE)</f>
        <v>40</v>
      </c>
      <c r="E501" s="5" t="str">
        <f>VLOOKUP(globalfreelancepreprocesseddata!A501,worksheet!A:P,7,FALSE)</f>
        <v>Egypt</v>
      </c>
      <c r="F501" s="5" t="str">
        <f>VLOOKUP(globalfreelancepreprocesseddata!A501,worksheet!A:P,8,FALSE)</f>
        <v>Arabic</v>
      </c>
      <c r="G501" s="5" t="str">
        <f>VLOOKUP(globalfreelancepreprocesseddata!A501,worksheet!A:P,9,FALSE)</f>
        <v>Web Development</v>
      </c>
      <c r="H501" s="5">
        <f>VLOOKUP(globalfreelancepreprocesseddata!A501,worksheet!A:P,10,FALSE)</f>
        <v>11</v>
      </c>
      <c r="I501" s="6">
        <f>VLOOKUP(globalfreelancepreprocesseddata!A501,worksheet!A:P,12,FALSE)</f>
        <v>20</v>
      </c>
      <c r="J501" s="5">
        <f>VLOOKUP(globalfreelancepreprocesseddata!A501,worksheet!A:P,13,FALSE)</f>
        <v>1.8</v>
      </c>
      <c r="K501" s="5">
        <f>VLOOKUP(globalfreelancepreprocesseddata!A501,worksheet!A:P,14,FALSE)</f>
        <v>1</v>
      </c>
      <c r="L501" s="7">
        <f>VLOOKUP(globalfreelancepreprocesseddata!A501,worksheet!A:P,16,FALSE)</f>
        <v>0.9</v>
      </c>
    </row>
    <row r="502" spans="1:12" x14ac:dyDescent="0.35">
      <c r="A502" s="5" t="s">
        <v>1076</v>
      </c>
      <c r="B502" s="5" t="str">
        <f>VLOOKUP(globalfreelancepreprocesseddata!A502,worksheet!A:P,3,FALSE)</f>
        <v>Jacob Mclaughlin</v>
      </c>
      <c r="C502" s="5" t="str">
        <f>VLOOKUP(globalfreelancepreprocesseddata!A502,worksheet!A:P,5,FALSE)</f>
        <v>Male</v>
      </c>
      <c r="D502" s="5">
        <f>VLOOKUP(globalfreelancepreprocesseddata!A502,worksheet!A:P,6,FALSE)</f>
        <v>55</v>
      </c>
      <c r="E502" s="5" t="str">
        <f>VLOOKUP(globalfreelancepreprocesseddata!A502,worksheet!A:P,7,FALSE)</f>
        <v>Australia</v>
      </c>
      <c r="F502" s="5" t="str">
        <f>VLOOKUP(globalfreelancepreprocesseddata!A502,worksheet!A:P,8,FALSE)</f>
        <v>English</v>
      </c>
      <c r="G502" s="5" t="str">
        <f>VLOOKUP(globalfreelancepreprocesseddata!A502,worksheet!A:P,9,FALSE)</f>
        <v>Data Analysis</v>
      </c>
      <c r="H502" s="5">
        <f>VLOOKUP(globalfreelancepreprocesseddata!A502,worksheet!A:P,10,FALSE)</f>
        <v>7</v>
      </c>
      <c r="I502" s="6" t="str">
        <f>VLOOKUP(globalfreelancepreprocesseddata!A502,worksheet!A:P,12,FALSE)</f>
        <v>$ 100</v>
      </c>
      <c r="J502" s="5">
        <f>VLOOKUP(globalfreelancepreprocesseddata!A502,worksheet!A:P,13,FALSE)</f>
        <v>2.1</v>
      </c>
      <c r="K502" s="5">
        <f>VLOOKUP(globalfreelancepreprocesseddata!A502,worksheet!A:P,14,FALSE)</f>
        <v>0</v>
      </c>
      <c r="L502" s="7">
        <f>VLOOKUP(globalfreelancepreprocesseddata!A502,worksheet!A:P,16,FALSE)</f>
        <v>0.66</v>
      </c>
    </row>
    <row r="503" spans="1:12" x14ac:dyDescent="0.35">
      <c r="A503" s="5" t="s">
        <v>1078</v>
      </c>
      <c r="B503" s="5" t="str">
        <f>VLOOKUP(globalfreelancepreprocesseddata!A503,worksheet!A:P,3,FALSE)</f>
        <v>Michael Nunez</v>
      </c>
      <c r="C503" s="5" t="str">
        <f>VLOOKUP(globalfreelancepreprocesseddata!A503,worksheet!A:P,5,FALSE)</f>
        <v>Male</v>
      </c>
      <c r="D503" s="5">
        <f>VLOOKUP(globalfreelancepreprocesseddata!A503,worksheet!A:P,6,FALSE)</f>
        <v>32</v>
      </c>
      <c r="E503" s="5" t="str">
        <f>VLOOKUP(globalfreelancepreprocesseddata!A503,worksheet!A:P,7,FALSE)</f>
        <v>Mexico</v>
      </c>
      <c r="F503" s="5" t="str">
        <f>VLOOKUP(globalfreelancepreprocesseddata!A503,worksheet!A:P,8,FALSE)</f>
        <v>Spanish</v>
      </c>
      <c r="G503" s="5" t="str">
        <f>VLOOKUP(globalfreelancepreprocesseddata!A503,worksheet!A:P,9,FALSE)</f>
        <v>DevOps</v>
      </c>
      <c r="H503" s="5">
        <f>VLOOKUP(globalfreelancepreprocesseddata!A503,worksheet!A:P,10,FALSE)</f>
        <v>1</v>
      </c>
      <c r="I503" s="6">
        <f>VLOOKUP(globalfreelancepreprocesseddata!A503,worksheet!A:P,12,FALSE)</f>
        <v>50</v>
      </c>
      <c r="J503" s="5">
        <f>VLOOKUP(globalfreelancepreprocesseddata!A503,worksheet!A:P,13,FALSE)</f>
        <v>3</v>
      </c>
      <c r="K503" s="5">
        <f>VLOOKUP(globalfreelancepreprocesseddata!A503,worksheet!A:P,14,FALSE)</f>
        <v>1</v>
      </c>
      <c r="L503" s="7">
        <f>VLOOKUP(globalfreelancepreprocesseddata!A503,worksheet!A:P,16,FALSE)</f>
        <v>0.7</v>
      </c>
    </row>
    <row r="504" spans="1:12" x14ac:dyDescent="0.35">
      <c r="A504" s="5" t="s">
        <v>1080</v>
      </c>
      <c r="B504" s="5" t="str">
        <f>VLOOKUP(globalfreelancepreprocesseddata!A504,worksheet!A:P,3,FALSE)</f>
        <v>Isabel Brown</v>
      </c>
      <c r="C504" s="5" t="str">
        <f>VLOOKUP(globalfreelancepreprocesseddata!A504,worksheet!A:P,5,FALSE)</f>
        <v>Female</v>
      </c>
      <c r="D504" s="5">
        <f>VLOOKUP(globalfreelancepreprocesseddata!A504,worksheet!A:P,6,FALSE)</f>
        <v>21</v>
      </c>
      <c r="E504" s="5" t="str">
        <f>VLOOKUP(globalfreelancepreprocesseddata!A504,worksheet!A:P,7,FALSE)</f>
        <v>Japan</v>
      </c>
      <c r="F504" s="5" t="str">
        <f>VLOOKUP(globalfreelancepreprocesseddata!A504,worksheet!A:P,8,FALSE)</f>
        <v>Japanese</v>
      </c>
      <c r="G504" s="5" t="str">
        <f>VLOOKUP(globalfreelancepreprocesseddata!A504,worksheet!A:P,9,FALSE)</f>
        <v>UI/UX Design</v>
      </c>
      <c r="H504" s="5">
        <f>VLOOKUP(globalfreelancepreprocesseddata!A504,worksheet!A:P,10,FALSE)</f>
        <v>11</v>
      </c>
      <c r="I504" s="6" t="str">
        <f>VLOOKUP(globalfreelancepreprocesseddata!A504,worksheet!A:P,12,FALSE)</f>
        <v>$ 30</v>
      </c>
      <c r="J504" s="5">
        <f>VLOOKUP(globalfreelancepreprocesseddata!A504,worksheet!A:P,13,FALSE)</f>
        <v>4.2</v>
      </c>
      <c r="K504" s="5">
        <f>VLOOKUP(globalfreelancepreprocesseddata!A504,worksheet!A:P,14,FALSE)</f>
        <v>1</v>
      </c>
      <c r="L504" s="7">
        <f>VLOOKUP(globalfreelancepreprocesseddata!A504,worksheet!A:P,16,FALSE)</f>
        <v>0.79</v>
      </c>
    </row>
    <row r="505" spans="1:12" x14ac:dyDescent="0.35">
      <c r="A505" s="5" t="s">
        <v>1082</v>
      </c>
      <c r="B505" s="5" t="str">
        <f>VLOOKUP(globalfreelancepreprocesseddata!A505,worksheet!A:P,3,FALSE)</f>
        <v>Michael Stein</v>
      </c>
      <c r="C505" s="5" t="str">
        <f>VLOOKUP(globalfreelancepreprocesseddata!A505,worksheet!A:P,5,FALSE)</f>
        <v>Male</v>
      </c>
      <c r="D505" s="5">
        <f>VLOOKUP(globalfreelancepreprocesseddata!A505,worksheet!A:P,6,FALSE)</f>
        <v>23</v>
      </c>
      <c r="E505" s="5" t="str">
        <f>VLOOKUP(globalfreelancepreprocesseddata!A505,worksheet!A:P,7,FALSE)</f>
        <v>South Korea</v>
      </c>
      <c r="F505" s="5" t="str">
        <f>VLOOKUP(globalfreelancepreprocesseddata!A505,worksheet!A:P,8,FALSE)</f>
        <v>Korean</v>
      </c>
      <c r="G505" s="5" t="str">
        <f>VLOOKUP(globalfreelancepreprocesseddata!A505,worksheet!A:P,9,FALSE)</f>
        <v>Blockchain Development</v>
      </c>
      <c r="H505" s="5">
        <f>VLOOKUP(globalfreelancepreprocesseddata!A505,worksheet!A:P,10,FALSE)</f>
        <v>1</v>
      </c>
      <c r="I505" s="6">
        <f>VLOOKUP(globalfreelancepreprocesseddata!A505,worksheet!A:P,12,FALSE)</f>
        <v>40</v>
      </c>
      <c r="J505" s="5">
        <f>VLOOKUP(globalfreelancepreprocesseddata!A505,worksheet!A:P,13,FALSE)</f>
        <v>0</v>
      </c>
      <c r="K505" s="5">
        <f>VLOOKUP(globalfreelancepreprocesseddata!A505,worksheet!A:P,14,FALSE)</f>
        <v>0</v>
      </c>
      <c r="L505" s="7">
        <f>VLOOKUP(globalfreelancepreprocesseddata!A505,worksheet!A:P,16,FALSE)</f>
        <v>0.64</v>
      </c>
    </row>
    <row r="506" spans="1:12" x14ac:dyDescent="0.35">
      <c r="A506" s="5" t="s">
        <v>1084</v>
      </c>
      <c r="B506" s="5" t="str">
        <f>VLOOKUP(globalfreelancepreprocesseddata!A506,worksheet!A:P,3,FALSE)</f>
        <v>Robert Stone</v>
      </c>
      <c r="C506" s="5" t="str">
        <f>VLOOKUP(globalfreelancepreprocesseddata!A506,worksheet!A:P,5,FALSE)</f>
        <v>Male</v>
      </c>
      <c r="D506" s="5">
        <f>VLOOKUP(globalfreelancepreprocesseddata!A506,worksheet!A:P,6,FALSE)</f>
        <v>21</v>
      </c>
      <c r="E506" s="5" t="str">
        <f>VLOOKUP(globalfreelancepreprocesseddata!A506,worksheet!A:P,7,FALSE)</f>
        <v>United Kingdom</v>
      </c>
      <c r="F506" s="5" t="str">
        <f>VLOOKUP(globalfreelancepreprocesseddata!A506,worksheet!A:P,8,FALSE)</f>
        <v>English</v>
      </c>
      <c r="G506" s="5" t="str">
        <f>VLOOKUP(globalfreelancepreprocesseddata!A506,worksheet!A:P,9,FALSE)</f>
        <v>Mobile Apps</v>
      </c>
      <c r="H506" s="5">
        <f>VLOOKUP(globalfreelancepreprocesseddata!A506,worksheet!A:P,10,FALSE)</f>
        <v>1</v>
      </c>
      <c r="I506" s="6" t="str">
        <f>VLOOKUP(globalfreelancepreprocesseddata!A506,worksheet!A:P,12,FALSE)</f>
        <v>$ 30</v>
      </c>
      <c r="J506" s="5">
        <f>VLOOKUP(globalfreelancepreprocesseddata!A506,worksheet!A:P,13,FALSE)</f>
        <v>1</v>
      </c>
      <c r="K506" s="5">
        <f>VLOOKUP(globalfreelancepreprocesseddata!A506,worksheet!A:P,14,FALSE)</f>
        <v>0</v>
      </c>
      <c r="L506" s="7">
        <f>VLOOKUP(globalfreelancepreprocesseddata!A506,worksheet!A:P,16,FALSE)</f>
        <v>0.81</v>
      </c>
    </row>
    <row r="507" spans="1:12" x14ac:dyDescent="0.35">
      <c r="A507" s="5" t="s">
        <v>1086</v>
      </c>
      <c r="B507" s="5" t="str">
        <f>VLOOKUP(globalfreelancepreprocesseddata!A507,worksheet!A:P,3,FALSE)</f>
        <v>Dillon Henry</v>
      </c>
      <c r="C507" s="5" t="str">
        <f>VLOOKUP(globalfreelancepreprocesseddata!A507,worksheet!A:P,5,FALSE)</f>
        <v>Male</v>
      </c>
      <c r="D507" s="5">
        <f>VLOOKUP(globalfreelancepreprocesseddata!A507,worksheet!A:P,6,FALSE)</f>
        <v>31</v>
      </c>
      <c r="E507" s="5" t="str">
        <f>VLOOKUP(globalfreelancepreprocesseddata!A507,worksheet!A:P,7,FALSE)</f>
        <v>Argentina</v>
      </c>
      <c r="F507" s="5" t="str">
        <f>VLOOKUP(globalfreelancepreprocesseddata!A507,worksheet!A:P,8,FALSE)</f>
        <v>Spanish</v>
      </c>
      <c r="G507" s="5" t="str">
        <f>VLOOKUP(globalfreelancepreprocesseddata!A507,worksheet!A:P,9,FALSE)</f>
        <v>AI</v>
      </c>
      <c r="H507" s="5">
        <f>VLOOKUP(globalfreelancepreprocesseddata!A507,worksheet!A:P,10,FALSE)</f>
        <v>7</v>
      </c>
      <c r="I507" s="6">
        <f>VLOOKUP(globalfreelancepreprocesseddata!A507,worksheet!A:P,12,FALSE)</f>
        <v>75</v>
      </c>
      <c r="J507" s="5">
        <f>VLOOKUP(globalfreelancepreprocesseddata!A507,worksheet!A:P,13,FALSE)</f>
        <v>4.4000000000000004</v>
      </c>
      <c r="K507" s="5">
        <f>VLOOKUP(globalfreelancepreprocesseddata!A507,worksheet!A:P,14,FALSE)</f>
        <v>0</v>
      </c>
      <c r="L507" s="7">
        <f>VLOOKUP(globalfreelancepreprocesseddata!A507,worksheet!A:P,16,FALSE)</f>
        <v>0.83</v>
      </c>
    </row>
    <row r="508" spans="1:12" x14ac:dyDescent="0.35">
      <c r="A508" s="5" t="s">
        <v>1088</v>
      </c>
      <c r="B508" s="5" t="str">
        <f>VLOOKUP(globalfreelancepreprocesseddata!A508,worksheet!A:P,3,FALSE)</f>
        <v>James Todd</v>
      </c>
      <c r="C508" s="5" t="str">
        <f>VLOOKUP(globalfreelancepreprocesseddata!A508,worksheet!A:P,5,FALSE)</f>
        <v>Male</v>
      </c>
      <c r="D508" s="5">
        <f>VLOOKUP(globalfreelancepreprocesseddata!A508,worksheet!A:P,6,FALSE)</f>
        <v>21</v>
      </c>
      <c r="E508" s="5" t="str">
        <f>VLOOKUP(globalfreelancepreprocesseddata!A508,worksheet!A:P,7,FALSE)</f>
        <v>Mexico</v>
      </c>
      <c r="F508" s="5" t="str">
        <f>VLOOKUP(globalfreelancepreprocesseddata!A508,worksheet!A:P,8,FALSE)</f>
        <v>Spanish</v>
      </c>
      <c r="G508" s="5" t="str">
        <f>VLOOKUP(globalfreelancepreprocesseddata!A508,worksheet!A:P,9,FALSE)</f>
        <v>Blockchain Development</v>
      </c>
      <c r="H508" s="5">
        <f>VLOOKUP(globalfreelancepreprocesseddata!A508,worksheet!A:P,10,FALSE)</f>
        <v>11</v>
      </c>
      <c r="I508" s="6">
        <f>VLOOKUP(globalfreelancepreprocesseddata!A508,worksheet!A:P,12,FALSE)</f>
        <v>40</v>
      </c>
      <c r="J508" s="5">
        <f>VLOOKUP(globalfreelancepreprocesseddata!A508,worksheet!A:P,13,FALSE)</f>
        <v>4</v>
      </c>
      <c r="K508" s="5">
        <f>VLOOKUP(globalfreelancepreprocesseddata!A508,worksheet!A:P,14,FALSE)</f>
        <v>0</v>
      </c>
      <c r="L508" s="7">
        <f>VLOOKUP(globalfreelancepreprocesseddata!A508,worksheet!A:P,16,FALSE)</f>
        <v>0.91</v>
      </c>
    </row>
    <row r="509" spans="1:12" x14ac:dyDescent="0.35">
      <c r="A509" s="5" t="s">
        <v>1090</v>
      </c>
      <c r="B509" s="5" t="str">
        <f>VLOOKUP(globalfreelancepreprocesseddata!A509,worksheet!A:P,3,FALSE)</f>
        <v>Clifford Moore Md</v>
      </c>
      <c r="C509" s="5" t="str">
        <f>VLOOKUP(globalfreelancepreprocesseddata!A509,worksheet!A:P,5,FALSE)</f>
        <v>Male</v>
      </c>
      <c r="D509" s="5">
        <f>VLOOKUP(globalfreelancepreprocesseddata!A509,worksheet!A:P,6,FALSE)</f>
        <v>33</v>
      </c>
      <c r="E509" s="5" t="str">
        <f>VLOOKUP(globalfreelancepreprocesseddata!A509,worksheet!A:P,7,FALSE)</f>
        <v>United Kingdom</v>
      </c>
      <c r="F509" s="5" t="str">
        <f>VLOOKUP(globalfreelancepreprocesseddata!A509,worksheet!A:P,8,FALSE)</f>
        <v>English</v>
      </c>
      <c r="G509" s="5" t="str">
        <f>VLOOKUP(globalfreelancepreprocesseddata!A509,worksheet!A:P,9,FALSE)</f>
        <v>Cybersecurity</v>
      </c>
      <c r="H509" s="5">
        <f>VLOOKUP(globalfreelancepreprocesseddata!A509,worksheet!A:P,10,FALSE)</f>
        <v>6</v>
      </c>
      <c r="I509" s="6" t="str">
        <f>VLOOKUP(globalfreelancepreprocesseddata!A509,worksheet!A:P,12,FALSE)</f>
        <v>$ 50</v>
      </c>
      <c r="J509" s="5">
        <f>VLOOKUP(globalfreelancepreprocesseddata!A509,worksheet!A:P,13,FALSE)</f>
        <v>3.1</v>
      </c>
      <c r="K509" s="5">
        <f>VLOOKUP(globalfreelancepreprocesseddata!A509,worksheet!A:P,14,FALSE)</f>
        <v>0</v>
      </c>
      <c r="L509" s="7">
        <f>VLOOKUP(globalfreelancepreprocesseddata!A509,worksheet!A:P,16,FALSE)</f>
        <v>0.16</v>
      </c>
    </row>
    <row r="510" spans="1:12" x14ac:dyDescent="0.35">
      <c r="A510" s="5" t="s">
        <v>1092</v>
      </c>
      <c r="B510" s="5" t="str">
        <f>VLOOKUP(globalfreelancepreprocesseddata!A510,worksheet!A:P,3,FALSE)</f>
        <v>John Rios</v>
      </c>
      <c r="C510" s="5" t="str">
        <f>VLOOKUP(globalfreelancepreprocesseddata!A510,worksheet!A:P,5,FALSE)</f>
        <v>Male</v>
      </c>
      <c r="D510" s="5">
        <f>VLOOKUP(globalfreelancepreprocesseddata!A510,worksheet!A:P,6,FALSE)</f>
        <v>57</v>
      </c>
      <c r="E510" s="5" t="str">
        <f>VLOOKUP(globalfreelancepreprocesseddata!A510,worksheet!A:P,7,FALSE)</f>
        <v>Brazil</v>
      </c>
      <c r="F510" s="5" t="str">
        <f>VLOOKUP(globalfreelancepreprocesseddata!A510,worksheet!A:P,8,FALSE)</f>
        <v>Portuguese</v>
      </c>
      <c r="G510" s="5" t="str">
        <f>VLOOKUP(globalfreelancepreprocesseddata!A510,worksheet!A:P,9,FALSE)</f>
        <v>Web Development</v>
      </c>
      <c r="H510" s="5">
        <f>VLOOKUP(globalfreelancepreprocesseddata!A510,worksheet!A:P,10,FALSE)</f>
        <v>5</v>
      </c>
      <c r="I510" s="6">
        <f>VLOOKUP(globalfreelancepreprocesseddata!A510,worksheet!A:P,12,FALSE)</f>
        <v>75</v>
      </c>
      <c r="J510" s="5">
        <f>VLOOKUP(globalfreelancepreprocesseddata!A510,worksheet!A:P,13,FALSE)</f>
        <v>1.1000000000000001</v>
      </c>
      <c r="K510" s="5">
        <f>VLOOKUP(globalfreelancepreprocesseddata!A510,worksheet!A:P,14,FALSE)</f>
        <v>1</v>
      </c>
      <c r="L510" s="7">
        <f>VLOOKUP(globalfreelancepreprocesseddata!A510,worksheet!A:P,16,FALSE)</f>
        <v>0.77</v>
      </c>
    </row>
    <row r="511" spans="1:12" x14ac:dyDescent="0.35">
      <c r="A511" s="5" t="s">
        <v>1094</v>
      </c>
      <c r="B511" s="5" t="str">
        <f>VLOOKUP(globalfreelancepreprocesseddata!A511,worksheet!A:P,3,FALSE)</f>
        <v>Anthony Gaines</v>
      </c>
      <c r="C511" s="5" t="str">
        <f>VLOOKUP(globalfreelancepreprocesseddata!A511,worksheet!A:P,5,FALSE)</f>
        <v>Male</v>
      </c>
      <c r="D511" s="5">
        <f>VLOOKUP(globalfreelancepreprocesseddata!A511,worksheet!A:P,6,FALSE)</f>
        <v>52</v>
      </c>
      <c r="E511" s="5" t="str">
        <f>VLOOKUP(globalfreelancepreprocesseddata!A511,worksheet!A:P,7,FALSE)</f>
        <v>United States</v>
      </c>
      <c r="F511" s="5" t="str">
        <f>VLOOKUP(globalfreelancepreprocesseddata!A511,worksheet!A:P,8,FALSE)</f>
        <v>English</v>
      </c>
      <c r="G511" s="5" t="str">
        <f>VLOOKUP(globalfreelancepreprocesseddata!A511,worksheet!A:P,9,FALSE)</f>
        <v>DevOps</v>
      </c>
      <c r="H511" s="5">
        <f>VLOOKUP(globalfreelancepreprocesseddata!A511,worksheet!A:P,10,FALSE)</f>
        <v>17</v>
      </c>
      <c r="I511" s="6" t="str">
        <f>VLOOKUP(globalfreelancepreprocesseddata!A511,worksheet!A:P,12,FALSE)</f>
        <v>$ 75</v>
      </c>
      <c r="J511" s="5">
        <f>VLOOKUP(globalfreelancepreprocesseddata!A511,worksheet!A:P,13,FALSE)</f>
        <v>0</v>
      </c>
      <c r="K511" s="5">
        <f>VLOOKUP(globalfreelancepreprocesseddata!A511,worksheet!A:P,14,FALSE)</f>
        <v>0</v>
      </c>
      <c r="L511" s="7">
        <f>VLOOKUP(globalfreelancepreprocesseddata!A511,worksheet!A:P,16,FALSE)</f>
        <v>0.94</v>
      </c>
    </row>
    <row r="512" spans="1:12" x14ac:dyDescent="0.35">
      <c r="A512" s="5" t="s">
        <v>1096</v>
      </c>
      <c r="B512" s="5" t="str">
        <f>VLOOKUP(globalfreelancepreprocesseddata!A512,worksheet!A:P,3,FALSE)</f>
        <v>Kristi Brown Dvm</v>
      </c>
      <c r="C512" s="5" t="str">
        <f>VLOOKUP(globalfreelancepreprocesseddata!A512,worksheet!A:P,5,FALSE)</f>
        <v>Female</v>
      </c>
      <c r="D512" s="5">
        <f>VLOOKUP(globalfreelancepreprocesseddata!A512,worksheet!A:P,6,FALSE)</f>
        <v>21</v>
      </c>
      <c r="E512" s="5" t="str">
        <f>VLOOKUP(globalfreelancepreprocesseddata!A512,worksheet!A:P,7,FALSE)</f>
        <v>Germany</v>
      </c>
      <c r="F512" s="5" t="str">
        <f>VLOOKUP(globalfreelancepreprocesseddata!A512,worksheet!A:P,8,FALSE)</f>
        <v>German</v>
      </c>
      <c r="G512" s="5" t="str">
        <f>VLOOKUP(globalfreelancepreprocesseddata!A512,worksheet!A:P,9,FALSE)</f>
        <v>Web Development</v>
      </c>
      <c r="H512" s="5">
        <f>VLOOKUP(globalfreelancepreprocesseddata!A512,worksheet!A:P,10,FALSE)</f>
        <v>11</v>
      </c>
      <c r="I512" s="6">
        <f>VLOOKUP(globalfreelancepreprocesseddata!A512,worksheet!A:P,12,FALSE)</f>
        <v>20</v>
      </c>
      <c r="J512" s="5">
        <f>VLOOKUP(globalfreelancepreprocesseddata!A512,worksheet!A:P,13,FALSE)</f>
        <v>3.8</v>
      </c>
      <c r="K512" s="5">
        <f>VLOOKUP(globalfreelancepreprocesseddata!A512,worksheet!A:P,14,FALSE)</f>
        <v>1</v>
      </c>
      <c r="L512" s="7">
        <f>VLOOKUP(globalfreelancepreprocesseddata!A512,worksheet!A:P,16,FALSE)</f>
        <v>0.61</v>
      </c>
    </row>
    <row r="513" spans="1:12" x14ac:dyDescent="0.35">
      <c r="A513" s="5" t="s">
        <v>1098</v>
      </c>
      <c r="B513" s="5" t="str">
        <f>VLOOKUP(globalfreelancepreprocesseddata!A513,worksheet!A:P,3,FALSE)</f>
        <v>Ashley Odonnell</v>
      </c>
      <c r="C513" s="5" t="str">
        <f>VLOOKUP(globalfreelancepreprocesseddata!A513,worksheet!A:P,5,FALSE)</f>
        <v>Female</v>
      </c>
      <c r="D513" s="5">
        <f>VLOOKUP(globalfreelancepreprocesseddata!A513,worksheet!A:P,6,FALSE)</f>
        <v>36</v>
      </c>
      <c r="E513" s="5" t="str">
        <f>VLOOKUP(globalfreelancepreprocesseddata!A513,worksheet!A:P,7,FALSE)</f>
        <v>Argentina</v>
      </c>
      <c r="F513" s="5" t="str">
        <f>VLOOKUP(globalfreelancepreprocesseddata!A513,worksheet!A:P,8,FALSE)</f>
        <v>Spanish</v>
      </c>
      <c r="G513" s="5" t="str">
        <f>VLOOKUP(globalfreelancepreprocesseddata!A513,worksheet!A:P,9,FALSE)</f>
        <v>UI/UX Design</v>
      </c>
      <c r="H513" s="5">
        <f>VLOOKUP(globalfreelancepreprocesseddata!A513,worksheet!A:P,10,FALSE)</f>
        <v>8</v>
      </c>
      <c r="I513" s="6">
        <f>VLOOKUP(globalfreelancepreprocesseddata!A513,worksheet!A:P,12,FALSE)</f>
        <v>100</v>
      </c>
      <c r="J513" s="5">
        <f>VLOOKUP(globalfreelancepreprocesseddata!A513,worksheet!A:P,13,FALSE)</f>
        <v>1.7</v>
      </c>
      <c r="K513" s="5">
        <f>VLOOKUP(globalfreelancepreprocesseddata!A513,worksheet!A:P,14,FALSE)</f>
        <v>0</v>
      </c>
      <c r="L513" s="7">
        <f>VLOOKUP(globalfreelancepreprocesseddata!A513,worksheet!A:P,16,FALSE)</f>
        <v>0.68</v>
      </c>
    </row>
    <row r="514" spans="1:12" x14ac:dyDescent="0.35">
      <c r="A514" s="5" t="s">
        <v>1100</v>
      </c>
      <c r="B514" s="5" t="str">
        <f>VLOOKUP(globalfreelancepreprocesseddata!A514,worksheet!A:P,3,FALSE)</f>
        <v>Ronald Elliott</v>
      </c>
      <c r="C514" s="5" t="str">
        <f>VLOOKUP(globalfreelancepreprocesseddata!A514,worksheet!A:P,5,FALSE)</f>
        <v>Male</v>
      </c>
      <c r="D514" s="5">
        <f>VLOOKUP(globalfreelancepreprocesseddata!A514,worksheet!A:P,6,FALSE)</f>
        <v>33</v>
      </c>
      <c r="E514" s="5" t="str">
        <f>VLOOKUP(globalfreelancepreprocesseddata!A514,worksheet!A:P,7,FALSE)</f>
        <v>Spain</v>
      </c>
      <c r="F514" s="5" t="str">
        <f>VLOOKUP(globalfreelancepreprocesseddata!A514,worksheet!A:P,8,FALSE)</f>
        <v>Spanish</v>
      </c>
      <c r="G514" s="5" t="str">
        <f>VLOOKUP(globalfreelancepreprocesseddata!A514,worksheet!A:P,9,FALSE)</f>
        <v>Machine Learning</v>
      </c>
      <c r="H514" s="5">
        <f>VLOOKUP(globalfreelancepreprocesseddata!A514,worksheet!A:P,10,FALSE)</f>
        <v>13</v>
      </c>
      <c r="I514" s="6">
        <f>VLOOKUP(globalfreelancepreprocesseddata!A514,worksheet!A:P,12,FALSE)</f>
        <v>50</v>
      </c>
      <c r="J514" s="5">
        <f>VLOOKUP(globalfreelancepreprocesseddata!A514,worksheet!A:P,13,FALSE)</f>
        <v>2.2000000000000002</v>
      </c>
      <c r="K514" s="5">
        <f>VLOOKUP(globalfreelancepreprocesseddata!A514,worksheet!A:P,14,FALSE)</f>
        <v>0</v>
      </c>
      <c r="L514" s="7">
        <f>VLOOKUP(globalfreelancepreprocesseddata!A514,worksheet!A:P,16,FALSE)</f>
        <v>0.7</v>
      </c>
    </row>
    <row r="515" spans="1:12" x14ac:dyDescent="0.35">
      <c r="A515" s="5" t="s">
        <v>1102</v>
      </c>
      <c r="B515" s="5" t="str">
        <f>VLOOKUP(globalfreelancepreprocesseddata!A515,worksheet!A:P,3,FALSE)</f>
        <v>Lorraine Lowery</v>
      </c>
      <c r="C515" s="5" t="str">
        <f>VLOOKUP(globalfreelancepreprocesseddata!A515,worksheet!A:P,5,FALSE)</f>
        <v>Female</v>
      </c>
      <c r="D515" s="5">
        <f>VLOOKUP(globalfreelancepreprocesseddata!A515,worksheet!A:P,6,FALSE)</f>
        <v>54</v>
      </c>
      <c r="E515" s="5" t="str">
        <f>VLOOKUP(globalfreelancepreprocesseddata!A515,worksheet!A:P,7,FALSE)</f>
        <v>United Kingdom</v>
      </c>
      <c r="F515" s="5" t="str">
        <f>VLOOKUP(globalfreelancepreprocesseddata!A515,worksheet!A:P,8,FALSE)</f>
        <v>English</v>
      </c>
      <c r="G515" s="5" t="str">
        <f>VLOOKUP(globalfreelancepreprocesseddata!A515,worksheet!A:P,9,FALSE)</f>
        <v>Data Analysis</v>
      </c>
      <c r="H515" s="5">
        <f>VLOOKUP(globalfreelancepreprocesseddata!A515,worksheet!A:P,10,FALSE)</f>
        <v>15</v>
      </c>
      <c r="I515" s="6">
        <f>VLOOKUP(globalfreelancepreprocesseddata!A515,worksheet!A:P,12,FALSE)</f>
        <v>40</v>
      </c>
      <c r="J515" s="5">
        <f>VLOOKUP(globalfreelancepreprocesseddata!A515,worksheet!A:P,13,FALSE)</f>
        <v>4.0999999999999996</v>
      </c>
      <c r="K515" s="5">
        <f>VLOOKUP(globalfreelancepreprocesseddata!A515,worksheet!A:P,14,FALSE)</f>
        <v>1</v>
      </c>
      <c r="L515" s="7">
        <f>VLOOKUP(globalfreelancepreprocesseddata!A515,worksheet!A:P,16,FALSE)</f>
        <v>0.71</v>
      </c>
    </row>
    <row r="516" spans="1:12" x14ac:dyDescent="0.35">
      <c r="A516" s="5" t="s">
        <v>1104</v>
      </c>
      <c r="B516" s="5" t="str">
        <f>VLOOKUP(globalfreelancepreprocesseddata!A516,worksheet!A:P,3,FALSE)</f>
        <v>Victoria Chapman</v>
      </c>
      <c r="C516" s="5" t="str">
        <f>VLOOKUP(globalfreelancepreprocesseddata!A516,worksheet!A:P,5,FALSE)</f>
        <v>Female</v>
      </c>
      <c r="D516" s="5">
        <f>VLOOKUP(globalfreelancepreprocesseddata!A516,worksheet!A:P,6,FALSE)</f>
        <v>33</v>
      </c>
      <c r="E516" s="5" t="str">
        <f>VLOOKUP(globalfreelancepreprocesseddata!A516,worksheet!A:P,7,FALSE)</f>
        <v>United States</v>
      </c>
      <c r="F516" s="5" t="str">
        <f>VLOOKUP(globalfreelancepreprocesseddata!A516,worksheet!A:P,8,FALSE)</f>
        <v>English</v>
      </c>
      <c r="G516" s="5" t="str">
        <f>VLOOKUP(globalfreelancepreprocesseddata!A516,worksheet!A:P,9,FALSE)</f>
        <v>Blockchain Development</v>
      </c>
      <c r="H516" s="5">
        <f>VLOOKUP(globalfreelancepreprocesseddata!A516,worksheet!A:P,10,FALSE)</f>
        <v>2</v>
      </c>
      <c r="I516" s="6" t="str">
        <f>VLOOKUP(globalfreelancepreprocesseddata!A516,worksheet!A:P,12,FALSE)</f>
        <v>$ 100</v>
      </c>
      <c r="J516" s="5">
        <f>VLOOKUP(globalfreelancepreprocesseddata!A516,worksheet!A:P,13,FALSE)</f>
        <v>3.8</v>
      </c>
      <c r="K516" s="5">
        <f>VLOOKUP(globalfreelancepreprocesseddata!A516,worksheet!A:P,14,FALSE)</f>
        <v>0</v>
      </c>
      <c r="L516" s="7">
        <f>VLOOKUP(globalfreelancepreprocesseddata!A516,worksheet!A:P,16,FALSE)</f>
        <v>0.16</v>
      </c>
    </row>
    <row r="517" spans="1:12" x14ac:dyDescent="0.35">
      <c r="A517" s="5" t="s">
        <v>1106</v>
      </c>
      <c r="B517" s="5" t="str">
        <f>VLOOKUP(globalfreelancepreprocesseddata!A517,worksheet!A:P,3,FALSE)</f>
        <v>Heather Davis</v>
      </c>
      <c r="C517" s="5" t="str">
        <f>VLOOKUP(globalfreelancepreprocesseddata!A517,worksheet!A:P,5,FALSE)</f>
        <v>Female</v>
      </c>
      <c r="D517" s="5">
        <f>VLOOKUP(globalfreelancepreprocesseddata!A517,worksheet!A:P,6,FALSE)</f>
        <v>36</v>
      </c>
      <c r="E517" s="5" t="str">
        <f>VLOOKUP(globalfreelancepreprocesseddata!A517,worksheet!A:P,7,FALSE)</f>
        <v>Japan</v>
      </c>
      <c r="F517" s="5" t="str">
        <f>VLOOKUP(globalfreelancepreprocesseddata!A517,worksheet!A:P,8,FALSE)</f>
        <v>Japanese</v>
      </c>
      <c r="G517" s="5" t="str">
        <f>VLOOKUP(globalfreelancepreprocesseddata!A517,worksheet!A:P,9,FALSE)</f>
        <v>Machine Learning</v>
      </c>
      <c r="H517" s="5">
        <f>VLOOKUP(globalfreelancepreprocesseddata!A517,worksheet!A:P,10,FALSE)</f>
        <v>9</v>
      </c>
      <c r="I517" s="6">
        <f>VLOOKUP(globalfreelancepreprocesseddata!A517,worksheet!A:P,12,FALSE)</f>
        <v>30</v>
      </c>
      <c r="J517" s="5">
        <f>VLOOKUP(globalfreelancepreprocesseddata!A517,worksheet!A:P,13,FALSE)</f>
        <v>0</v>
      </c>
      <c r="K517" s="5">
        <f>VLOOKUP(globalfreelancepreprocesseddata!A517,worksheet!A:P,14,FALSE)</f>
        <v>1</v>
      </c>
      <c r="L517" s="7">
        <f>VLOOKUP(globalfreelancepreprocesseddata!A517,worksheet!A:P,16,FALSE)</f>
        <v>0.78</v>
      </c>
    </row>
    <row r="518" spans="1:12" x14ac:dyDescent="0.35">
      <c r="A518" s="5" t="s">
        <v>1108</v>
      </c>
      <c r="B518" s="5" t="str">
        <f>VLOOKUP(globalfreelancepreprocesseddata!A518,worksheet!A:P,3,FALSE)</f>
        <v>Diana Chase</v>
      </c>
      <c r="C518" s="5" t="str">
        <f>VLOOKUP(globalfreelancepreprocesseddata!A518,worksheet!A:P,5,FALSE)</f>
        <v>Female</v>
      </c>
      <c r="D518" s="5">
        <f>VLOOKUP(globalfreelancepreprocesseddata!A518,worksheet!A:P,6,FALSE)</f>
        <v>36</v>
      </c>
      <c r="E518" s="5" t="str">
        <f>VLOOKUP(globalfreelancepreprocesseddata!A518,worksheet!A:P,7,FALSE)</f>
        <v>Turkey</v>
      </c>
      <c r="F518" s="5" t="str">
        <f>VLOOKUP(globalfreelancepreprocesseddata!A518,worksheet!A:P,8,FALSE)</f>
        <v>Turkish</v>
      </c>
      <c r="G518" s="5" t="str">
        <f>VLOOKUP(globalfreelancepreprocesseddata!A518,worksheet!A:P,9,FALSE)</f>
        <v>AI</v>
      </c>
      <c r="H518" s="5">
        <f>VLOOKUP(globalfreelancepreprocesseddata!A518,worksheet!A:P,10,FALSE)</f>
        <v>3</v>
      </c>
      <c r="I518" s="6" t="str">
        <f>VLOOKUP(globalfreelancepreprocesseddata!A518,worksheet!A:P,12,FALSE)</f>
        <v>$ 50</v>
      </c>
      <c r="J518" s="5">
        <f>VLOOKUP(globalfreelancepreprocesseddata!A518,worksheet!A:P,13,FALSE)</f>
        <v>0</v>
      </c>
      <c r="K518" s="5">
        <f>VLOOKUP(globalfreelancepreprocesseddata!A518,worksheet!A:P,14,FALSE)</f>
        <v>1</v>
      </c>
      <c r="L518" s="7">
        <f>VLOOKUP(globalfreelancepreprocesseddata!A518,worksheet!A:P,16,FALSE)</f>
        <v>0.75</v>
      </c>
    </row>
    <row r="519" spans="1:12" x14ac:dyDescent="0.35">
      <c r="A519" s="5" t="s">
        <v>1110</v>
      </c>
      <c r="B519" s="5" t="str">
        <f>VLOOKUP(globalfreelancepreprocesseddata!A519,worksheet!A:P,3,FALSE)</f>
        <v>Danielle Adkins</v>
      </c>
      <c r="C519" s="5" t="str">
        <f>VLOOKUP(globalfreelancepreprocesseddata!A519,worksheet!A:P,5,FALSE)</f>
        <v>Female</v>
      </c>
      <c r="D519" s="5">
        <f>VLOOKUP(globalfreelancepreprocesseddata!A519,worksheet!A:P,6,FALSE)</f>
        <v>43</v>
      </c>
      <c r="E519" s="5" t="str">
        <f>VLOOKUP(globalfreelancepreprocesseddata!A519,worksheet!A:P,7,FALSE)</f>
        <v>China</v>
      </c>
      <c r="F519" s="5" t="str">
        <f>VLOOKUP(globalfreelancepreprocesseddata!A519,worksheet!A:P,8,FALSE)</f>
        <v>Mandarin</v>
      </c>
      <c r="G519" s="5" t="str">
        <f>VLOOKUP(globalfreelancepreprocesseddata!A519,worksheet!A:P,9,FALSE)</f>
        <v>AI</v>
      </c>
      <c r="H519" s="5">
        <f>VLOOKUP(globalfreelancepreprocesseddata!A519,worksheet!A:P,10,FALSE)</f>
        <v>15</v>
      </c>
      <c r="I519" s="6">
        <f>VLOOKUP(globalfreelancepreprocesseddata!A519,worksheet!A:P,12,FALSE)</f>
        <v>20</v>
      </c>
      <c r="J519" s="5">
        <f>VLOOKUP(globalfreelancepreprocesseddata!A519,worksheet!A:P,13,FALSE)</f>
        <v>4.2</v>
      </c>
      <c r="K519" s="5">
        <f>VLOOKUP(globalfreelancepreprocesseddata!A519,worksheet!A:P,14,FALSE)</f>
        <v>1</v>
      </c>
      <c r="L519" s="7">
        <f>VLOOKUP(globalfreelancepreprocesseddata!A519,worksheet!A:P,16,FALSE)</f>
        <v>0.91</v>
      </c>
    </row>
    <row r="520" spans="1:12" x14ac:dyDescent="0.35">
      <c r="A520" s="5" t="s">
        <v>1112</v>
      </c>
      <c r="B520" s="5" t="str">
        <f>VLOOKUP(globalfreelancepreprocesseddata!A520,worksheet!A:P,3,FALSE)</f>
        <v>Kenneth Arias</v>
      </c>
      <c r="C520" s="5" t="str">
        <f>VLOOKUP(globalfreelancepreprocesseddata!A520,worksheet!A:P,5,FALSE)</f>
        <v>Male</v>
      </c>
      <c r="D520" s="5">
        <f>VLOOKUP(globalfreelancepreprocesseddata!A520,worksheet!A:P,6,FALSE)</f>
        <v>52</v>
      </c>
      <c r="E520" s="5" t="str">
        <f>VLOOKUP(globalfreelancepreprocesseddata!A520,worksheet!A:P,7,FALSE)</f>
        <v>United Kingdom</v>
      </c>
      <c r="F520" s="5" t="str">
        <f>VLOOKUP(globalfreelancepreprocesseddata!A520,worksheet!A:P,8,FALSE)</f>
        <v>English</v>
      </c>
      <c r="G520" s="5" t="str">
        <f>VLOOKUP(globalfreelancepreprocesseddata!A520,worksheet!A:P,9,FALSE)</f>
        <v>Data Analysis</v>
      </c>
      <c r="H520" s="5">
        <f>VLOOKUP(globalfreelancepreprocesseddata!A520,worksheet!A:P,10,FALSE)</f>
        <v>21</v>
      </c>
      <c r="I520" s="6" t="str">
        <f>VLOOKUP(globalfreelancepreprocesseddata!A520,worksheet!A:P,12,FALSE)</f>
        <v>$ 75</v>
      </c>
      <c r="J520" s="5">
        <f>VLOOKUP(globalfreelancepreprocesseddata!A520,worksheet!A:P,13,FALSE)</f>
        <v>2.2000000000000002</v>
      </c>
      <c r="K520" s="5">
        <f>VLOOKUP(globalfreelancepreprocesseddata!A520,worksheet!A:P,14,FALSE)</f>
        <v>1</v>
      </c>
      <c r="L520" s="7">
        <f>VLOOKUP(globalfreelancepreprocesseddata!A520,worksheet!A:P,16,FALSE)</f>
        <v>0.66</v>
      </c>
    </row>
    <row r="521" spans="1:12" x14ac:dyDescent="0.35">
      <c r="A521" s="5" t="s">
        <v>1114</v>
      </c>
      <c r="B521" s="5" t="str">
        <f>VLOOKUP(globalfreelancepreprocesseddata!A521,worksheet!A:P,3,FALSE)</f>
        <v>Victoria Owen</v>
      </c>
      <c r="C521" s="5" t="str">
        <f>VLOOKUP(globalfreelancepreprocesseddata!A521,worksheet!A:P,5,FALSE)</f>
        <v>Female</v>
      </c>
      <c r="D521" s="5">
        <f>VLOOKUP(globalfreelancepreprocesseddata!A521,worksheet!A:P,6,FALSE)</f>
        <v>28</v>
      </c>
      <c r="E521" s="5" t="str">
        <f>VLOOKUP(globalfreelancepreprocesseddata!A521,worksheet!A:P,7,FALSE)</f>
        <v>Indonesia</v>
      </c>
      <c r="F521" s="5" t="str">
        <f>VLOOKUP(globalfreelancepreprocesseddata!A521,worksheet!A:P,8,FALSE)</f>
        <v>Indonesian</v>
      </c>
      <c r="G521" s="5" t="str">
        <f>VLOOKUP(globalfreelancepreprocesseddata!A521,worksheet!A:P,9,FALSE)</f>
        <v>Cybersecurity</v>
      </c>
      <c r="H521" s="5">
        <f>VLOOKUP(globalfreelancepreprocesseddata!A521,worksheet!A:P,10,FALSE)</f>
        <v>2</v>
      </c>
      <c r="I521" s="6" t="str">
        <f>VLOOKUP(globalfreelancepreprocesseddata!A521,worksheet!A:P,12,FALSE)</f>
        <v>$ 75</v>
      </c>
      <c r="J521" s="5">
        <f>VLOOKUP(globalfreelancepreprocesseddata!A521,worksheet!A:P,13,FALSE)</f>
        <v>1.5</v>
      </c>
      <c r="K521" s="5">
        <f>VLOOKUP(globalfreelancepreprocesseddata!A521,worksheet!A:P,14,FALSE)</f>
        <v>1</v>
      </c>
      <c r="L521" s="7">
        <f>VLOOKUP(globalfreelancepreprocesseddata!A521,worksheet!A:P,16,FALSE)</f>
        <v>0.68</v>
      </c>
    </row>
    <row r="522" spans="1:12" x14ac:dyDescent="0.35">
      <c r="A522" s="5" t="s">
        <v>1116</v>
      </c>
      <c r="B522" s="5" t="str">
        <f>VLOOKUP(globalfreelancepreprocesseddata!A522,worksheet!A:P,3,FALSE)</f>
        <v>Christina King</v>
      </c>
      <c r="C522" s="5" t="str">
        <f>VLOOKUP(globalfreelancepreprocesseddata!A522,worksheet!A:P,5,FALSE)</f>
        <v>Female</v>
      </c>
      <c r="D522" s="5">
        <f>VLOOKUP(globalfreelancepreprocesseddata!A522,worksheet!A:P,6,FALSE)</f>
        <v>47</v>
      </c>
      <c r="E522" s="5" t="str">
        <f>VLOOKUP(globalfreelancepreprocesseddata!A522,worksheet!A:P,7,FALSE)</f>
        <v>China</v>
      </c>
      <c r="F522" s="5" t="str">
        <f>VLOOKUP(globalfreelancepreprocesseddata!A522,worksheet!A:P,8,FALSE)</f>
        <v>Mandarin</v>
      </c>
      <c r="G522" s="5" t="str">
        <f>VLOOKUP(globalfreelancepreprocesseddata!A522,worksheet!A:P,9,FALSE)</f>
        <v>Cybersecurity</v>
      </c>
      <c r="H522" s="5">
        <f>VLOOKUP(globalfreelancepreprocesseddata!A522,worksheet!A:P,10,FALSE)</f>
        <v>21</v>
      </c>
      <c r="I522" s="6">
        <f>VLOOKUP(globalfreelancepreprocesseddata!A522,worksheet!A:P,12,FALSE)</f>
        <v>100</v>
      </c>
      <c r="J522" s="5">
        <f>VLOOKUP(globalfreelancepreprocesseddata!A522,worksheet!A:P,13,FALSE)</f>
        <v>0</v>
      </c>
      <c r="K522" s="5">
        <f>VLOOKUP(globalfreelancepreprocesseddata!A522,worksheet!A:P,14,FALSE)</f>
        <v>0</v>
      </c>
      <c r="L522" s="7">
        <f>VLOOKUP(globalfreelancepreprocesseddata!A522,worksheet!A:P,16,FALSE)</f>
        <v>0.16</v>
      </c>
    </row>
    <row r="523" spans="1:12" x14ac:dyDescent="0.35">
      <c r="A523" s="5" t="s">
        <v>1118</v>
      </c>
      <c r="B523" s="5" t="str">
        <f>VLOOKUP(globalfreelancepreprocesseddata!A523,worksheet!A:P,3,FALSE)</f>
        <v>Samantha King</v>
      </c>
      <c r="C523" s="5" t="str">
        <f>VLOOKUP(globalfreelancepreprocesseddata!A523,worksheet!A:P,5,FALSE)</f>
        <v>Female</v>
      </c>
      <c r="D523" s="5">
        <f>VLOOKUP(globalfreelancepreprocesseddata!A523,worksheet!A:P,6,FALSE)</f>
        <v>30</v>
      </c>
      <c r="E523" s="5" t="str">
        <f>VLOOKUP(globalfreelancepreprocesseddata!A523,worksheet!A:P,7,FALSE)</f>
        <v>France</v>
      </c>
      <c r="F523" s="5" t="str">
        <f>VLOOKUP(globalfreelancepreprocesseddata!A523,worksheet!A:P,8,FALSE)</f>
        <v>French</v>
      </c>
      <c r="G523" s="5" t="str">
        <f>VLOOKUP(globalfreelancepreprocesseddata!A523,worksheet!A:P,9,FALSE)</f>
        <v>DevOps</v>
      </c>
      <c r="H523" s="5">
        <f>VLOOKUP(globalfreelancepreprocesseddata!A523,worksheet!A:P,10,FALSE)</f>
        <v>11</v>
      </c>
      <c r="I523" s="6" t="str">
        <f>VLOOKUP(globalfreelancepreprocesseddata!A523,worksheet!A:P,12,FALSE)</f>
        <v>$ 100</v>
      </c>
      <c r="J523" s="5">
        <f>VLOOKUP(globalfreelancepreprocesseddata!A523,worksheet!A:P,13,FALSE)</f>
        <v>4.0999999999999996</v>
      </c>
      <c r="K523" s="5">
        <f>VLOOKUP(globalfreelancepreprocesseddata!A523,worksheet!A:P,14,FALSE)</f>
        <v>0</v>
      </c>
      <c r="L523" s="7">
        <f>VLOOKUP(globalfreelancepreprocesseddata!A523,worksheet!A:P,16,FALSE)</f>
        <v>0.62</v>
      </c>
    </row>
    <row r="524" spans="1:12" x14ac:dyDescent="0.35">
      <c r="A524" s="5" t="s">
        <v>1120</v>
      </c>
      <c r="B524" s="5" t="str">
        <f>VLOOKUP(globalfreelancepreprocesseddata!A524,worksheet!A:P,3,FALSE)</f>
        <v>Scott Compton</v>
      </c>
      <c r="C524" s="5" t="str">
        <f>VLOOKUP(globalfreelancepreprocesseddata!A524,worksheet!A:P,5,FALSE)</f>
        <v>Male</v>
      </c>
      <c r="D524" s="5">
        <f>VLOOKUP(globalfreelancepreprocesseddata!A524,worksheet!A:P,6,FALSE)</f>
        <v>36</v>
      </c>
      <c r="E524" s="5" t="str">
        <f>VLOOKUP(globalfreelancepreprocesseddata!A524,worksheet!A:P,7,FALSE)</f>
        <v>Egypt</v>
      </c>
      <c r="F524" s="5" t="str">
        <f>VLOOKUP(globalfreelancepreprocesseddata!A524,worksheet!A:P,8,FALSE)</f>
        <v>Arabic</v>
      </c>
      <c r="G524" s="5" t="str">
        <f>VLOOKUP(globalfreelancepreprocesseddata!A524,worksheet!A:P,9,FALSE)</f>
        <v>Blockchain Development</v>
      </c>
      <c r="H524" s="5">
        <f>VLOOKUP(globalfreelancepreprocesseddata!A524,worksheet!A:P,10,FALSE)</f>
        <v>4</v>
      </c>
      <c r="I524" s="6">
        <f>VLOOKUP(globalfreelancepreprocesseddata!A524,worksheet!A:P,12,FALSE)</f>
        <v>40</v>
      </c>
      <c r="J524" s="5">
        <f>VLOOKUP(globalfreelancepreprocesseddata!A524,worksheet!A:P,13,FALSE)</f>
        <v>2.6</v>
      </c>
      <c r="K524" s="5">
        <f>VLOOKUP(globalfreelancepreprocesseddata!A524,worksheet!A:P,14,FALSE)</f>
        <v>1</v>
      </c>
      <c r="L524" s="7">
        <f>VLOOKUP(globalfreelancepreprocesseddata!A524,worksheet!A:P,16,FALSE)</f>
        <v>0.9</v>
      </c>
    </row>
    <row r="525" spans="1:12" x14ac:dyDescent="0.35">
      <c r="A525" s="5" t="s">
        <v>1122</v>
      </c>
      <c r="B525" s="5" t="str">
        <f>VLOOKUP(globalfreelancepreprocesseddata!A525,worksheet!A:P,3,FALSE)</f>
        <v>Monica West</v>
      </c>
      <c r="C525" s="5" t="str">
        <f>VLOOKUP(globalfreelancepreprocesseddata!A525,worksheet!A:P,5,FALSE)</f>
        <v>Female</v>
      </c>
      <c r="D525" s="5">
        <f>VLOOKUP(globalfreelancepreprocesseddata!A525,worksheet!A:P,6,FALSE)</f>
        <v>45</v>
      </c>
      <c r="E525" s="5" t="str">
        <f>VLOOKUP(globalfreelancepreprocesseddata!A525,worksheet!A:P,7,FALSE)</f>
        <v>United States</v>
      </c>
      <c r="F525" s="5" t="str">
        <f>VLOOKUP(globalfreelancepreprocesseddata!A525,worksheet!A:P,8,FALSE)</f>
        <v>English</v>
      </c>
      <c r="G525" s="5" t="str">
        <f>VLOOKUP(globalfreelancepreprocesseddata!A525,worksheet!A:P,9,FALSE)</f>
        <v>UI/UX Design</v>
      </c>
      <c r="H525" s="5">
        <f>VLOOKUP(globalfreelancepreprocesseddata!A525,worksheet!A:P,10,FALSE)</f>
        <v>23</v>
      </c>
      <c r="I525" s="6">
        <f>VLOOKUP(globalfreelancepreprocesseddata!A525,worksheet!A:P,12,FALSE)</f>
        <v>100</v>
      </c>
      <c r="J525" s="5">
        <f>VLOOKUP(globalfreelancepreprocesseddata!A525,worksheet!A:P,13,FALSE)</f>
        <v>2.4</v>
      </c>
      <c r="K525" s="5">
        <f>VLOOKUP(globalfreelancepreprocesseddata!A525,worksheet!A:P,14,FALSE)</f>
        <v>0</v>
      </c>
      <c r="L525" s="7">
        <f>VLOOKUP(globalfreelancepreprocesseddata!A525,worksheet!A:P,16,FALSE)</f>
        <v>0.96</v>
      </c>
    </row>
    <row r="526" spans="1:12" x14ac:dyDescent="0.35">
      <c r="A526" s="5" t="s">
        <v>1124</v>
      </c>
      <c r="B526" s="5" t="str">
        <f>VLOOKUP(globalfreelancepreprocesseddata!A526,worksheet!A:P,3,FALSE)</f>
        <v>Theresa Stewart</v>
      </c>
      <c r="C526" s="5" t="str">
        <f>VLOOKUP(globalfreelancepreprocesseddata!A526,worksheet!A:P,5,FALSE)</f>
        <v>Female</v>
      </c>
      <c r="D526" s="5">
        <f>VLOOKUP(globalfreelancepreprocesseddata!A526,worksheet!A:P,6,FALSE)</f>
        <v>51</v>
      </c>
      <c r="E526" s="5" t="str">
        <f>VLOOKUP(globalfreelancepreprocesseddata!A526,worksheet!A:P,7,FALSE)</f>
        <v>United States</v>
      </c>
      <c r="F526" s="5" t="str">
        <f>VLOOKUP(globalfreelancepreprocesseddata!A526,worksheet!A:P,8,FALSE)</f>
        <v>English</v>
      </c>
      <c r="G526" s="5" t="str">
        <f>VLOOKUP(globalfreelancepreprocesseddata!A526,worksheet!A:P,9,FALSE)</f>
        <v>Blockchain Development</v>
      </c>
      <c r="H526" s="5">
        <f>VLOOKUP(globalfreelancepreprocesseddata!A526,worksheet!A:P,10,FALSE)</f>
        <v>25</v>
      </c>
      <c r="I526" s="6">
        <f>VLOOKUP(globalfreelancepreprocesseddata!A526,worksheet!A:P,12,FALSE)</f>
        <v>50</v>
      </c>
      <c r="J526" s="5">
        <f>VLOOKUP(globalfreelancepreprocesseddata!A526,worksheet!A:P,13,FALSE)</f>
        <v>1.4</v>
      </c>
      <c r="K526" s="5">
        <f>VLOOKUP(globalfreelancepreprocesseddata!A526,worksheet!A:P,14,FALSE)</f>
        <v>1</v>
      </c>
      <c r="L526" s="7">
        <f>VLOOKUP(globalfreelancepreprocesseddata!A526,worksheet!A:P,16,FALSE)</f>
        <v>0.6</v>
      </c>
    </row>
    <row r="527" spans="1:12" x14ac:dyDescent="0.35">
      <c r="A527" s="5" t="s">
        <v>1126</v>
      </c>
      <c r="B527" s="5" t="str">
        <f>VLOOKUP(globalfreelancepreprocesseddata!A527,worksheet!A:P,3,FALSE)</f>
        <v>Steven Kim</v>
      </c>
      <c r="C527" s="5" t="str">
        <f>VLOOKUP(globalfreelancepreprocesseddata!A527,worksheet!A:P,5,FALSE)</f>
        <v>Male</v>
      </c>
      <c r="D527" s="5">
        <f>VLOOKUP(globalfreelancepreprocesseddata!A527,worksheet!A:P,6,FALSE)</f>
        <v>46</v>
      </c>
      <c r="E527" s="5" t="str">
        <f>VLOOKUP(globalfreelancepreprocesseddata!A527,worksheet!A:P,7,FALSE)</f>
        <v>Turkey</v>
      </c>
      <c r="F527" s="5" t="str">
        <f>VLOOKUP(globalfreelancepreprocesseddata!A527,worksheet!A:P,8,FALSE)</f>
        <v>Turkish</v>
      </c>
      <c r="G527" s="5" t="str">
        <f>VLOOKUP(globalfreelancepreprocesseddata!A527,worksheet!A:P,9,FALSE)</f>
        <v>Mobile Apps</v>
      </c>
      <c r="H527" s="5">
        <f>VLOOKUP(globalfreelancepreprocesseddata!A527,worksheet!A:P,10,FALSE)</f>
        <v>10</v>
      </c>
      <c r="I527" s="6">
        <f>VLOOKUP(globalfreelancepreprocesseddata!A527,worksheet!A:P,12,FALSE)</f>
        <v>40</v>
      </c>
      <c r="J527" s="5">
        <f>VLOOKUP(globalfreelancepreprocesseddata!A527,worksheet!A:P,13,FALSE)</f>
        <v>4.5999999999999996</v>
      </c>
      <c r="K527" s="5">
        <f>VLOOKUP(globalfreelancepreprocesseddata!A527,worksheet!A:P,14,FALSE)</f>
        <v>1</v>
      </c>
      <c r="L527" s="7">
        <f>VLOOKUP(globalfreelancepreprocesseddata!A527,worksheet!A:P,16,FALSE)</f>
        <v>0.62</v>
      </c>
    </row>
    <row r="528" spans="1:12" x14ac:dyDescent="0.35">
      <c r="A528" s="5" t="s">
        <v>1128</v>
      </c>
      <c r="B528" s="5" t="str">
        <f>VLOOKUP(globalfreelancepreprocesseddata!A528,worksheet!A:P,3,FALSE)</f>
        <v>Kristi Knight</v>
      </c>
      <c r="C528" s="5" t="str">
        <f>VLOOKUP(globalfreelancepreprocesseddata!A528,worksheet!A:P,5,FALSE)</f>
        <v>Female</v>
      </c>
      <c r="D528" s="5">
        <f>VLOOKUP(globalfreelancepreprocesseddata!A528,worksheet!A:P,6,FALSE)</f>
        <v>38</v>
      </c>
      <c r="E528" s="5" t="str">
        <f>VLOOKUP(globalfreelancepreprocesseddata!A528,worksheet!A:P,7,FALSE)</f>
        <v>Italy</v>
      </c>
      <c r="F528" s="5" t="str">
        <f>VLOOKUP(globalfreelancepreprocesseddata!A528,worksheet!A:P,8,FALSE)</f>
        <v>Italian</v>
      </c>
      <c r="G528" s="5" t="str">
        <f>VLOOKUP(globalfreelancepreprocesseddata!A528,worksheet!A:P,9,FALSE)</f>
        <v>Data Analysis</v>
      </c>
      <c r="H528" s="5">
        <f>VLOOKUP(globalfreelancepreprocesseddata!A528,worksheet!A:P,10,FALSE)</f>
        <v>18</v>
      </c>
      <c r="I528" s="6" t="str">
        <f>VLOOKUP(globalfreelancepreprocesseddata!A528,worksheet!A:P,12,FALSE)</f>
        <v>$ 40</v>
      </c>
      <c r="J528" s="5">
        <f>VLOOKUP(globalfreelancepreprocesseddata!A528,worksheet!A:P,13,FALSE)</f>
        <v>4.9000000000000004</v>
      </c>
      <c r="K528" s="5">
        <f>VLOOKUP(globalfreelancepreprocesseddata!A528,worksheet!A:P,14,FALSE)</f>
        <v>0</v>
      </c>
      <c r="L528" s="7">
        <f>VLOOKUP(globalfreelancepreprocesseddata!A528,worksheet!A:P,16,FALSE)</f>
        <v>0.74</v>
      </c>
    </row>
    <row r="529" spans="1:12" x14ac:dyDescent="0.35">
      <c r="A529" s="5" t="s">
        <v>1130</v>
      </c>
      <c r="B529" s="5" t="str">
        <f>VLOOKUP(globalfreelancepreprocesseddata!A529,worksheet!A:P,3,FALSE)</f>
        <v>Jason Bryant</v>
      </c>
      <c r="C529" s="5" t="str">
        <f>VLOOKUP(globalfreelancepreprocesseddata!A529,worksheet!A:P,5,FALSE)</f>
        <v>Male</v>
      </c>
      <c r="D529" s="5">
        <f>VLOOKUP(globalfreelancepreprocesseddata!A529,worksheet!A:P,6,FALSE)</f>
        <v>26</v>
      </c>
      <c r="E529" s="5" t="str">
        <f>VLOOKUP(globalfreelancepreprocesseddata!A529,worksheet!A:P,7,FALSE)</f>
        <v>Spain</v>
      </c>
      <c r="F529" s="5" t="str">
        <f>VLOOKUP(globalfreelancepreprocesseddata!A529,worksheet!A:P,8,FALSE)</f>
        <v>Spanish</v>
      </c>
      <c r="G529" s="5" t="str">
        <f>VLOOKUP(globalfreelancepreprocesseddata!A529,worksheet!A:P,9,FALSE)</f>
        <v>Blockchain Development</v>
      </c>
      <c r="H529" s="5">
        <f>VLOOKUP(globalfreelancepreprocesseddata!A529,worksheet!A:P,10,FALSE)</f>
        <v>1</v>
      </c>
      <c r="I529" s="6">
        <f>VLOOKUP(globalfreelancepreprocesseddata!A529,worksheet!A:P,12,FALSE)</f>
        <v>20</v>
      </c>
      <c r="J529" s="5">
        <f>VLOOKUP(globalfreelancepreprocesseddata!A529,worksheet!A:P,13,FALSE)</f>
        <v>0</v>
      </c>
      <c r="K529" s="5">
        <f>VLOOKUP(globalfreelancepreprocesseddata!A529,worksheet!A:P,14,FALSE)</f>
        <v>1</v>
      </c>
      <c r="L529" s="7">
        <f>VLOOKUP(globalfreelancepreprocesseddata!A529,worksheet!A:P,16,FALSE)</f>
        <v>0.16</v>
      </c>
    </row>
    <row r="530" spans="1:12" x14ac:dyDescent="0.35">
      <c r="A530" s="5" t="s">
        <v>1132</v>
      </c>
      <c r="B530" s="5" t="str">
        <f>VLOOKUP(globalfreelancepreprocesseddata!A530,worksheet!A:P,3,FALSE)</f>
        <v>Maureen Keith</v>
      </c>
      <c r="C530" s="5" t="str">
        <f>VLOOKUP(globalfreelancepreprocesseddata!A530,worksheet!A:P,5,FALSE)</f>
        <v>Female</v>
      </c>
      <c r="D530" s="5">
        <f>VLOOKUP(globalfreelancepreprocesseddata!A530,worksheet!A:P,6,FALSE)</f>
        <v>40</v>
      </c>
      <c r="E530" s="5" t="str">
        <f>VLOOKUP(globalfreelancepreprocesseddata!A530,worksheet!A:P,7,FALSE)</f>
        <v>United Kingdom</v>
      </c>
      <c r="F530" s="5" t="str">
        <f>VLOOKUP(globalfreelancepreprocesseddata!A530,worksheet!A:P,8,FALSE)</f>
        <v>English</v>
      </c>
      <c r="G530" s="5" t="str">
        <f>VLOOKUP(globalfreelancepreprocesseddata!A530,worksheet!A:P,9,FALSE)</f>
        <v>DevOps</v>
      </c>
      <c r="H530" s="5">
        <f>VLOOKUP(globalfreelancepreprocesseddata!A530,worksheet!A:P,10,FALSE)</f>
        <v>12</v>
      </c>
      <c r="I530" s="6">
        <f>VLOOKUP(globalfreelancepreprocesseddata!A530,worksheet!A:P,12,FALSE)</f>
        <v>30</v>
      </c>
      <c r="J530" s="5">
        <f>VLOOKUP(globalfreelancepreprocesseddata!A530,worksheet!A:P,13,FALSE)</f>
        <v>3.5</v>
      </c>
      <c r="K530" s="5">
        <f>VLOOKUP(globalfreelancepreprocesseddata!A530,worksheet!A:P,14,FALSE)</f>
        <v>1</v>
      </c>
      <c r="L530" s="7">
        <f>VLOOKUP(globalfreelancepreprocesseddata!A530,worksheet!A:P,16,FALSE)</f>
        <v>0.98</v>
      </c>
    </row>
    <row r="531" spans="1:12" x14ac:dyDescent="0.35">
      <c r="A531" s="5" t="s">
        <v>1134</v>
      </c>
      <c r="B531" s="5" t="str">
        <f>VLOOKUP(globalfreelancepreprocesseddata!A531,worksheet!A:P,3,FALSE)</f>
        <v>Shawn Hogan</v>
      </c>
      <c r="C531" s="5" t="str">
        <f>VLOOKUP(globalfreelancepreprocesseddata!A531,worksheet!A:P,5,FALSE)</f>
        <v>Male</v>
      </c>
      <c r="D531" s="5">
        <f>VLOOKUP(globalfreelancepreprocesseddata!A531,worksheet!A:P,6,FALSE)</f>
        <v>37</v>
      </c>
      <c r="E531" s="5" t="str">
        <f>VLOOKUP(globalfreelancepreprocesseddata!A531,worksheet!A:P,7,FALSE)</f>
        <v>Germany</v>
      </c>
      <c r="F531" s="5" t="str">
        <f>VLOOKUP(globalfreelancepreprocesseddata!A531,worksheet!A:P,8,FALSE)</f>
        <v>German</v>
      </c>
      <c r="G531" s="5" t="str">
        <f>VLOOKUP(globalfreelancepreprocesseddata!A531,worksheet!A:P,9,FALSE)</f>
        <v>Machine Learning</v>
      </c>
      <c r="H531" s="5">
        <f>VLOOKUP(globalfreelancepreprocesseddata!A531,worksheet!A:P,10,FALSE)</f>
        <v>11</v>
      </c>
      <c r="I531" s="6">
        <f>VLOOKUP(globalfreelancepreprocesseddata!A531,worksheet!A:P,12,FALSE)</f>
        <v>40</v>
      </c>
      <c r="J531" s="5">
        <f>VLOOKUP(globalfreelancepreprocesseddata!A531,worksheet!A:P,13,FALSE)</f>
        <v>1.7</v>
      </c>
      <c r="K531" s="5">
        <f>VLOOKUP(globalfreelancepreprocesseddata!A531,worksheet!A:P,14,FALSE)</f>
        <v>1</v>
      </c>
      <c r="L531" s="7">
        <f>VLOOKUP(globalfreelancepreprocesseddata!A531,worksheet!A:P,16,FALSE)</f>
        <v>0.63</v>
      </c>
    </row>
    <row r="532" spans="1:12" x14ac:dyDescent="0.35">
      <c r="A532" s="5" t="s">
        <v>1136</v>
      </c>
      <c r="B532" s="5" t="str">
        <f>VLOOKUP(globalfreelancepreprocesseddata!A532,worksheet!A:P,3,FALSE)</f>
        <v>William Davis</v>
      </c>
      <c r="C532" s="5" t="str">
        <f>VLOOKUP(globalfreelancepreprocesseddata!A532,worksheet!A:P,5,FALSE)</f>
        <v>Male</v>
      </c>
      <c r="D532" s="5">
        <f>VLOOKUP(globalfreelancepreprocesseddata!A532,worksheet!A:P,6,FALSE)</f>
        <v>28</v>
      </c>
      <c r="E532" s="5" t="str">
        <f>VLOOKUP(globalfreelancepreprocesseddata!A532,worksheet!A:P,7,FALSE)</f>
        <v>Canada</v>
      </c>
      <c r="F532" s="5" t="str">
        <f>VLOOKUP(globalfreelancepreprocesseddata!A532,worksheet!A:P,8,FALSE)</f>
        <v>English</v>
      </c>
      <c r="G532" s="5" t="str">
        <f>VLOOKUP(globalfreelancepreprocesseddata!A532,worksheet!A:P,9,FALSE)</f>
        <v>Blockchain Development</v>
      </c>
      <c r="H532" s="5">
        <f>VLOOKUP(globalfreelancepreprocesseddata!A532,worksheet!A:P,10,FALSE)</f>
        <v>5</v>
      </c>
      <c r="I532" s="6">
        <f>VLOOKUP(globalfreelancepreprocesseddata!A532,worksheet!A:P,12,FALSE)</f>
        <v>50</v>
      </c>
      <c r="J532" s="5">
        <f>VLOOKUP(globalfreelancepreprocesseddata!A532,worksheet!A:P,13,FALSE)</f>
        <v>0</v>
      </c>
      <c r="K532" s="5">
        <f>VLOOKUP(globalfreelancepreprocesseddata!A532,worksheet!A:P,14,FALSE)</f>
        <v>1</v>
      </c>
      <c r="L532" s="7">
        <f>VLOOKUP(globalfreelancepreprocesseddata!A532,worksheet!A:P,16,FALSE)</f>
        <v>0.96</v>
      </c>
    </row>
    <row r="533" spans="1:12" x14ac:dyDescent="0.35">
      <c r="A533" s="5" t="s">
        <v>1138</v>
      </c>
      <c r="B533" s="5" t="str">
        <f>VLOOKUP(globalfreelancepreprocesseddata!A533,worksheet!A:P,3,FALSE)</f>
        <v>Stacy Bailey</v>
      </c>
      <c r="C533" s="5" t="str">
        <f>VLOOKUP(globalfreelancepreprocesseddata!A533,worksheet!A:P,5,FALSE)</f>
        <v>Female</v>
      </c>
      <c r="D533" s="5">
        <f>VLOOKUP(globalfreelancepreprocesseddata!A533,worksheet!A:P,6,FALSE)</f>
        <v>48</v>
      </c>
      <c r="E533" s="5" t="str">
        <f>VLOOKUP(globalfreelancepreprocesseddata!A533,worksheet!A:P,7,FALSE)</f>
        <v>India</v>
      </c>
      <c r="F533" s="5" t="str">
        <f>VLOOKUP(globalfreelancepreprocesseddata!A533,worksheet!A:P,8,FALSE)</f>
        <v>Hindi</v>
      </c>
      <c r="G533" s="5" t="str">
        <f>VLOOKUP(globalfreelancepreprocesseddata!A533,worksheet!A:P,9,FALSE)</f>
        <v>Mobile Apps</v>
      </c>
      <c r="H533" s="5">
        <f>VLOOKUP(globalfreelancepreprocesseddata!A533,worksheet!A:P,10,FALSE)</f>
        <v>28</v>
      </c>
      <c r="I533" s="6" t="str">
        <f>VLOOKUP(globalfreelancepreprocesseddata!A533,worksheet!A:P,12,FALSE)</f>
        <v>$ 20</v>
      </c>
      <c r="J533" s="5">
        <f>VLOOKUP(globalfreelancepreprocesseddata!A533,worksheet!A:P,13,FALSE)</f>
        <v>0</v>
      </c>
      <c r="K533" s="5">
        <f>VLOOKUP(globalfreelancepreprocesseddata!A533,worksheet!A:P,14,FALSE)</f>
        <v>0</v>
      </c>
      <c r="L533" s="7">
        <f>VLOOKUP(globalfreelancepreprocesseddata!A533,worksheet!A:P,16,FALSE)</f>
        <v>0.88</v>
      </c>
    </row>
    <row r="534" spans="1:12" x14ac:dyDescent="0.35">
      <c r="A534" s="5" t="s">
        <v>1140</v>
      </c>
      <c r="B534" s="5" t="str">
        <f>VLOOKUP(globalfreelancepreprocesseddata!A534,worksheet!A:P,3,FALSE)</f>
        <v>Thomas Dixon</v>
      </c>
      <c r="C534" s="5" t="str">
        <f>VLOOKUP(globalfreelancepreprocesseddata!A534,worksheet!A:P,5,FALSE)</f>
        <v>Male</v>
      </c>
      <c r="D534" s="5">
        <f>VLOOKUP(globalfreelancepreprocesseddata!A534,worksheet!A:P,6,FALSE)</f>
        <v>22</v>
      </c>
      <c r="E534" s="5" t="str">
        <f>VLOOKUP(globalfreelancepreprocesseddata!A534,worksheet!A:P,7,FALSE)</f>
        <v>India</v>
      </c>
      <c r="F534" s="5" t="str">
        <f>VLOOKUP(globalfreelancepreprocesseddata!A534,worksheet!A:P,8,FALSE)</f>
        <v>Hindi</v>
      </c>
      <c r="G534" s="5" t="str">
        <f>VLOOKUP(globalfreelancepreprocesseddata!A534,worksheet!A:P,9,FALSE)</f>
        <v>AI</v>
      </c>
      <c r="H534" s="5">
        <f>VLOOKUP(globalfreelancepreprocesseddata!A534,worksheet!A:P,10,FALSE)</f>
        <v>11</v>
      </c>
      <c r="I534" s="6">
        <f>VLOOKUP(globalfreelancepreprocesseddata!A534,worksheet!A:P,12,FALSE)</f>
        <v>40</v>
      </c>
      <c r="J534" s="5">
        <f>VLOOKUP(globalfreelancepreprocesseddata!A534,worksheet!A:P,13,FALSE)</f>
        <v>4.5999999999999996</v>
      </c>
      <c r="K534" s="5">
        <f>VLOOKUP(globalfreelancepreprocesseddata!A534,worksheet!A:P,14,FALSE)</f>
        <v>0</v>
      </c>
      <c r="L534" s="7">
        <f>VLOOKUP(globalfreelancepreprocesseddata!A534,worksheet!A:P,16,FALSE)</f>
        <v>0.16</v>
      </c>
    </row>
    <row r="535" spans="1:12" x14ac:dyDescent="0.35">
      <c r="A535" s="5" t="s">
        <v>1142</v>
      </c>
      <c r="B535" s="5" t="str">
        <f>VLOOKUP(globalfreelancepreprocesseddata!A535,worksheet!A:P,3,FALSE)</f>
        <v>Maria Hall</v>
      </c>
      <c r="C535" s="5" t="str">
        <f>VLOOKUP(globalfreelancepreprocesseddata!A535,worksheet!A:P,5,FALSE)</f>
        <v>Female</v>
      </c>
      <c r="D535" s="5">
        <f>VLOOKUP(globalfreelancepreprocesseddata!A535,worksheet!A:P,6,FALSE)</f>
        <v>41</v>
      </c>
      <c r="E535" s="5" t="str">
        <f>VLOOKUP(globalfreelancepreprocesseddata!A535,worksheet!A:P,7,FALSE)</f>
        <v>Germany</v>
      </c>
      <c r="F535" s="5" t="str">
        <f>VLOOKUP(globalfreelancepreprocesseddata!A535,worksheet!A:P,8,FALSE)</f>
        <v>German</v>
      </c>
      <c r="G535" s="5" t="str">
        <f>VLOOKUP(globalfreelancepreprocesseddata!A535,worksheet!A:P,9,FALSE)</f>
        <v>Web Development</v>
      </c>
      <c r="H535" s="5">
        <f>VLOOKUP(globalfreelancepreprocesseddata!A535,worksheet!A:P,10,FALSE)</f>
        <v>14</v>
      </c>
      <c r="I535" s="6">
        <f>VLOOKUP(globalfreelancepreprocesseddata!A535,worksheet!A:P,12,FALSE)</f>
        <v>40</v>
      </c>
      <c r="J535" s="5">
        <f>VLOOKUP(globalfreelancepreprocesseddata!A535,worksheet!A:P,13,FALSE)</f>
        <v>1.1000000000000001</v>
      </c>
      <c r="K535" s="5">
        <f>VLOOKUP(globalfreelancepreprocesseddata!A535,worksheet!A:P,14,FALSE)</f>
        <v>1</v>
      </c>
      <c r="L535" s="7">
        <f>VLOOKUP(globalfreelancepreprocesseddata!A535,worksheet!A:P,16,FALSE)</f>
        <v>0.73</v>
      </c>
    </row>
    <row r="536" spans="1:12" x14ac:dyDescent="0.35">
      <c r="A536" s="5" t="s">
        <v>1144</v>
      </c>
      <c r="B536" s="5" t="str">
        <f>VLOOKUP(globalfreelancepreprocesseddata!A536,worksheet!A:P,3,FALSE)</f>
        <v>Tony Lee</v>
      </c>
      <c r="C536" s="5" t="str">
        <f>VLOOKUP(globalfreelancepreprocesseddata!A536,worksheet!A:P,5,FALSE)</f>
        <v>Male</v>
      </c>
      <c r="D536" s="5">
        <f>VLOOKUP(globalfreelancepreprocesseddata!A536,worksheet!A:P,6,FALSE)</f>
        <v>38</v>
      </c>
      <c r="E536" s="5" t="str">
        <f>VLOOKUP(globalfreelancepreprocesseddata!A536,worksheet!A:P,7,FALSE)</f>
        <v>United States</v>
      </c>
      <c r="F536" s="5" t="str">
        <f>VLOOKUP(globalfreelancepreprocesseddata!A536,worksheet!A:P,8,FALSE)</f>
        <v>English</v>
      </c>
      <c r="G536" s="5" t="str">
        <f>VLOOKUP(globalfreelancepreprocesseddata!A536,worksheet!A:P,9,FALSE)</f>
        <v>Graphic Design</v>
      </c>
      <c r="H536" s="5">
        <f>VLOOKUP(globalfreelancepreprocesseddata!A536,worksheet!A:P,10,FALSE)</f>
        <v>15</v>
      </c>
      <c r="I536" s="6">
        <f>VLOOKUP(globalfreelancepreprocesseddata!A536,worksheet!A:P,12,FALSE)</f>
        <v>40</v>
      </c>
      <c r="J536" s="5">
        <f>VLOOKUP(globalfreelancepreprocesseddata!A536,worksheet!A:P,13,FALSE)</f>
        <v>4.2</v>
      </c>
      <c r="K536" s="5">
        <f>VLOOKUP(globalfreelancepreprocesseddata!A536,worksheet!A:P,14,FALSE)</f>
        <v>0</v>
      </c>
      <c r="L536" s="7">
        <f>VLOOKUP(globalfreelancepreprocesseddata!A536,worksheet!A:P,16,FALSE)</f>
        <v>0.88</v>
      </c>
    </row>
    <row r="537" spans="1:12" x14ac:dyDescent="0.35">
      <c r="A537" s="5" t="s">
        <v>1146</v>
      </c>
      <c r="B537" s="5" t="str">
        <f>VLOOKUP(globalfreelancepreprocesseddata!A537,worksheet!A:P,3,FALSE)</f>
        <v>Catherine Mccoy Md</v>
      </c>
      <c r="C537" s="5" t="str">
        <f>VLOOKUP(globalfreelancepreprocesseddata!A537,worksheet!A:P,5,FALSE)</f>
        <v>Female</v>
      </c>
      <c r="D537" s="5">
        <f>VLOOKUP(globalfreelancepreprocesseddata!A537,worksheet!A:P,6,FALSE)</f>
        <v>31</v>
      </c>
      <c r="E537" s="5" t="str">
        <f>VLOOKUP(globalfreelancepreprocesseddata!A537,worksheet!A:P,7,FALSE)</f>
        <v>South Africa</v>
      </c>
      <c r="F537" s="5" t="str">
        <f>VLOOKUP(globalfreelancepreprocesseddata!A537,worksheet!A:P,8,FALSE)</f>
        <v>Afrikaans</v>
      </c>
      <c r="G537" s="5" t="str">
        <f>VLOOKUP(globalfreelancepreprocesseddata!A537,worksheet!A:P,9,FALSE)</f>
        <v>UI/UX Design</v>
      </c>
      <c r="H537" s="5">
        <f>VLOOKUP(globalfreelancepreprocesseddata!A537,worksheet!A:P,10,FALSE)</f>
        <v>9</v>
      </c>
      <c r="I537" s="6">
        <f>VLOOKUP(globalfreelancepreprocesseddata!A537,worksheet!A:P,12,FALSE)</f>
        <v>40</v>
      </c>
      <c r="J537" s="5">
        <f>VLOOKUP(globalfreelancepreprocesseddata!A537,worksheet!A:P,13,FALSE)</f>
        <v>0</v>
      </c>
      <c r="K537" s="5">
        <f>VLOOKUP(globalfreelancepreprocesseddata!A537,worksheet!A:P,14,FALSE)</f>
        <v>0</v>
      </c>
      <c r="L537" s="7">
        <f>VLOOKUP(globalfreelancepreprocesseddata!A537,worksheet!A:P,16,FALSE)</f>
        <v>0.91</v>
      </c>
    </row>
    <row r="538" spans="1:12" x14ac:dyDescent="0.35">
      <c r="A538" s="5" t="s">
        <v>1148</v>
      </c>
      <c r="B538" s="5" t="str">
        <f>VLOOKUP(globalfreelancepreprocesseddata!A538,worksheet!A:P,3,FALSE)</f>
        <v>Maria Benitez</v>
      </c>
      <c r="C538" s="5" t="str">
        <f>VLOOKUP(globalfreelancepreprocesseddata!A538,worksheet!A:P,5,FALSE)</f>
        <v>Female</v>
      </c>
      <c r="D538" s="5">
        <f>VLOOKUP(globalfreelancepreprocesseddata!A538,worksheet!A:P,6,FALSE)</f>
        <v>30</v>
      </c>
      <c r="E538" s="5" t="str">
        <f>VLOOKUP(globalfreelancepreprocesseddata!A538,worksheet!A:P,7,FALSE)</f>
        <v>China</v>
      </c>
      <c r="F538" s="5" t="str">
        <f>VLOOKUP(globalfreelancepreprocesseddata!A538,worksheet!A:P,8,FALSE)</f>
        <v>Mandarin</v>
      </c>
      <c r="G538" s="5" t="str">
        <f>VLOOKUP(globalfreelancepreprocesseddata!A538,worksheet!A:P,9,FALSE)</f>
        <v>Mobile Apps</v>
      </c>
      <c r="H538" s="5">
        <f>VLOOKUP(globalfreelancepreprocesseddata!A538,worksheet!A:P,10,FALSE)</f>
        <v>9</v>
      </c>
      <c r="I538" s="6">
        <f>VLOOKUP(globalfreelancepreprocesseddata!A538,worksheet!A:P,12,FALSE)</f>
        <v>30</v>
      </c>
      <c r="J538" s="5">
        <f>VLOOKUP(globalfreelancepreprocesseddata!A538,worksheet!A:P,13,FALSE)</f>
        <v>3.9</v>
      </c>
      <c r="K538" s="5">
        <f>VLOOKUP(globalfreelancepreprocesseddata!A538,worksheet!A:P,14,FALSE)</f>
        <v>1</v>
      </c>
      <c r="L538" s="7">
        <f>VLOOKUP(globalfreelancepreprocesseddata!A538,worksheet!A:P,16,FALSE)</f>
        <v>0.65</v>
      </c>
    </row>
    <row r="539" spans="1:12" x14ac:dyDescent="0.35">
      <c r="A539" s="5" t="s">
        <v>1150</v>
      </c>
      <c r="B539" s="5" t="str">
        <f>VLOOKUP(globalfreelancepreprocesseddata!A539,worksheet!A:P,3,FALSE)</f>
        <v>Joshua Chambers</v>
      </c>
      <c r="C539" s="5" t="str">
        <f>VLOOKUP(globalfreelancepreprocesseddata!A539,worksheet!A:P,5,FALSE)</f>
        <v>Male</v>
      </c>
      <c r="D539" s="5">
        <f>VLOOKUP(globalfreelancepreprocesseddata!A539,worksheet!A:P,6,FALSE)</f>
        <v>51</v>
      </c>
      <c r="E539" s="5" t="str">
        <f>VLOOKUP(globalfreelancepreprocesseddata!A539,worksheet!A:P,7,FALSE)</f>
        <v>Mexico</v>
      </c>
      <c r="F539" s="5" t="str">
        <f>VLOOKUP(globalfreelancepreprocesseddata!A539,worksheet!A:P,8,FALSE)</f>
        <v>Spanish</v>
      </c>
      <c r="G539" s="5" t="str">
        <f>VLOOKUP(globalfreelancepreprocesseddata!A539,worksheet!A:P,9,FALSE)</f>
        <v>UI/UX Design</v>
      </c>
      <c r="H539" s="5">
        <f>VLOOKUP(globalfreelancepreprocesseddata!A539,worksheet!A:P,10,FALSE)</f>
        <v>22</v>
      </c>
      <c r="I539" s="6">
        <f>VLOOKUP(globalfreelancepreprocesseddata!A539,worksheet!A:P,12,FALSE)</f>
        <v>20</v>
      </c>
      <c r="J539" s="5">
        <f>VLOOKUP(globalfreelancepreprocesseddata!A539,worksheet!A:P,13,FALSE)</f>
        <v>3.4</v>
      </c>
      <c r="K539" s="5">
        <f>VLOOKUP(globalfreelancepreprocesseddata!A539,worksheet!A:P,14,FALSE)</f>
        <v>1</v>
      </c>
      <c r="L539" s="7">
        <f>VLOOKUP(globalfreelancepreprocesseddata!A539,worksheet!A:P,16,FALSE)</f>
        <v>0.9</v>
      </c>
    </row>
    <row r="540" spans="1:12" x14ac:dyDescent="0.35">
      <c r="A540" s="5" t="s">
        <v>1152</v>
      </c>
      <c r="B540" s="5" t="str">
        <f>VLOOKUP(globalfreelancepreprocesseddata!A540,worksheet!A:P,3,FALSE)</f>
        <v>Janice Daniels</v>
      </c>
      <c r="C540" s="5" t="str">
        <f>VLOOKUP(globalfreelancepreprocesseddata!A540,worksheet!A:P,5,FALSE)</f>
        <v>Female</v>
      </c>
      <c r="D540" s="5">
        <f>VLOOKUP(globalfreelancepreprocesseddata!A540,worksheet!A:P,6,FALSE)</f>
        <v>21</v>
      </c>
      <c r="E540" s="5" t="str">
        <f>VLOOKUP(globalfreelancepreprocesseddata!A540,worksheet!A:P,7,FALSE)</f>
        <v>Germany</v>
      </c>
      <c r="F540" s="5" t="str">
        <f>VLOOKUP(globalfreelancepreprocesseddata!A540,worksheet!A:P,8,FALSE)</f>
        <v>German</v>
      </c>
      <c r="G540" s="5" t="str">
        <f>VLOOKUP(globalfreelancepreprocesseddata!A540,worksheet!A:P,9,FALSE)</f>
        <v>DevOps</v>
      </c>
      <c r="H540" s="5">
        <f>VLOOKUP(globalfreelancepreprocesseddata!A540,worksheet!A:P,10,FALSE)</f>
        <v>11</v>
      </c>
      <c r="I540" s="6">
        <f>VLOOKUP(globalfreelancepreprocesseddata!A540,worksheet!A:P,12,FALSE)</f>
        <v>20</v>
      </c>
      <c r="J540" s="5">
        <f>VLOOKUP(globalfreelancepreprocesseddata!A540,worksheet!A:P,13,FALSE)</f>
        <v>2.6</v>
      </c>
      <c r="K540" s="5">
        <f>VLOOKUP(globalfreelancepreprocesseddata!A540,worksheet!A:P,14,FALSE)</f>
        <v>0</v>
      </c>
      <c r="L540" s="7">
        <f>VLOOKUP(globalfreelancepreprocesseddata!A540,worksheet!A:P,16,FALSE)</f>
        <v>0.72</v>
      </c>
    </row>
    <row r="541" spans="1:12" x14ac:dyDescent="0.35">
      <c r="A541" s="5" t="s">
        <v>1154</v>
      </c>
      <c r="B541" s="5" t="str">
        <f>VLOOKUP(globalfreelancepreprocesseddata!A541,worksheet!A:P,3,FALSE)</f>
        <v>Carla Wood</v>
      </c>
      <c r="C541" s="5" t="str">
        <f>VLOOKUP(globalfreelancepreprocesseddata!A541,worksheet!A:P,5,FALSE)</f>
        <v>Female</v>
      </c>
      <c r="D541" s="5">
        <f>VLOOKUP(globalfreelancepreprocesseddata!A541,worksheet!A:P,6,FALSE)</f>
        <v>20</v>
      </c>
      <c r="E541" s="5" t="str">
        <f>VLOOKUP(globalfreelancepreprocesseddata!A541,worksheet!A:P,7,FALSE)</f>
        <v>Italy</v>
      </c>
      <c r="F541" s="5" t="str">
        <f>VLOOKUP(globalfreelancepreprocesseddata!A541,worksheet!A:P,8,FALSE)</f>
        <v>Italian</v>
      </c>
      <c r="G541" s="5" t="str">
        <f>VLOOKUP(globalfreelancepreprocesseddata!A541,worksheet!A:P,9,FALSE)</f>
        <v>DevOps</v>
      </c>
      <c r="H541" s="5">
        <f>VLOOKUP(globalfreelancepreprocesseddata!A541,worksheet!A:P,10,FALSE)</f>
        <v>1</v>
      </c>
      <c r="I541" s="6" t="str">
        <f>VLOOKUP(globalfreelancepreprocesseddata!A541,worksheet!A:P,12,FALSE)</f>
        <v>$ 40</v>
      </c>
      <c r="J541" s="5">
        <f>VLOOKUP(globalfreelancepreprocesseddata!A541,worksheet!A:P,13,FALSE)</f>
        <v>2.2999999999999998</v>
      </c>
      <c r="K541" s="5">
        <f>VLOOKUP(globalfreelancepreprocesseddata!A541,worksheet!A:P,14,FALSE)</f>
        <v>1</v>
      </c>
      <c r="L541" s="7">
        <f>VLOOKUP(globalfreelancepreprocesseddata!A541,worksheet!A:P,16,FALSE)</f>
        <v>0.72</v>
      </c>
    </row>
    <row r="542" spans="1:12" x14ac:dyDescent="0.35">
      <c r="A542" s="5" t="s">
        <v>1156</v>
      </c>
      <c r="B542" s="5" t="str">
        <f>VLOOKUP(globalfreelancepreprocesseddata!A542,worksheet!A:P,3,FALSE)</f>
        <v>Kenneth Vasquez</v>
      </c>
      <c r="C542" s="5" t="str">
        <f>VLOOKUP(globalfreelancepreprocesseddata!A542,worksheet!A:P,5,FALSE)</f>
        <v>Male</v>
      </c>
      <c r="D542" s="5">
        <f>VLOOKUP(globalfreelancepreprocesseddata!A542,worksheet!A:P,6,FALSE)</f>
        <v>30</v>
      </c>
      <c r="E542" s="5" t="str">
        <f>VLOOKUP(globalfreelancepreprocesseddata!A542,worksheet!A:P,7,FALSE)</f>
        <v>Japan</v>
      </c>
      <c r="F542" s="5" t="str">
        <f>VLOOKUP(globalfreelancepreprocesseddata!A542,worksheet!A:P,8,FALSE)</f>
        <v>Japanese</v>
      </c>
      <c r="G542" s="5" t="str">
        <f>VLOOKUP(globalfreelancepreprocesseddata!A542,worksheet!A:P,9,FALSE)</f>
        <v>Blockchain Development</v>
      </c>
      <c r="H542" s="5">
        <f>VLOOKUP(globalfreelancepreprocesseddata!A542,worksheet!A:P,10,FALSE)</f>
        <v>5</v>
      </c>
      <c r="I542" s="6">
        <f>VLOOKUP(globalfreelancepreprocesseddata!A542,worksheet!A:P,12,FALSE)</f>
        <v>30</v>
      </c>
      <c r="J542" s="5">
        <f>VLOOKUP(globalfreelancepreprocesseddata!A542,worksheet!A:P,13,FALSE)</f>
        <v>4.8</v>
      </c>
      <c r="K542" s="5">
        <f>VLOOKUP(globalfreelancepreprocesseddata!A542,worksheet!A:P,14,FALSE)</f>
        <v>0</v>
      </c>
      <c r="L542" s="7">
        <f>VLOOKUP(globalfreelancepreprocesseddata!A542,worksheet!A:P,16,FALSE)</f>
        <v>0.16</v>
      </c>
    </row>
    <row r="543" spans="1:12" x14ac:dyDescent="0.35">
      <c r="A543" s="5" t="s">
        <v>1158</v>
      </c>
      <c r="B543" s="5" t="str">
        <f>VLOOKUP(globalfreelancepreprocesseddata!A543,worksheet!A:P,3,FALSE)</f>
        <v>Kevin Smith</v>
      </c>
      <c r="C543" s="5" t="str">
        <f>VLOOKUP(globalfreelancepreprocesseddata!A543,worksheet!A:P,5,FALSE)</f>
        <v>Male</v>
      </c>
      <c r="D543" s="5">
        <f>VLOOKUP(globalfreelancepreprocesseddata!A543,worksheet!A:P,6,FALSE)</f>
        <v>41</v>
      </c>
      <c r="E543" s="5" t="str">
        <f>VLOOKUP(globalfreelancepreprocesseddata!A543,worksheet!A:P,7,FALSE)</f>
        <v>China</v>
      </c>
      <c r="F543" s="5" t="str">
        <f>VLOOKUP(globalfreelancepreprocesseddata!A543,worksheet!A:P,8,FALSE)</f>
        <v>Mandarin</v>
      </c>
      <c r="G543" s="5" t="str">
        <f>VLOOKUP(globalfreelancepreprocesseddata!A543,worksheet!A:P,9,FALSE)</f>
        <v>Data Analysis</v>
      </c>
      <c r="H543" s="5">
        <f>VLOOKUP(globalfreelancepreprocesseddata!A543,worksheet!A:P,10,FALSE)</f>
        <v>11</v>
      </c>
      <c r="I543" s="6" t="str">
        <f>VLOOKUP(globalfreelancepreprocesseddata!A543,worksheet!A:P,12,FALSE)</f>
        <v>$ 40</v>
      </c>
      <c r="J543" s="5">
        <f>VLOOKUP(globalfreelancepreprocesseddata!A543,worksheet!A:P,13,FALSE)</f>
        <v>4.5</v>
      </c>
      <c r="K543" s="5">
        <f>VLOOKUP(globalfreelancepreprocesseddata!A543,worksheet!A:P,14,FALSE)</f>
        <v>0</v>
      </c>
      <c r="L543" s="7">
        <f>VLOOKUP(globalfreelancepreprocesseddata!A543,worksheet!A:P,16,FALSE)</f>
        <v>0.68</v>
      </c>
    </row>
    <row r="544" spans="1:12" x14ac:dyDescent="0.35">
      <c r="A544" s="5" t="s">
        <v>1160</v>
      </c>
      <c r="B544" s="5" t="str">
        <f>VLOOKUP(globalfreelancepreprocesseddata!A544,worksheet!A:P,3,FALSE)</f>
        <v>Thomas Kim</v>
      </c>
      <c r="C544" s="5" t="str">
        <f>VLOOKUP(globalfreelancepreprocesseddata!A544,worksheet!A:P,5,FALSE)</f>
        <v>Male</v>
      </c>
      <c r="D544" s="5">
        <f>VLOOKUP(globalfreelancepreprocesseddata!A544,worksheet!A:P,6,FALSE)</f>
        <v>22</v>
      </c>
      <c r="E544" s="5" t="str">
        <f>VLOOKUP(globalfreelancepreprocesseddata!A544,worksheet!A:P,7,FALSE)</f>
        <v>Spain</v>
      </c>
      <c r="F544" s="5" t="str">
        <f>VLOOKUP(globalfreelancepreprocesseddata!A544,worksheet!A:P,8,FALSE)</f>
        <v>Spanish</v>
      </c>
      <c r="G544" s="5" t="str">
        <f>VLOOKUP(globalfreelancepreprocesseddata!A544,worksheet!A:P,9,FALSE)</f>
        <v>Blockchain Development</v>
      </c>
      <c r="H544" s="5">
        <f>VLOOKUP(globalfreelancepreprocesseddata!A544,worksheet!A:P,10,FALSE)</f>
        <v>11</v>
      </c>
      <c r="I544" s="6">
        <f>VLOOKUP(globalfreelancepreprocesseddata!A544,worksheet!A:P,12,FALSE)</f>
        <v>30</v>
      </c>
      <c r="J544" s="5">
        <f>VLOOKUP(globalfreelancepreprocesseddata!A544,worksheet!A:P,13,FALSE)</f>
        <v>0</v>
      </c>
      <c r="K544" s="5">
        <f>VLOOKUP(globalfreelancepreprocesseddata!A544,worksheet!A:P,14,FALSE)</f>
        <v>0</v>
      </c>
      <c r="L544" s="7">
        <f>VLOOKUP(globalfreelancepreprocesseddata!A544,worksheet!A:P,16,FALSE)</f>
        <v>0.87</v>
      </c>
    </row>
    <row r="545" spans="1:12" x14ac:dyDescent="0.35">
      <c r="A545" s="5" t="s">
        <v>1162</v>
      </c>
      <c r="B545" s="5" t="str">
        <f>VLOOKUP(globalfreelancepreprocesseddata!A545,worksheet!A:P,3,FALSE)</f>
        <v>Sean Park</v>
      </c>
      <c r="C545" s="5" t="str">
        <f>VLOOKUP(globalfreelancepreprocesseddata!A545,worksheet!A:P,5,FALSE)</f>
        <v>Male</v>
      </c>
      <c r="D545" s="5">
        <f>VLOOKUP(globalfreelancepreprocesseddata!A545,worksheet!A:P,6,FALSE)</f>
        <v>45</v>
      </c>
      <c r="E545" s="5" t="str">
        <f>VLOOKUP(globalfreelancepreprocesseddata!A545,worksheet!A:P,7,FALSE)</f>
        <v>Mexico</v>
      </c>
      <c r="F545" s="5" t="str">
        <f>VLOOKUP(globalfreelancepreprocesseddata!A545,worksheet!A:P,8,FALSE)</f>
        <v>Spanish</v>
      </c>
      <c r="G545" s="5" t="str">
        <f>VLOOKUP(globalfreelancepreprocesseddata!A545,worksheet!A:P,9,FALSE)</f>
        <v>Cybersecurity</v>
      </c>
      <c r="H545" s="5">
        <f>VLOOKUP(globalfreelancepreprocesseddata!A545,worksheet!A:P,10,FALSE)</f>
        <v>19</v>
      </c>
      <c r="I545" s="6">
        <f>VLOOKUP(globalfreelancepreprocesseddata!A545,worksheet!A:P,12,FALSE)</f>
        <v>75</v>
      </c>
      <c r="J545" s="5">
        <f>VLOOKUP(globalfreelancepreprocesseddata!A545,worksheet!A:P,13,FALSE)</f>
        <v>0</v>
      </c>
      <c r="K545" s="5">
        <f>VLOOKUP(globalfreelancepreprocesseddata!A545,worksheet!A:P,14,FALSE)</f>
        <v>1</v>
      </c>
      <c r="L545" s="7">
        <f>VLOOKUP(globalfreelancepreprocesseddata!A545,worksheet!A:P,16,FALSE)</f>
        <v>0.72</v>
      </c>
    </row>
    <row r="546" spans="1:12" x14ac:dyDescent="0.35">
      <c r="A546" s="5" t="s">
        <v>1164</v>
      </c>
      <c r="B546" s="5" t="str">
        <f>VLOOKUP(globalfreelancepreprocesseddata!A546,worksheet!A:P,3,FALSE)</f>
        <v>Judith Poole</v>
      </c>
      <c r="C546" s="5" t="str">
        <f>VLOOKUP(globalfreelancepreprocesseddata!A546,worksheet!A:P,5,FALSE)</f>
        <v>Female</v>
      </c>
      <c r="D546" s="5">
        <f>VLOOKUP(globalfreelancepreprocesseddata!A546,worksheet!A:P,6,FALSE)</f>
        <v>22</v>
      </c>
      <c r="E546" s="5" t="str">
        <f>VLOOKUP(globalfreelancepreprocesseddata!A546,worksheet!A:P,7,FALSE)</f>
        <v>Australia</v>
      </c>
      <c r="F546" s="5" t="str">
        <f>VLOOKUP(globalfreelancepreprocesseddata!A546,worksheet!A:P,8,FALSE)</f>
        <v>English</v>
      </c>
      <c r="G546" s="5" t="str">
        <f>VLOOKUP(globalfreelancepreprocesseddata!A546,worksheet!A:P,9,FALSE)</f>
        <v>Data Analysis</v>
      </c>
      <c r="H546" s="5">
        <f>VLOOKUP(globalfreelancepreprocesseddata!A546,worksheet!A:P,10,FALSE)</f>
        <v>2</v>
      </c>
      <c r="I546" s="6">
        <f>VLOOKUP(globalfreelancepreprocesseddata!A546,worksheet!A:P,12,FALSE)</f>
        <v>40</v>
      </c>
      <c r="J546" s="5">
        <f>VLOOKUP(globalfreelancepreprocesseddata!A546,worksheet!A:P,13,FALSE)</f>
        <v>1.1000000000000001</v>
      </c>
      <c r="K546" s="5">
        <f>VLOOKUP(globalfreelancepreprocesseddata!A546,worksheet!A:P,14,FALSE)</f>
        <v>1</v>
      </c>
      <c r="L546" s="7">
        <f>VLOOKUP(globalfreelancepreprocesseddata!A546,worksheet!A:P,16,FALSE)</f>
        <v>0.76</v>
      </c>
    </row>
    <row r="547" spans="1:12" x14ac:dyDescent="0.35">
      <c r="A547" s="5" t="s">
        <v>1166</v>
      </c>
      <c r="B547" s="5" t="str">
        <f>VLOOKUP(globalfreelancepreprocesseddata!A547,worksheet!A:P,3,FALSE)</f>
        <v>Melanie Baird</v>
      </c>
      <c r="C547" s="5" t="str">
        <f>VLOOKUP(globalfreelancepreprocesseddata!A547,worksheet!A:P,5,FALSE)</f>
        <v>Female</v>
      </c>
      <c r="D547" s="5">
        <f>VLOOKUP(globalfreelancepreprocesseddata!A547,worksheet!A:P,6,FALSE)</f>
        <v>20</v>
      </c>
      <c r="E547" s="5" t="str">
        <f>VLOOKUP(globalfreelancepreprocesseddata!A547,worksheet!A:P,7,FALSE)</f>
        <v>Turkey</v>
      </c>
      <c r="F547" s="5" t="str">
        <f>VLOOKUP(globalfreelancepreprocesseddata!A547,worksheet!A:P,8,FALSE)</f>
        <v>Turkish</v>
      </c>
      <c r="G547" s="5" t="str">
        <f>VLOOKUP(globalfreelancepreprocesseddata!A547,worksheet!A:P,9,FALSE)</f>
        <v>Mobile Apps</v>
      </c>
      <c r="H547" s="5">
        <f>VLOOKUP(globalfreelancepreprocesseddata!A547,worksheet!A:P,10,FALSE)</f>
        <v>11</v>
      </c>
      <c r="I547" s="6">
        <f>VLOOKUP(globalfreelancepreprocesseddata!A547,worksheet!A:P,12,FALSE)</f>
        <v>100</v>
      </c>
      <c r="J547" s="5">
        <f>VLOOKUP(globalfreelancepreprocesseddata!A547,worksheet!A:P,13,FALSE)</f>
        <v>0</v>
      </c>
      <c r="K547" s="5">
        <f>VLOOKUP(globalfreelancepreprocesseddata!A547,worksheet!A:P,14,FALSE)</f>
        <v>0</v>
      </c>
      <c r="L547" s="7">
        <f>VLOOKUP(globalfreelancepreprocesseddata!A547,worksheet!A:P,16,FALSE)</f>
        <v>0.63</v>
      </c>
    </row>
    <row r="548" spans="1:12" x14ac:dyDescent="0.35">
      <c r="A548" s="5" t="s">
        <v>1168</v>
      </c>
      <c r="B548" s="5" t="str">
        <f>VLOOKUP(globalfreelancepreprocesseddata!A548,worksheet!A:P,3,FALSE)</f>
        <v>Erika Mitchell</v>
      </c>
      <c r="C548" s="5" t="str">
        <f>VLOOKUP(globalfreelancepreprocesseddata!A548,worksheet!A:P,5,FALSE)</f>
        <v>Female</v>
      </c>
      <c r="D548" s="5">
        <f>VLOOKUP(globalfreelancepreprocesseddata!A548,worksheet!A:P,6,FALSE)</f>
        <v>20</v>
      </c>
      <c r="E548" s="5" t="str">
        <f>VLOOKUP(globalfreelancepreprocesseddata!A548,worksheet!A:P,7,FALSE)</f>
        <v>Canada</v>
      </c>
      <c r="F548" s="5" t="str">
        <f>VLOOKUP(globalfreelancepreprocesseddata!A548,worksheet!A:P,8,FALSE)</f>
        <v>English</v>
      </c>
      <c r="G548" s="5" t="str">
        <f>VLOOKUP(globalfreelancepreprocesseddata!A548,worksheet!A:P,9,FALSE)</f>
        <v>Data Analysis</v>
      </c>
      <c r="H548" s="5">
        <f>VLOOKUP(globalfreelancepreprocesseddata!A548,worksheet!A:P,10,FALSE)</f>
        <v>2</v>
      </c>
      <c r="I548" s="6">
        <f>VLOOKUP(globalfreelancepreprocesseddata!A548,worksheet!A:P,12,FALSE)</f>
        <v>40</v>
      </c>
      <c r="J548" s="5">
        <f>VLOOKUP(globalfreelancepreprocesseddata!A548,worksheet!A:P,13,FALSE)</f>
        <v>3</v>
      </c>
      <c r="K548" s="5">
        <f>VLOOKUP(globalfreelancepreprocesseddata!A548,worksheet!A:P,14,FALSE)</f>
        <v>1</v>
      </c>
      <c r="L548" s="7">
        <f>VLOOKUP(globalfreelancepreprocesseddata!A548,worksheet!A:P,16,FALSE)</f>
        <v>0.91</v>
      </c>
    </row>
    <row r="549" spans="1:12" x14ac:dyDescent="0.35">
      <c r="A549" s="5" t="s">
        <v>1170</v>
      </c>
      <c r="B549" s="5" t="str">
        <f>VLOOKUP(globalfreelancepreprocesseddata!A549,worksheet!A:P,3,FALSE)</f>
        <v>Ricky Martinez</v>
      </c>
      <c r="C549" s="5" t="str">
        <f>VLOOKUP(globalfreelancepreprocesseddata!A549,worksheet!A:P,5,FALSE)</f>
        <v>Male</v>
      </c>
      <c r="D549" s="5">
        <f>VLOOKUP(globalfreelancepreprocesseddata!A549,worksheet!A:P,6,FALSE)</f>
        <v>21</v>
      </c>
      <c r="E549" s="5" t="str">
        <f>VLOOKUP(globalfreelancepreprocesseddata!A549,worksheet!A:P,7,FALSE)</f>
        <v>United Kingdom</v>
      </c>
      <c r="F549" s="5" t="str">
        <f>VLOOKUP(globalfreelancepreprocesseddata!A549,worksheet!A:P,8,FALSE)</f>
        <v>English</v>
      </c>
      <c r="G549" s="5" t="str">
        <f>VLOOKUP(globalfreelancepreprocesseddata!A549,worksheet!A:P,9,FALSE)</f>
        <v>AI</v>
      </c>
      <c r="H549" s="5">
        <f>VLOOKUP(globalfreelancepreprocesseddata!A549,worksheet!A:P,10,FALSE)</f>
        <v>11</v>
      </c>
      <c r="I549" s="6">
        <f>VLOOKUP(globalfreelancepreprocesseddata!A549,worksheet!A:P,12,FALSE)</f>
        <v>100</v>
      </c>
      <c r="J549" s="5">
        <f>VLOOKUP(globalfreelancepreprocesseddata!A549,worksheet!A:P,13,FALSE)</f>
        <v>3</v>
      </c>
      <c r="K549" s="5">
        <f>VLOOKUP(globalfreelancepreprocesseddata!A549,worksheet!A:P,14,FALSE)</f>
        <v>0</v>
      </c>
      <c r="L549" s="7">
        <f>VLOOKUP(globalfreelancepreprocesseddata!A549,worksheet!A:P,16,FALSE)</f>
        <v>0.73</v>
      </c>
    </row>
    <row r="550" spans="1:12" x14ac:dyDescent="0.35">
      <c r="A550" s="5" t="s">
        <v>1172</v>
      </c>
      <c r="B550" s="5" t="str">
        <f>VLOOKUP(globalfreelancepreprocesseddata!A550,worksheet!A:P,3,FALSE)</f>
        <v>John Christian</v>
      </c>
      <c r="C550" s="5" t="str">
        <f>VLOOKUP(globalfreelancepreprocesseddata!A550,worksheet!A:P,5,FALSE)</f>
        <v>Male</v>
      </c>
      <c r="D550" s="5">
        <f>VLOOKUP(globalfreelancepreprocesseddata!A550,worksheet!A:P,6,FALSE)</f>
        <v>22</v>
      </c>
      <c r="E550" s="5" t="str">
        <f>VLOOKUP(globalfreelancepreprocesseddata!A550,worksheet!A:P,7,FALSE)</f>
        <v>Netherlands</v>
      </c>
      <c r="F550" s="5" t="str">
        <f>VLOOKUP(globalfreelancepreprocesseddata!A550,worksheet!A:P,8,FALSE)</f>
        <v>Dutch</v>
      </c>
      <c r="G550" s="5" t="str">
        <f>VLOOKUP(globalfreelancepreprocesseddata!A550,worksheet!A:P,9,FALSE)</f>
        <v>Cybersecurity</v>
      </c>
      <c r="H550" s="5">
        <f>VLOOKUP(globalfreelancepreprocesseddata!A550,worksheet!A:P,10,FALSE)</f>
        <v>1</v>
      </c>
      <c r="I550" s="6">
        <f>VLOOKUP(globalfreelancepreprocesseddata!A550,worksheet!A:P,12,FALSE)</f>
        <v>40</v>
      </c>
      <c r="J550" s="5">
        <f>VLOOKUP(globalfreelancepreprocesseddata!A550,worksheet!A:P,13,FALSE)</f>
        <v>0</v>
      </c>
      <c r="K550" s="5">
        <f>VLOOKUP(globalfreelancepreprocesseddata!A550,worksheet!A:P,14,FALSE)</f>
        <v>0</v>
      </c>
      <c r="L550" s="7">
        <f>VLOOKUP(globalfreelancepreprocesseddata!A550,worksheet!A:P,16,FALSE)</f>
        <v>0.63</v>
      </c>
    </row>
    <row r="551" spans="1:12" x14ac:dyDescent="0.35">
      <c r="A551" s="5" t="s">
        <v>1174</v>
      </c>
      <c r="B551" s="5" t="str">
        <f>VLOOKUP(globalfreelancepreprocesseddata!A551,worksheet!A:P,3,FALSE)</f>
        <v>Nancy Smith</v>
      </c>
      <c r="C551" s="5" t="str">
        <f>VLOOKUP(globalfreelancepreprocesseddata!A551,worksheet!A:P,5,FALSE)</f>
        <v>Female</v>
      </c>
      <c r="D551" s="5">
        <f>VLOOKUP(globalfreelancepreprocesseddata!A551,worksheet!A:P,6,FALSE)</f>
        <v>28</v>
      </c>
      <c r="E551" s="5" t="str">
        <f>VLOOKUP(globalfreelancepreprocesseddata!A551,worksheet!A:P,7,FALSE)</f>
        <v>United Kingdom</v>
      </c>
      <c r="F551" s="5" t="str">
        <f>VLOOKUP(globalfreelancepreprocesseddata!A551,worksheet!A:P,8,FALSE)</f>
        <v>English</v>
      </c>
      <c r="G551" s="5" t="str">
        <f>VLOOKUP(globalfreelancepreprocesseddata!A551,worksheet!A:P,9,FALSE)</f>
        <v>DevOps</v>
      </c>
      <c r="H551" s="5">
        <f>VLOOKUP(globalfreelancepreprocesseddata!A551,worksheet!A:P,10,FALSE)</f>
        <v>3</v>
      </c>
      <c r="I551" s="6" t="str">
        <f>VLOOKUP(globalfreelancepreprocesseddata!A551,worksheet!A:P,12,FALSE)</f>
        <v>$ 20</v>
      </c>
      <c r="J551" s="5">
        <f>VLOOKUP(globalfreelancepreprocesseddata!A551,worksheet!A:P,13,FALSE)</f>
        <v>3</v>
      </c>
      <c r="K551" s="5">
        <f>VLOOKUP(globalfreelancepreprocesseddata!A551,worksheet!A:P,14,FALSE)</f>
        <v>1</v>
      </c>
      <c r="L551" s="7">
        <f>VLOOKUP(globalfreelancepreprocesseddata!A551,worksheet!A:P,16,FALSE)</f>
        <v>0.79</v>
      </c>
    </row>
    <row r="552" spans="1:12" x14ac:dyDescent="0.35">
      <c r="A552" s="5" t="s">
        <v>1176</v>
      </c>
      <c r="B552" s="5" t="str">
        <f>VLOOKUP(globalfreelancepreprocesseddata!A552,worksheet!A:P,3,FALSE)</f>
        <v>Cassandra Stephens</v>
      </c>
      <c r="C552" s="5" t="str">
        <f>VLOOKUP(globalfreelancepreprocesseddata!A552,worksheet!A:P,5,FALSE)</f>
        <v>Female</v>
      </c>
      <c r="D552" s="5">
        <f>VLOOKUP(globalfreelancepreprocesseddata!A552,worksheet!A:P,6,FALSE)</f>
        <v>59</v>
      </c>
      <c r="E552" s="5" t="str">
        <f>VLOOKUP(globalfreelancepreprocesseddata!A552,worksheet!A:P,7,FALSE)</f>
        <v>Argentina</v>
      </c>
      <c r="F552" s="5" t="str">
        <f>VLOOKUP(globalfreelancepreprocesseddata!A552,worksheet!A:P,8,FALSE)</f>
        <v>Spanish</v>
      </c>
      <c r="G552" s="5" t="str">
        <f>VLOOKUP(globalfreelancepreprocesseddata!A552,worksheet!A:P,9,FALSE)</f>
        <v>AI</v>
      </c>
      <c r="H552" s="5">
        <f>VLOOKUP(globalfreelancepreprocesseddata!A552,worksheet!A:P,10,FALSE)</f>
        <v>11</v>
      </c>
      <c r="I552" s="6">
        <f>VLOOKUP(globalfreelancepreprocesseddata!A552,worksheet!A:P,12,FALSE)</f>
        <v>20</v>
      </c>
      <c r="J552" s="5">
        <f>VLOOKUP(globalfreelancepreprocesseddata!A552,worksheet!A:P,13,FALSE)</f>
        <v>4.0999999999999996</v>
      </c>
      <c r="K552" s="5">
        <f>VLOOKUP(globalfreelancepreprocesseddata!A552,worksheet!A:P,14,FALSE)</f>
        <v>0</v>
      </c>
      <c r="L552" s="7">
        <f>VLOOKUP(globalfreelancepreprocesseddata!A552,worksheet!A:P,16,FALSE)</f>
        <v>0.75</v>
      </c>
    </row>
    <row r="553" spans="1:12" x14ac:dyDescent="0.35">
      <c r="A553" s="5" t="s">
        <v>1178</v>
      </c>
      <c r="B553" s="5" t="str">
        <f>VLOOKUP(globalfreelancepreprocesseddata!A553,worksheet!A:P,3,FALSE)</f>
        <v>Miss Janet Donovan Md</v>
      </c>
      <c r="C553" s="5" t="str">
        <f>VLOOKUP(globalfreelancepreprocesseddata!A553,worksheet!A:P,5,FALSE)</f>
        <v>Female</v>
      </c>
      <c r="D553" s="5">
        <f>VLOOKUP(globalfreelancepreprocesseddata!A553,worksheet!A:P,6,FALSE)</f>
        <v>28</v>
      </c>
      <c r="E553" s="5" t="str">
        <f>VLOOKUP(globalfreelancepreprocesseddata!A553,worksheet!A:P,7,FALSE)</f>
        <v>France</v>
      </c>
      <c r="F553" s="5" t="str">
        <f>VLOOKUP(globalfreelancepreprocesseddata!A553,worksheet!A:P,8,FALSE)</f>
        <v>French</v>
      </c>
      <c r="G553" s="5" t="str">
        <f>VLOOKUP(globalfreelancepreprocesseddata!A553,worksheet!A:P,9,FALSE)</f>
        <v>Web Development</v>
      </c>
      <c r="H553" s="5">
        <f>VLOOKUP(globalfreelancepreprocesseddata!A553,worksheet!A:P,10,FALSE)</f>
        <v>1</v>
      </c>
      <c r="I553" s="6">
        <f>VLOOKUP(globalfreelancepreprocesseddata!A553,worksheet!A:P,12,FALSE)</f>
        <v>40</v>
      </c>
      <c r="J553" s="5">
        <f>VLOOKUP(globalfreelancepreprocesseddata!A553,worksheet!A:P,13,FALSE)</f>
        <v>0</v>
      </c>
      <c r="K553" s="5">
        <f>VLOOKUP(globalfreelancepreprocesseddata!A553,worksheet!A:P,14,FALSE)</f>
        <v>0</v>
      </c>
      <c r="L553" s="7">
        <f>VLOOKUP(globalfreelancepreprocesseddata!A553,worksheet!A:P,16,FALSE)</f>
        <v>0.7</v>
      </c>
    </row>
    <row r="554" spans="1:12" x14ac:dyDescent="0.35">
      <c r="A554" s="5" t="s">
        <v>1180</v>
      </c>
      <c r="B554" s="5" t="str">
        <f>VLOOKUP(globalfreelancepreprocesseddata!A554,worksheet!A:P,3,FALSE)</f>
        <v>Kristina Williams</v>
      </c>
      <c r="C554" s="5" t="str">
        <f>VLOOKUP(globalfreelancepreprocesseddata!A554,worksheet!A:P,5,FALSE)</f>
        <v>Female</v>
      </c>
      <c r="D554" s="5">
        <f>VLOOKUP(globalfreelancepreprocesseddata!A554,worksheet!A:P,6,FALSE)</f>
        <v>40</v>
      </c>
      <c r="E554" s="5" t="str">
        <f>VLOOKUP(globalfreelancepreprocesseddata!A554,worksheet!A:P,7,FALSE)</f>
        <v>Australia</v>
      </c>
      <c r="F554" s="5" t="str">
        <f>VLOOKUP(globalfreelancepreprocesseddata!A554,worksheet!A:P,8,FALSE)</f>
        <v>English</v>
      </c>
      <c r="G554" s="5" t="str">
        <f>VLOOKUP(globalfreelancepreprocesseddata!A554,worksheet!A:P,9,FALSE)</f>
        <v>DevOps</v>
      </c>
      <c r="H554" s="5">
        <f>VLOOKUP(globalfreelancepreprocesseddata!A554,worksheet!A:P,10,FALSE)</f>
        <v>11</v>
      </c>
      <c r="I554" s="6">
        <f>VLOOKUP(globalfreelancepreprocesseddata!A554,worksheet!A:P,12,FALSE)</f>
        <v>100</v>
      </c>
      <c r="J554" s="5">
        <f>VLOOKUP(globalfreelancepreprocesseddata!A554,worksheet!A:P,13,FALSE)</f>
        <v>1.2</v>
      </c>
      <c r="K554" s="5">
        <f>VLOOKUP(globalfreelancepreprocesseddata!A554,worksheet!A:P,14,FALSE)</f>
        <v>1</v>
      </c>
      <c r="L554" s="7">
        <f>VLOOKUP(globalfreelancepreprocesseddata!A554,worksheet!A:P,16,FALSE)</f>
        <v>0.87</v>
      </c>
    </row>
    <row r="555" spans="1:12" x14ac:dyDescent="0.35">
      <c r="A555" s="5" t="s">
        <v>1182</v>
      </c>
      <c r="B555" s="5" t="str">
        <f>VLOOKUP(globalfreelancepreprocesseddata!A555,worksheet!A:P,3,FALSE)</f>
        <v>Wayne Barnes</v>
      </c>
      <c r="C555" s="5" t="str">
        <f>VLOOKUP(globalfreelancepreprocesseddata!A555,worksheet!A:P,5,FALSE)</f>
        <v>Male</v>
      </c>
      <c r="D555" s="5">
        <f>VLOOKUP(globalfreelancepreprocesseddata!A555,worksheet!A:P,6,FALSE)</f>
        <v>57</v>
      </c>
      <c r="E555" s="5" t="str">
        <f>VLOOKUP(globalfreelancepreprocesseddata!A555,worksheet!A:P,7,FALSE)</f>
        <v>Italy</v>
      </c>
      <c r="F555" s="5" t="str">
        <f>VLOOKUP(globalfreelancepreprocesseddata!A555,worksheet!A:P,8,FALSE)</f>
        <v>Italian</v>
      </c>
      <c r="G555" s="5" t="str">
        <f>VLOOKUP(globalfreelancepreprocesseddata!A555,worksheet!A:P,9,FALSE)</f>
        <v>Blockchain Development</v>
      </c>
      <c r="H555" s="5">
        <f>VLOOKUP(globalfreelancepreprocesseddata!A555,worksheet!A:P,10,FALSE)</f>
        <v>7</v>
      </c>
      <c r="I555" s="6">
        <f>VLOOKUP(globalfreelancepreprocesseddata!A555,worksheet!A:P,12,FALSE)</f>
        <v>30</v>
      </c>
      <c r="J555" s="5">
        <f>VLOOKUP(globalfreelancepreprocesseddata!A555,worksheet!A:P,13,FALSE)</f>
        <v>1.6</v>
      </c>
      <c r="K555" s="5">
        <f>VLOOKUP(globalfreelancepreprocesseddata!A555,worksheet!A:P,14,FALSE)</f>
        <v>1</v>
      </c>
      <c r="L555" s="7">
        <f>VLOOKUP(globalfreelancepreprocesseddata!A555,worksheet!A:P,16,FALSE)</f>
        <v>0.16</v>
      </c>
    </row>
    <row r="556" spans="1:12" x14ac:dyDescent="0.35">
      <c r="A556" s="5" t="s">
        <v>1184</v>
      </c>
      <c r="B556" s="5" t="str">
        <f>VLOOKUP(globalfreelancepreprocesseddata!A556,worksheet!A:P,3,FALSE)</f>
        <v>James Hinton</v>
      </c>
      <c r="C556" s="5" t="str">
        <f>VLOOKUP(globalfreelancepreprocesseddata!A556,worksheet!A:P,5,FALSE)</f>
        <v>Male</v>
      </c>
      <c r="D556" s="5">
        <f>VLOOKUP(globalfreelancepreprocesseddata!A556,worksheet!A:P,6,FALSE)</f>
        <v>47</v>
      </c>
      <c r="E556" s="5" t="str">
        <f>VLOOKUP(globalfreelancepreprocesseddata!A556,worksheet!A:P,7,FALSE)</f>
        <v>Turkey</v>
      </c>
      <c r="F556" s="5" t="str">
        <f>VLOOKUP(globalfreelancepreprocesseddata!A556,worksheet!A:P,8,FALSE)</f>
        <v>Turkish</v>
      </c>
      <c r="G556" s="5" t="str">
        <f>VLOOKUP(globalfreelancepreprocesseddata!A556,worksheet!A:P,9,FALSE)</f>
        <v>DevOps</v>
      </c>
      <c r="H556" s="5">
        <f>VLOOKUP(globalfreelancepreprocesseddata!A556,worksheet!A:P,10,FALSE)</f>
        <v>1</v>
      </c>
      <c r="I556" s="6">
        <f>VLOOKUP(globalfreelancepreprocesseddata!A556,worksheet!A:P,12,FALSE)</f>
        <v>50</v>
      </c>
      <c r="J556" s="5">
        <f>VLOOKUP(globalfreelancepreprocesseddata!A556,worksheet!A:P,13,FALSE)</f>
        <v>3.9</v>
      </c>
      <c r="K556" s="5">
        <f>VLOOKUP(globalfreelancepreprocesseddata!A556,worksheet!A:P,14,FALSE)</f>
        <v>1</v>
      </c>
      <c r="L556" s="7">
        <f>VLOOKUP(globalfreelancepreprocesseddata!A556,worksheet!A:P,16,FALSE)</f>
        <v>0.88</v>
      </c>
    </row>
    <row r="557" spans="1:12" x14ac:dyDescent="0.35">
      <c r="A557" s="5" t="s">
        <v>1186</v>
      </c>
      <c r="B557" s="5" t="str">
        <f>VLOOKUP(globalfreelancepreprocesseddata!A557,worksheet!A:P,3,FALSE)</f>
        <v>David Spence</v>
      </c>
      <c r="C557" s="5" t="str">
        <f>VLOOKUP(globalfreelancepreprocesseddata!A557,worksheet!A:P,5,FALSE)</f>
        <v>Male</v>
      </c>
      <c r="D557" s="5">
        <f>VLOOKUP(globalfreelancepreprocesseddata!A557,worksheet!A:P,6,FALSE)</f>
        <v>48</v>
      </c>
      <c r="E557" s="5" t="str">
        <f>VLOOKUP(globalfreelancepreprocesseddata!A557,worksheet!A:P,7,FALSE)</f>
        <v>South Korea</v>
      </c>
      <c r="F557" s="5" t="str">
        <f>VLOOKUP(globalfreelancepreprocesseddata!A557,worksheet!A:P,8,FALSE)</f>
        <v>Korean</v>
      </c>
      <c r="G557" s="5" t="str">
        <f>VLOOKUP(globalfreelancepreprocesseddata!A557,worksheet!A:P,9,FALSE)</f>
        <v>Cybersecurity</v>
      </c>
      <c r="H557" s="5">
        <f>VLOOKUP(globalfreelancepreprocesseddata!A557,worksheet!A:P,10,FALSE)</f>
        <v>21</v>
      </c>
      <c r="I557" s="6">
        <f>VLOOKUP(globalfreelancepreprocesseddata!A557,worksheet!A:P,12,FALSE)</f>
        <v>40</v>
      </c>
      <c r="J557" s="5">
        <f>VLOOKUP(globalfreelancepreprocesseddata!A557,worksheet!A:P,13,FALSE)</f>
        <v>0</v>
      </c>
      <c r="K557" s="5">
        <f>VLOOKUP(globalfreelancepreprocesseddata!A557,worksheet!A:P,14,FALSE)</f>
        <v>1</v>
      </c>
      <c r="L557" s="7">
        <f>VLOOKUP(globalfreelancepreprocesseddata!A557,worksheet!A:P,16,FALSE)</f>
        <v>0.16</v>
      </c>
    </row>
    <row r="558" spans="1:12" x14ac:dyDescent="0.35">
      <c r="A558" s="5" t="s">
        <v>1188</v>
      </c>
      <c r="B558" s="5" t="str">
        <f>VLOOKUP(globalfreelancepreprocesseddata!A558,worksheet!A:P,3,FALSE)</f>
        <v>Tyler Cooper</v>
      </c>
      <c r="C558" s="5" t="str">
        <f>VLOOKUP(globalfreelancepreprocesseddata!A558,worksheet!A:P,5,FALSE)</f>
        <v>Male</v>
      </c>
      <c r="D558" s="5">
        <f>VLOOKUP(globalfreelancepreprocesseddata!A558,worksheet!A:P,6,FALSE)</f>
        <v>28</v>
      </c>
      <c r="E558" s="5" t="str">
        <f>VLOOKUP(globalfreelancepreprocesseddata!A558,worksheet!A:P,7,FALSE)</f>
        <v>United States</v>
      </c>
      <c r="F558" s="5" t="str">
        <f>VLOOKUP(globalfreelancepreprocesseddata!A558,worksheet!A:P,8,FALSE)</f>
        <v>English</v>
      </c>
      <c r="G558" s="5" t="str">
        <f>VLOOKUP(globalfreelancepreprocesseddata!A558,worksheet!A:P,9,FALSE)</f>
        <v>UI/UX Design</v>
      </c>
      <c r="H558" s="5">
        <f>VLOOKUP(globalfreelancepreprocesseddata!A558,worksheet!A:P,10,FALSE)</f>
        <v>1</v>
      </c>
      <c r="I558" s="6" t="str">
        <f>VLOOKUP(globalfreelancepreprocesseddata!A558,worksheet!A:P,12,FALSE)</f>
        <v>$ 20</v>
      </c>
      <c r="J558" s="5">
        <f>VLOOKUP(globalfreelancepreprocesseddata!A558,worksheet!A:P,13,FALSE)</f>
        <v>4.7</v>
      </c>
      <c r="K558" s="5">
        <f>VLOOKUP(globalfreelancepreprocesseddata!A558,worksheet!A:P,14,FALSE)</f>
        <v>0</v>
      </c>
      <c r="L558" s="7">
        <f>VLOOKUP(globalfreelancepreprocesseddata!A558,worksheet!A:P,16,FALSE)</f>
        <v>0.93</v>
      </c>
    </row>
    <row r="559" spans="1:12" x14ac:dyDescent="0.35">
      <c r="A559" s="5" t="s">
        <v>1190</v>
      </c>
      <c r="B559" s="5" t="str">
        <f>VLOOKUP(globalfreelancepreprocesseddata!A559,worksheet!A:P,3,FALSE)</f>
        <v>Sean Martinez</v>
      </c>
      <c r="C559" s="5" t="str">
        <f>VLOOKUP(globalfreelancepreprocesseddata!A559,worksheet!A:P,5,FALSE)</f>
        <v>Male</v>
      </c>
      <c r="D559" s="5">
        <f>VLOOKUP(globalfreelancepreprocesseddata!A559,worksheet!A:P,6,FALSE)</f>
        <v>41</v>
      </c>
      <c r="E559" s="5" t="str">
        <f>VLOOKUP(globalfreelancepreprocesseddata!A559,worksheet!A:P,7,FALSE)</f>
        <v>Turkey</v>
      </c>
      <c r="F559" s="5" t="str">
        <f>VLOOKUP(globalfreelancepreprocesseddata!A559,worksheet!A:P,8,FALSE)</f>
        <v>Turkish</v>
      </c>
      <c r="G559" s="5" t="str">
        <f>VLOOKUP(globalfreelancepreprocesseddata!A559,worksheet!A:P,9,FALSE)</f>
        <v>Graphic Design</v>
      </c>
      <c r="H559" s="5">
        <f>VLOOKUP(globalfreelancepreprocesseddata!A559,worksheet!A:P,10,FALSE)</f>
        <v>15</v>
      </c>
      <c r="I559" s="6">
        <f>VLOOKUP(globalfreelancepreprocesseddata!A559,worksheet!A:P,12,FALSE)</f>
        <v>40</v>
      </c>
      <c r="J559" s="5">
        <f>VLOOKUP(globalfreelancepreprocesseddata!A559,worksheet!A:P,13,FALSE)</f>
        <v>3.8</v>
      </c>
      <c r="K559" s="5">
        <f>VLOOKUP(globalfreelancepreprocesseddata!A559,worksheet!A:P,14,FALSE)</f>
        <v>1</v>
      </c>
      <c r="L559" s="7">
        <f>VLOOKUP(globalfreelancepreprocesseddata!A559,worksheet!A:P,16,FALSE)</f>
        <v>0.16</v>
      </c>
    </row>
    <row r="560" spans="1:12" x14ac:dyDescent="0.35">
      <c r="A560" s="5" t="s">
        <v>1192</v>
      </c>
      <c r="B560" s="5" t="str">
        <f>VLOOKUP(globalfreelancepreprocesseddata!A560,worksheet!A:P,3,FALSE)</f>
        <v>Janet Barron</v>
      </c>
      <c r="C560" s="5" t="str">
        <f>VLOOKUP(globalfreelancepreprocesseddata!A560,worksheet!A:P,5,FALSE)</f>
        <v>Female</v>
      </c>
      <c r="D560" s="5">
        <f>VLOOKUP(globalfreelancepreprocesseddata!A560,worksheet!A:P,6,FALSE)</f>
        <v>57</v>
      </c>
      <c r="E560" s="5" t="str">
        <f>VLOOKUP(globalfreelancepreprocesseddata!A560,worksheet!A:P,7,FALSE)</f>
        <v>South Africa</v>
      </c>
      <c r="F560" s="5" t="str">
        <f>VLOOKUP(globalfreelancepreprocesseddata!A560,worksheet!A:P,8,FALSE)</f>
        <v>Afrikaans</v>
      </c>
      <c r="G560" s="5" t="str">
        <f>VLOOKUP(globalfreelancepreprocesseddata!A560,worksheet!A:P,9,FALSE)</f>
        <v>Cybersecurity</v>
      </c>
      <c r="H560" s="5">
        <f>VLOOKUP(globalfreelancepreprocesseddata!A560,worksheet!A:P,10,FALSE)</f>
        <v>33</v>
      </c>
      <c r="I560" s="6">
        <f>VLOOKUP(globalfreelancepreprocesseddata!A560,worksheet!A:P,12,FALSE)</f>
        <v>100</v>
      </c>
      <c r="J560" s="5">
        <f>VLOOKUP(globalfreelancepreprocesseddata!A560,worksheet!A:P,13,FALSE)</f>
        <v>3.5</v>
      </c>
      <c r="K560" s="5">
        <f>VLOOKUP(globalfreelancepreprocesseddata!A560,worksheet!A:P,14,FALSE)</f>
        <v>1</v>
      </c>
      <c r="L560" s="7">
        <f>VLOOKUP(globalfreelancepreprocesseddata!A560,worksheet!A:P,16,FALSE)</f>
        <v>0.74</v>
      </c>
    </row>
    <row r="561" spans="1:12" x14ac:dyDescent="0.35">
      <c r="A561" s="5" t="s">
        <v>1194</v>
      </c>
      <c r="B561" s="5" t="str">
        <f>VLOOKUP(globalfreelancepreprocesseddata!A561,worksheet!A:P,3,FALSE)</f>
        <v>Rodney Wilson</v>
      </c>
      <c r="C561" s="5" t="str">
        <f>VLOOKUP(globalfreelancepreprocesseddata!A561,worksheet!A:P,5,FALSE)</f>
        <v>Male</v>
      </c>
      <c r="D561" s="5">
        <f>VLOOKUP(globalfreelancepreprocesseddata!A561,worksheet!A:P,6,FALSE)</f>
        <v>60</v>
      </c>
      <c r="E561" s="5" t="str">
        <f>VLOOKUP(globalfreelancepreprocesseddata!A561,worksheet!A:P,7,FALSE)</f>
        <v>Argentina</v>
      </c>
      <c r="F561" s="5" t="str">
        <f>VLOOKUP(globalfreelancepreprocesseddata!A561,worksheet!A:P,8,FALSE)</f>
        <v>Spanish</v>
      </c>
      <c r="G561" s="5" t="str">
        <f>VLOOKUP(globalfreelancepreprocesseddata!A561,worksheet!A:P,9,FALSE)</f>
        <v>Graphic Design</v>
      </c>
      <c r="H561" s="5">
        <f>VLOOKUP(globalfreelancepreprocesseddata!A561,worksheet!A:P,10,FALSE)</f>
        <v>39</v>
      </c>
      <c r="I561" s="6" t="str">
        <f>VLOOKUP(globalfreelancepreprocesseddata!A561,worksheet!A:P,12,FALSE)</f>
        <v>$ 75</v>
      </c>
      <c r="J561" s="5">
        <f>VLOOKUP(globalfreelancepreprocesseddata!A561,worksheet!A:P,13,FALSE)</f>
        <v>4</v>
      </c>
      <c r="K561" s="5">
        <f>VLOOKUP(globalfreelancepreprocesseddata!A561,worksheet!A:P,14,FALSE)</f>
        <v>1</v>
      </c>
      <c r="L561" s="7">
        <f>VLOOKUP(globalfreelancepreprocesseddata!A561,worksheet!A:P,16,FALSE)</f>
        <v>0.7</v>
      </c>
    </row>
    <row r="562" spans="1:12" x14ac:dyDescent="0.35">
      <c r="A562" s="5" t="s">
        <v>1196</v>
      </c>
      <c r="B562" s="5" t="str">
        <f>VLOOKUP(globalfreelancepreprocesseddata!A562,worksheet!A:P,3,FALSE)</f>
        <v>Kimberly Fitzgerald</v>
      </c>
      <c r="C562" s="5" t="str">
        <f>VLOOKUP(globalfreelancepreprocesseddata!A562,worksheet!A:P,5,FALSE)</f>
        <v>Female</v>
      </c>
      <c r="D562" s="5">
        <f>VLOOKUP(globalfreelancepreprocesseddata!A562,worksheet!A:P,6,FALSE)</f>
        <v>48</v>
      </c>
      <c r="E562" s="5" t="str">
        <f>VLOOKUP(globalfreelancepreprocesseddata!A562,worksheet!A:P,7,FALSE)</f>
        <v>Egypt</v>
      </c>
      <c r="F562" s="5" t="str">
        <f>VLOOKUP(globalfreelancepreprocesseddata!A562,worksheet!A:P,8,FALSE)</f>
        <v>Arabic</v>
      </c>
      <c r="G562" s="5" t="str">
        <f>VLOOKUP(globalfreelancepreprocesseddata!A562,worksheet!A:P,9,FALSE)</f>
        <v>Graphic Design</v>
      </c>
      <c r="H562" s="5">
        <f>VLOOKUP(globalfreelancepreprocesseddata!A562,worksheet!A:P,10,FALSE)</f>
        <v>21</v>
      </c>
      <c r="I562" s="6">
        <f>VLOOKUP(globalfreelancepreprocesseddata!A562,worksheet!A:P,12,FALSE)</f>
        <v>30</v>
      </c>
      <c r="J562" s="5">
        <f>VLOOKUP(globalfreelancepreprocesseddata!A562,worksheet!A:P,13,FALSE)</f>
        <v>1.6</v>
      </c>
      <c r="K562" s="5">
        <f>VLOOKUP(globalfreelancepreprocesseddata!A562,worksheet!A:P,14,FALSE)</f>
        <v>1</v>
      </c>
      <c r="L562" s="7">
        <f>VLOOKUP(globalfreelancepreprocesseddata!A562,worksheet!A:P,16,FALSE)</f>
        <v>0.67</v>
      </c>
    </row>
    <row r="563" spans="1:12" x14ac:dyDescent="0.35">
      <c r="A563" s="5" t="s">
        <v>1198</v>
      </c>
      <c r="B563" s="5" t="str">
        <f>VLOOKUP(globalfreelancepreprocesseddata!A563,worksheet!A:P,3,FALSE)</f>
        <v>Nicole Davis</v>
      </c>
      <c r="C563" s="5" t="str">
        <f>VLOOKUP(globalfreelancepreprocesseddata!A563,worksheet!A:P,5,FALSE)</f>
        <v>Female</v>
      </c>
      <c r="D563" s="5">
        <f>VLOOKUP(globalfreelancepreprocesseddata!A563,worksheet!A:P,6,FALSE)</f>
        <v>24</v>
      </c>
      <c r="E563" s="5" t="str">
        <f>VLOOKUP(globalfreelancepreprocesseddata!A563,worksheet!A:P,7,FALSE)</f>
        <v>France</v>
      </c>
      <c r="F563" s="5" t="str">
        <f>VLOOKUP(globalfreelancepreprocesseddata!A563,worksheet!A:P,8,FALSE)</f>
        <v>French</v>
      </c>
      <c r="G563" s="5" t="str">
        <f>VLOOKUP(globalfreelancepreprocesseddata!A563,worksheet!A:P,9,FALSE)</f>
        <v>Cybersecurity</v>
      </c>
      <c r="H563" s="5">
        <f>VLOOKUP(globalfreelancepreprocesseddata!A563,worksheet!A:P,10,FALSE)</f>
        <v>5</v>
      </c>
      <c r="I563" s="6">
        <f>VLOOKUP(globalfreelancepreprocesseddata!A563,worksheet!A:P,12,FALSE)</f>
        <v>40</v>
      </c>
      <c r="J563" s="5">
        <f>VLOOKUP(globalfreelancepreprocesseddata!A563,worksheet!A:P,13,FALSE)</f>
        <v>3</v>
      </c>
      <c r="K563" s="5">
        <f>VLOOKUP(globalfreelancepreprocesseddata!A563,worksheet!A:P,14,FALSE)</f>
        <v>1</v>
      </c>
      <c r="L563" s="7">
        <f>VLOOKUP(globalfreelancepreprocesseddata!A563,worksheet!A:P,16,FALSE)</f>
        <v>0.86</v>
      </c>
    </row>
    <row r="564" spans="1:12" x14ac:dyDescent="0.35">
      <c r="A564" s="5" t="s">
        <v>1200</v>
      </c>
      <c r="B564" s="5" t="str">
        <f>VLOOKUP(globalfreelancepreprocesseddata!A564,worksheet!A:P,3,FALSE)</f>
        <v>Elizabeth Hayes</v>
      </c>
      <c r="C564" s="5" t="str">
        <f>VLOOKUP(globalfreelancepreprocesseddata!A564,worksheet!A:P,5,FALSE)</f>
        <v>Female</v>
      </c>
      <c r="D564" s="5">
        <f>VLOOKUP(globalfreelancepreprocesseddata!A564,worksheet!A:P,6,FALSE)</f>
        <v>33</v>
      </c>
      <c r="E564" s="5" t="str">
        <f>VLOOKUP(globalfreelancepreprocesseddata!A564,worksheet!A:P,7,FALSE)</f>
        <v>Mexico</v>
      </c>
      <c r="F564" s="5" t="str">
        <f>VLOOKUP(globalfreelancepreprocesseddata!A564,worksheet!A:P,8,FALSE)</f>
        <v>Spanish</v>
      </c>
      <c r="G564" s="5" t="str">
        <f>VLOOKUP(globalfreelancepreprocesseddata!A564,worksheet!A:P,9,FALSE)</f>
        <v>DevOps</v>
      </c>
      <c r="H564" s="5">
        <f>VLOOKUP(globalfreelancepreprocesseddata!A564,worksheet!A:P,10,FALSE)</f>
        <v>11</v>
      </c>
      <c r="I564" s="6">
        <f>VLOOKUP(globalfreelancepreprocesseddata!A564,worksheet!A:P,12,FALSE)</f>
        <v>50</v>
      </c>
      <c r="J564" s="5">
        <f>VLOOKUP(globalfreelancepreprocesseddata!A564,worksheet!A:P,13,FALSE)</f>
        <v>5</v>
      </c>
      <c r="K564" s="5">
        <f>VLOOKUP(globalfreelancepreprocesseddata!A564,worksheet!A:P,14,FALSE)</f>
        <v>1</v>
      </c>
      <c r="L564" s="7">
        <f>VLOOKUP(globalfreelancepreprocesseddata!A564,worksheet!A:P,16,FALSE)</f>
        <v>0.69</v>
      </c>
    </row>
    <row r="565" spans="1:12" x14ac:dyDescent="0.35">
      <c r="A565" s="5" t="s">
        <v>1202</v>
      </c>
      <c r="B565" s="5" t="str">
        <f>VLOOKUP(globalfreelancepreprocesseddata!A565,worksheet!A:P,3,FALSE)</f>
        <v>Kathy Faulkner</v>
      </c>
      <c r="C565" s="5" t="str">
        <f>VLOOKUP(globalfreelancepreprocesseddata!A565,worksheet!A:P,5,FALSE)</f>
        <v>Female</v>
      </c>
      <c r="D565" s="5">
        <f>VLOOKUP(globalfreelancepreprocesseddata!A565,worksheet!A:P,6,FALSE)</f>
        <v>20</v>
      </c>
      <c r="E565" s="5" t="str">
        <f>VLOOKUP(globalfreelancepreprocesseddata!A565,worksheet!A:P,7,FALSE)</f>
        <v>Turkey</v>
      </c>
      <c r="F565" s="5" t="str">
        <f>VLOOKUP(globalfreelancepreprocesseddata!A565,worksheet!A:P,8,FALSE)</f>
        <v>Turkish</v>
      </c>
      <c r="G565" s="5" t="str">
        <f>VLOOKUP(globalfreelancepreprocesseddata!A565,worksheet!A:P,9,FALSE)</f>
        <v>Graphic Design</v>
      </c>
      <c r="H565" s="5">
        <f>VLOOKUP(globalfreelancepreprocesseddata!A565,worksheet!A:P,10,FALSE)</f>
        <v>11</v>
      </c>
      <c r="I565" s="6">
        <f>VLOOKUP(globalfreelancepreprocesseddata!A565,worksheet!A:P,12,FALSE)</f>
        <v>30</v>
      </c>
      <c r="J565" s="5">
        <f>VLOOKUP(globalfreelancepreprocesseddata!A565,worksheet!A:P,13,FALSE)</f>
        <v>4.8</v>
      </c>
      <c r="K565" s="5">
        <f>VLOOKUP(globalfreelancepreprocesseddata!A565,worksheet!A:P,14,FALSE)</f>
        <v>1</v>
      </c>
      <c r="L565" s="7">
        <f>VLOOKUP(globalfreelancepreprocesseddata!A565,worksheet!A:P,16,FALSE)</f>
        <v>0.68</v>
      </c>
    </row>
    <row r="566" spans="1:12" x14ac:dyDescent="0.35">
      <c r="A566" s="5" t="s">
        <v>1204</v>
      </c>
      <c r="B566" s="5" t="str">
        <f>VLOOKUP(globalfreelancepreprocesseddata!A566,worksheet!A:P,3,FALSE)</f>
        <v>John Gonzales</v>
      </c>
      <c r="C566" s="5" t="str">
        <f>VLOOKUP(globalfreelancepreprocesseddata!A566,worksheet!A:P,5,FALSE)</f>
        <v>Male</v>
      </c>
      <c r="D566" s="5">
        <f>VLOOKUP(globalfreelancepreprocesseddata!A566,worksheet!A:P,6,FALSE)</f>
        <v>59</v>
      </c>
      <c r="E566" s="5" t="str">
        <f>VLOOKUP(globalfreelancepreprocesseddata!A566,worksheet!A:P,7,FALSE)</f>
        <v>United Kingdom</v>
      </c>
      <c r="F566" s="5" t="str">
        <f>VLOOKUP(globalfreelancepreprocesseddata!A566,worksheet!A:P,8,FALSE)</f>
        <v>English</v>
      </c>
      <c r="G566" s="5" t="str">
        <f>VLOOKUP(globalfreelancepreprocesseddata!A566,worksheet!A:P,9,FALSE)</f>
        <v>DevOps</v>
      </c>
      <c r="H566" s="5">
        <f>VLOOKUP(globalfreelancepreprocesseddata!A566,worksheet!A:P,10,FALSE)</f>
        <v>15</v>
      </c>
      <c r="I566" s="6">
        <f>VLOOKUP(globalfreelancepreprocesseddata!A566,worksheet!A:P,12,FALSE)</f>
        <v>50</v>
      </c>
      <c r="J566" s="5">
        <f>VLOOKUP(globalfreelancepreprocesseddata!A566,worksheet!A:P,13,FALSE)</f>
        <v>3</v>
      </c>
      <c r="K566" s="5">
        <f>VLOOKUP(globalfreelancepreprocesseddata!A566,worksheet!A:P,14,FALSE)</f>
        <v>1</v>
      </c>
      <c r="L566" s="7">
        <f>VLOOKUP(globalfreelancepreprocesseddata!A566,worksheet!A:P,16,FALSE)</f>
        <v>0.16</v>
      </c>
    </row>
    <row r="567" spans="1:12" x14ac:dyDescent="0.35">
      <c r="A567" s="5" t="s">
        <v>1206</v>
      </c>
      <c r="B567" s="5" t="str">
        <f>VLOOKUP(globalfreelancepreprocesseddata!A567,worksheet!A:P,3,FALSE)</f>
        <v>Shannon Luna</v>
      </c>
      <c r="C567" s="5" t="str">
        <f>VLOOKUP(globalfreelancepreprocesseddata!A567,worksheet!A:P,5,FALSE)</f>
        <v>Female</v>
      </c>
      <c r="D567" s="5">
        <f>VLOOKUP(globalfreelancepreprocesseddata!A567,worksheet!A:P,6,FALSE)</f>
        <v>42</v>
      </c>
      <c r="E567" s="5" t="str">
        <f>VLOOKUP(globalfreelancepreprocesseddata!A567,worksheet!A:P,7,FALSE)</f>
        <v>China</v>
      </c>
      <c r="F567" s="5" t="str">
        <f>VLOOKUP(globalfreelancepreprocesseddata!A567,worksheet!A:P,8,FALSE)</f>
        <v>Mandarin</v>
      </c>
      <c r="G567" s="5" t="str">
        <f>VLOOKUP(globalfreelancepreprocesseddata!A567,worksheet!A:P,9,FALSE)</f>
        <v>DevOps</v>
      </c>
      <c r="H567" s="5">
        <f>VLOOKUP(globalfreelancepreprocesseddata!A567,worksheet!A:P,10,FALSE)</f>
        <v>22</v>
      </c>
      <c r="I567" s="6">
        <f>VLOOKUP(globalfreelancepreprocesseddata!A567,worksheet!A:P,12,FALSE)</f>
        <v>40</v>
      </c>
      <c r="J567" s="5">
        <f>VLOOKUP(globalfreelancepreprocesseddata!A567,worksheet!A:P,13,FALSE)</f>
        <v>2.9</v>
      </c>
      <c r="K567" s="5">
        <f>VLOOKUP(globalfreelancepreprocesseddata!A567,worksheet!A:P,14,FALSE)</f>
        <v>0</v>
      </c>
      <c r="L567" s="7">
        <f>VLOOKUP(globalfreelancepreprocesseddata!A567,worksheet!A:P,16,FALSE)</f>
        <v>0.61</v>
      </c>
    </row>
    <row r="568" spans="1:12" x14ac:dyDescent="0.35">
      <c r="A568" s="5" t="s">
        <v>1208</v>
      </c>
      <c r="B568" s="5" t="str">
        <f>VLOOKUP(globalfreelancepreprocesseddata!A568,worksheet!A:P,3,FALSE)</f>
        <v>Stephanie Burton</v>
      </c>
      <c r="C568" s="5" t="str">
        <f>VLOOKUP(globalfreelancepreprocesseddata!A568,worksheet!A:P,5,FALSE)</f>
        <v>Female</v>
      </c>
      <c r="D568" s="5">
        <f>VLOOKUP(globalfreelancepreprocesseddata!A568,worksheet!A:P,6,FALSE)</f>
        <v>22</v>
      </c>
      <c r="E568" s="5" t="str">
        <f>VLOOKUP(globalfreelancepreprocesseddata!A568,worksheet!A:P,7,FALSE)</f>
        <v>Turkey</v>
      </c>
      <c r="F568" s="5" t="str">
        <f>VLOOKUP(globalfreelancepreprocesseddata!A568,worksheet!A:P,8,FALSE)</f>
        <v>Turkish</v>
      </c>
      <c r="G568" s="5" t="str">
        <f>VLOOKUP(globalfreelancepreprocesseddata!A568,worksheet!A:P,9,FALSE)</f>
        <v>UI/UX Design</v>
      </c>
      <c r="H568" s="5">
        <f>VLOOKUP(globalfreelancepreprocesseddata!A568,worksheet!A:P,10,FALSE)</f>
        <v>3</v>
      </c>
      <c r="I568" s="6">
        <f>VLOOKUP(globalfreelancepreprocesseddata!A568,worksheet!A:P,12,FALSE)</f>
        <v>40</v>
      </c>
      <c r="J568" s="5">
        <f>VLOOKUP(globalfreelancepreprocesseddata!A568,worksheet!A:P,13,FALSE)</f>
        <v>3</v>
      </c>
      <c r="K568" s="5">
        <f>VLOOKUP(globalfreelancepreprocesseddata!A568,worksheet!A:P,14,FALSE)</f>
        <v>1</v>
      </c>
      <c r="L568" s="7">
        <f>VLOOKUP(globalfreelancepreprocesseddata!A568,worksheet!A:P,16,FALSE)</f>
        <v>0.96</v>
      </c>
    </row>
    <row r="569" spans="1:12" x14ac:dyDescent="0.35">
      <c r="A569" s="5" t="s">
        <v>1210</v>
      </c>
      <c r="B569" s="5" t="str">
        <f>VLOOKUP(globalfreelancepreprocesseddata!A569,worksheet!A:P,3,FALSE)</f>
        <v>Kevin Gonzales</v>
      </c>
      <c r="C569" s="5" t="str">
        <f>VLOOKUP(globalfreelancepreprocesseddata!A569,worksheet!A:P,5,FALSE)</f>
        <v>Male</v>
      </c>
      <c r="D569" s="5">
        <f>VLOOKUP(globalfreelancepreprocesseddata!A569,worksheet!A:P,6,FALSE)</f>
        <v>41</v>
      </c>
      <c r="E569" s="5" t="str">
        <f>VLOOKUP(globalfreelancepreprocesseddata!A569,worksheet!A:P,7,FALSE)</f>
        <v>Canada</v>
      </c>
      <c r="F569" s="5" t="str">
        <f>VLOOKUP(globalfreelancepreprocesseddata!A569,worksheet!A:P,8,FALSE)</f>
        <v>English</v>
      </c>
      <c r="G569" s="5" t="str">
        <f>VLOOKUP(globalfreelancepreprocesseddata!A569,worksheet!A:P,9,FALSE)</f>
        <v>Cybersecurity</v>
      </c>
      <c r="H569" s="5">
        <f>VLOOKUP(globalfreelancepreprocesseddata!A569,worksheet!A:P,10,FALSE)</f>
        <v>11</v>
      </c>
      <c r="I569" s="6">
        <f>VLOOKUP(globalfreelancepreprocesseddata!A569,worksheet!A:P,12,FALSE)</f>
        <v>50</v>
      </c>
      <c r="J569" s="5">
        <f>VLOOKUP(globalfreelancepreprocesseddata!A569,worksheet!A:P,13,FALSE)</f>
        <v>3.5</v>
      </c>
      <c r="K569" s="5">
        <f>VLOOKUP(globalfreelancepreprocesseddata!A569,worksheet!A:P,14,FALSE)</f>
        <v>1</v>
      </c>
      <c r="L569" s="7">
        <f>VLOOKUP(globalfreelancepreprocesseddata!A569,worksheet!A:P,16,FALSE)</f>
        <v>0.68</v>
      </c>
    </row>
    <row r="570" spans="1:12" x14ac:dyDescent="0.35">
      <c r="A570" s="5" t="s">
        <v>1212</v>
      </c>
      <c r="B570" s="5" t="str">
        <f>VLOOKUP(globalfreelancepreprocesseddata!A570,worksheet!A:P,3,FALSE)</f>
        <v>Dawn Hardy</v>
      </c>
      <c r="C570" s="5" t="str">
        <f>VLOOKUP(globalfreelancepreprocesseddata!A570,worksheet!A:P,5,FALSE)</f>
        <v>Female</v>
      </c>
      <c r="D570" s="5">
        <f>VLOOKUP(globalfreelancepreprocesseddata!A570,worksheet!A:P,6,FALSE)</f>
        <v>25</v>
      </c>
      <c r="E570" s="5" t="str">
        <f>VLOOKUP(globalfreelancepreprocesseddata!A570,worksheet!A:P,7,FALSE)</f>
        <v>Argentina</v>
      </c>
      <c r="F570" s="5" t="str">
        <f>VLOOKUP(globalfreelancepreprocesseddata!A570,worksheet!A:P,8,FALSE)</f>
        <v>Spanish</v>
      </c>
      <c r="G570" s="5" t="str">
        <f>VLOOKUP(globalfreelancepreprocesseddata!A570,worksheet!A:P,9,FALSE)</f>
        <v>Web Development</v>
      </c>
      <c r="H570" s="5">
        <f>VLOOKUP(globalfreelancepreprocesseddata!A570,worksheet!A:P,10,FALSE)</f>
        <v>5</v>
      </c>
      <c r="I570" s="6">
        <f>VLOOKUP(globalfreelancepreprocesseddata!A570,worksheet!A:P,12,FALSE)</f>
        <v>40</v>
      </c>
      <c r="J570" s="5">
        <f>VLOOKUP(globalfreelancepreprocesseddata!A570,worksheet!A:P,13,FALSE)</f>
        <v>3</v>
      </c>
      <c r="K570" s="5">
        <f>VLOOKUP(globalfreelancepreprocesseddata!A570,worksheet!A:P,14,FALSE)</f>
        <v>1</v>
      </c>
      <c r="L570" s="7">
        <f>VLOOKUP(globalfreelancepreprocesseddata!A570,worksheet!A:P,16,FALSE)</f>
        <v>0.75</v>
      </c>
    </row>
    <row r="571" spans="1:12" x14ac:dyDescent="0.35">
      <c r="A571" s="5" t="s">
        <v>1214</v>
      </c>
      <c r="B571" s="5" t="str">
        <f>VLOOKUP(globalfreelancepreprocesseddata!A571,worksheet!A:P,3,FALSE)</f>
        <v>Margaret Perkins</v>
      </c>
      <c r="C571" s="5" t="str">
        <f>VLOOKUP(globalfreelancepreprocesseddata!A571,worksheet!A:P,5,FALSE)</f>
        <v>Female</v>
      </c>
      <c r="D571" s="5">
        <f>VLOOKUP(globalfreelancepreprocesseddata!A571,worksheet!A:P,6,FALSE)</f>
        <v>38</v>
      </c>
      <c r="E571" s="5" t="str">
        <f>VLOOKUP(globalfreelancepreprocesseddata!A571,worksheet!A:P,7,FALSE)</f>
        <v>Canada</v>
      </c>
      <c r="F571" s="5" t="str">
        <f>VLOOKUP(globalfreelancepreprocesseddata!A571,worksheet!A:P,8,FALSE)</f>
        <v>English</v>
      </c>
      <c r="G571" s="5" t="str">
        <f>VLOOKUP(globalfreelancepreprocesseddata!A571,worksheet!A:P,9,FALSE)</f>
        <v>UI/UX Design</v>
      </c>
      <c r="H571" s="5">
        <f>VLOOKUP(globalfreelancepreprocesseddata!A571,worksheet!A:P,10,FALSE)</f>
        <v>3</v>
      </c>
      <c r="I571" s="6">
        <f>VLOOKUP(globalfreelancepreprocesseddata!A571,worksheet!A:P,12,FALSE)</f>
        <v>40</v>
      </c>
      <c r="J571" s="5">
        <f>VLOOKUP(globalfreelancepreprocesseddata!A571,worksheet!A:P,13,FALSE)</f>
        <v>4.7</v>
      </c>
      <c r="K571" s="5">
        <f>VLOOKUP(globalfreelancepreprocesseddata!A571,worksheet!A:P,14,FALSE)</f>
        <v>0</v>
      </c>
      <c r="L571" s="7">
        <f>VLOOKUP(globalfreelancepreprocesseddata!A571,worksheet!A:P,16,FALSE)</f>
        <v>0.69</v>
      </c>
    </row>
    <row r="572" spans="1:12" x14ac:dyDescent="0.35">
      <c r="A572" s="5" t="s">
        <v>1216</v>
      </c>
      <c r="B572" s="5" t="str">
        <f>VLOOKUP(globalfreelancepreprocesseddata!A572,worksheet!A:P,3,FALSE)</f>
        <v>Amanda Vargas</v>
      </c>
      <c r="C572" s="5" t="str">
        <f>VLOOKUP(globalfreelancepreprocesseddata!A572,worksheet!A:P,5,FALSE)</f>
        <v>Female</v>
      </c>
      <c r="D572" s="5">
        <f>VLOOKUP(globalfreelancepreprocesseddata!A572,worksheet!A:P,6,FALSE)</f>
        <v>43</v>
      </c>
      <c r="E572" s="5" t="str">
        <f>VLOOKUP(globalfreelancepreprocesseddata!A572,worksheet!A:P,7,FALSE)</f>
        <v>United States</v>
      </c>
      <c r="F572" s="5" t="str">
        <f>VLOOKUP(globalfreelancepreprocesseddata!A572,worksheet!A:P,8,FALSE)</f>
        <v>English</v>
      </c>
      <c r="G572" s="5" t="str">
        <f>VLOOKUP(globalfreelancepreprocesseddata!A572,worksheet!A:P,9,FALSE)</f>
        <v>DevOps</v>
      </c>
      <c r="H572" s="5">
        <f>VLOOKUP(globalfreelancepreprocesseddata!A572,worksheet!A:P,10,FALSE)</f>
        <v>1</v>
      </c>
      <c r="I572" s="6">
        <f>VLOOKUP(globalfreelancepreprocesseddata!A572,worksheet!A:P,12,FALSE)</f>
        <v>40</v>
      </c>
      <c r="J572" s="5">
        <f>VLOOKUP(globalfreelancepreprocesseddata!A572,worksheet!A:P,13,FALSE)</f>
        <v>2.9</v>
      </c>
      <c r="K572" s="5">
        <f>VLOOKUP(globalfreelancepreprocesseddata!A572,worksheet!A:P,14,FALSE)</f>
        <v>1</v>
      </c>
      <c r="L572" s="7">
        <f>VLOOKUP(globalfreelancepreprocesseddata!A572,worksheet!A:P,16,FALSE)</f>
        <v>0.78</v>
      </c>
    </row>
    <row r="573" spans="1:12" x14ac:dyDescent="0.35">
      <c r="A573" s="5" t="s">
        <v>1218</v>
      </c>
      <c r="B573" s="5" t="str">
        <f>VLOOKUP(globalfreelancepreprocesseddata!A573,worksheet!A:P,3,FALSE)</f>
        <v>Tonya Gonzalez</v>
      </c>
      <c r="C573" s="5" t="str">
        <f>VLOOKUP(globalfreelancepreprocesseddata!A573,worksheet!A:P,5,FALSE)</f>
        <v>Female</v>
      </c>
      <c r="D573" s="5">
        <f>VLOOKUP(globalfreelancepreprocesseddata!A573,worksheet!A:P,6,FALSE)</f>
        <v>54</v>
      </c>
      <c r="E573" s="5" t="str">
        <f>VLOOKUP(globalfreelancepreprocesseddata!A573,worksheet!A:P,7,FALSE)</f>
        <v>Mexico</v>
      </c>
      <c r="F573" s="5" t="str">
        <f>VLOOKUP(globalfreelancepreprocesseddata!A573,worksheet!A:P,8,FALSE)</f>
        <v>Spanish</v>
      </c>
      <c r="G573" s="5" t="str">
        <f>VLOOKUP(globalfreelancepreprocesseddata!A573,worksheet!A:P,9,FALSE)</f>
        <v>AI</v>
      </c>
      <c r="H573" s="5">
        <f>VLOOKUP(globalfreelancepreprocesseddata!A573,worksheet!A:P,10,FALSE)</f>
        <v>1</v>
      </c>
      <c r="I573" s="6">
        <f>VLOOKUP(globalfreelancepreprocesseddata!A573,worksheet!A:P,12,FALSE)</f>
        <v>75</v>
      </c>
      <c r="J573" s="5">
        <f>VLOOKUP(globalfreelancepreprocesseddata!A573,worksheet!A:P,13,FALSE)</f>
        <v>4.4000000000000004</v>
      </c>
      <c r="K573" s="5">
        <f>VLOOKUP(globalfreelancepreprocesseddata!A573,worksheet!A:P,14,FALSE)</f>
        <v>1</v>
      </c>
      <c r="L573" s="7">
        <f>VLOOKUP(globalfreelancepreprocesseddata!A573,worksheet!A:P,16,FALSE)</f>
        <v>0.16</v>
      </c>
    </row>
    <row r="574" spans="1:12" x14ac:dyDescent="0.35">
      <c r="A574" s="5" t="s">
        <v>1220</v>
      </c>
      <c r="B574" s="5" t="str">
        <f>VLOOKUP(globalfreelancepreprocesseddata!A574,worksheet!A:P,3,FALSE)</f>
        <v>Elizabeth Bowman</v>
      </c>
      <c r="C574" s="5" t="str">
        <f>VLOOKUP(globalfreelancepreprocesseddata!A574,worksheet!A:P,5,FALSE)</f>
        <v>Female</v>
      </c>
      <c r="D574" s="5">
        <f>VLOOKUP(globalfreelancepreprocesseddata!A574,worksheet!A:P,6,FALSE)</f>
        <v>31</v>
      </c>
      <c r="E574" s="5" t="str">
        <f>VLOOKUP(globalfreelancepreprocesseddata!A574,worksheet!A:P,7,FALSE)</f>
        <v>Indonesia</v>
      </c>
      <c r="F574" s="5" t="str">
        <f>VLOOKUP(globalfreelancepreprocesseddata!A574,worksheet!A:P,8,FALSE)</f>
        <v>Indonesian</v>
      </c>
      <c r="G574" s="5" t="str">
        <f>VLOOKUP(globalfreelancepreprocesseddata!A574,worksheet!A:P,9,FALSE)</f>
        <v>Mobile Apps</v>
      </c>
      <c r="H574" s="5">
        <f>VLOOKUP(globalfreelancepreprocesseddata!A574,worksheet!A:P,10,FALSE)</f>
        <v>2</v>
      </c>
      <c r="I574" s="6">
        <f>VLOOKUP(globalfreelancepreprocesseddata!A574,worksheet!A:P,12,FALSE)</f>
        <v>40</v>
      </c>
      <c r="J574" s="5">
        <f>VLOOKUP(globalfreelancepreprocesseddata!A574,worksheet!A:P,13,FALSE)</f>
        <v>2.2999999999999998</v>
      </c>
      <c r="K574" s="5">
        <f>VLOOKUP(globalfreelancepreprocesseddata!A574,worksheet!A:P,14,FALSE)</f>
        <v>0</v>
      </c>
      <c r="L574" s="7">
        <f>VLOOKUP(globalfreelancepreprocesseddata!A574,worksheet!A:P,16,FALSE)</f>
        <v>0.98</v>
      </c>
    </row>
    <row r="575" spans="1:12" x14ac:dyDescent="0.35">
      <c r="A575" s="5" t="s">
        <v>1222</v>
      </c>
      <c r="B575" s="5" t="str">
        <f>VLOOKUP(globalfreelancepreprocesseddata!A575,worksheet!A:P,3,FALSE)</f>
        <v>Ariana Pittman</v>
      </c>
      <c r="C575" s="5" t="str">
        <f>VLOOKUP(globalfreelancepreprocesseddata!A575,worksheet!A:P,5,FALSE)</f>
        <v>Female</v>
      </c>
      <c r="D575" s="5">
        <f>VLOOKUP(globalfreelancepreprocesseddata!A575,worksheet!A:P,6,FALSE)</f>
        <v>56</v>
      </c>
      <c r="E575" s="5" t="str">
        <f>VLOOKUP(globalfreelancepreprocesseddata!A575,worksheet!A:P,7,FALSE)</f>
        <v>Mexico</v>
      </c>
      <c r="F575" s="5" t="str">
        <f>VLOOKUP(globalfreelancepreprocesseddata!A575,worksheet!A:P,8,FALSE)</f>
        <v>Spanish</v>
      </c>
      <c r="G575" s="5" t="str">
        <f>VLOOKUP(globalfreelancepreprocesseddata!A575,worksheet!A:P,9,FALSE)</f>
        <v>AI</v>
      </c>
      <c r="H575" s="5">
        <f>VLOOKUP(globalfreelancepreprocesseddata!A575,worksheet!A:P,10,FALSE)</f>
        <v>3</v>
      </c>
      <c r="I575" s="6">
        <f>VLOOKUP(globalfreelancepreprocesseddata!A575,worksheet!A:P,12,FALSE)</f>
        <v>30</v>
      </c>
      <c r="J575" s="5">
        <f>VLOOKUP(globalfreelancepreprocesseddata!A575,worksheet!A:P,13,FALSE)</f>
        <v>3.7</v>
      </c>
      <c r="K575" s="5">
        <f>VLOOKUP(globalfreelancepreprocesseddata!A575,worksheet!A:P,14,FALSE)</f>
        <v>1</v>
      </c>
      <c r="L575" s="7">
        <f>VLOOKUP(globalfreelancepreprocesseddata!A575,worksheet!A:P,16,FALSE)</f>
        <v>0.83</v>
      </c>
    </row>
    <row r="576" spans="1:12" x14ac:dyDescent="0.35">
      <c r="A576" s="5" t="s">
        <v>1224</v>
      </c>
      <c r="B576" s="5" t="str">
        <f>VLOOKUP(globalfreelancepreprocesseddata!A576,worksheet!A:P,3,FALSE)</f>
        <v>Antonio Johnson</v>
      </c>
      <c r="C576" s="5" t="str">
        <f>VLOOKUP(globalfreelancepreprocesseddata!A576,worksheet!A:P,5,FALSE)</f>
        <v>Male</v>
      </c>
      <c r="D576" s="5">
        <f>VLOOKUP(globalfreelancepreprocesseddata!A576,worksheet!A:P,6,FALSE)</f>
        <v>46</v>
      </c>
      <c r="E576" s="5" t="str">
        <f>VLOOKUP(globalfreelancepreprocesseddata!A576,worksheet!A:P,7,FALSE)</f>
        <v>Mexico</v>
      </c>
      <c r="F576" s="5" t="str">
        <f>VLOOKUP(globalfreelancepreprocesseddata!A576,worksheet!A:P,8,FALSE)</f>
        <v>Spanish</v>
      </c>
      <c r="G576" s="5" t="str">
        <f>VLOOKUP(globalfreelancepreprocesseddata!A576,worksheet!A:P,9,FALSE)</f>
        <v>Graphic Design</v>
      </c>
      <c r="H576" s="5">
        <f>VLOOKUP(globalfreelancepreprocesseddata!A576,worksheet!A:P,10,FALSE)</f>
        <v>11</v>
      </c>
      <c r="I576" s="6">
        <f>VLOOKUP(globalfreelancepreprocesseddata!A576,worksheet!A:P,12,FALSE)</f>
        <v>40</v>
      </c>
      <c r="J576" s="5">
        <f>VLOOKUP(globalfreelancepreprocesseddata!A576,worksheet!A:P,13,FALSE)</f>
        <v>1.8</v>
      </c>
      <c r="K576" s="5">
        <f>VLOOKUP(globalfreelancepreprocesseddata!A576,worksheet!A:P,14,FALSE)</f>
        <v>1</v>
      </c>
      <c r="L576" s="7">
        <f>VLOOKUP(globalfreelancepreprocesseddata!A576,worksheet!A:P,16,FALSE)</f>
        <v>0.91</v>
      </c>
    </row>
    <row r="577" spans="1:12" x14ac:dyDescent="0.35">
      <c r="A577" s="5" t="s">
        <v>1226</v>
      </c>
      <c r="B577" s="5" t="str">
        <f>VLOOKUP(globalfreelancepreprocesseddata!A577,worksheet!A:P,3,FALSE)</f>
        <v>Justin Lang</v>
      </c>
      <c r="C577" s="5" t="str">
        <f>VLOOKUP(globalfreelancepreprocesseddata!A577,worksheet!A:P,5,FALSE)</f>
        <v>Male</v>
      </c>
      <c r="D577" s="5">
        <f>VLOOKUP(globalfreelancepreprocesseddata!A577,worksheet!A:P,6,FALSE)</f>
        <v>60</v>
      </c>
      <c r="E577" s="5" t="str">
        <f>VLOOKUP(globalfreelancepreprocesseddata!A577,worksheet!A:P,7,FALSE)</f>
        <v>Egypt</v>
      </c>
      <c r="F577" s="5" t="str">
        <f>VLOOKUP(globalfreelancepreprocesseddata!A577,worksheet!A:P,8,FALSE)</f>
        <v>Arabic</v>
      </c>
      <c r="G577" s="5" t="str">
        <f>VLOOKUP(globalfreelancepreprocesseddata!A577,worksheet!A:P,9,FALSE)</f>
        <v>AI</v>
      </c>
      <c r="H577" s="5">
        <f>VLOOKUP(globalfreelancepreprocesseddata!A577,worksheet!A:P,10,FALSE)</f>
        <v>11</v>
      </c>
      <c r="I577" s="6">
        <f>VLOOKUP(globalfreelancepreprocesseddata!A577,worksheet!A:P,12,FALSE)</f>
        <v>100</v>
      </c>
      <c r="J577" s="5">
        <f>VLOOKUP(globalfreelancepreprocesseddata!A577,worksheet!A:P,13,FALSE)</f>
        <v>0</v>
      </c>
      <c r="K577" s="5">
        <f>VLOOKUP(globalfreelancepreprocesseddata!A577,worksheet!A:P,14,FALSE)</f>
        <v>1</v>
      </c>
      <c r="L577" s="7">
        <f>VLOOKUP(globalfreelancepreprocesseddata!A577,worksheet!A:P,16,FALSE)</f>
        <v>0.96</v>
      </c>
    </row>
    <row r="578" spans="1:12" x14ac:dyDescent="0.35">
      <c r="A578" s="5" t="s">
        <v>1228</v>
      </c>
      <c r="B578" s="5" t="str">
        <f>VLOOKUP(globalfreelancepreprocesseddata!A578,worksheet!A:P,3,FALSE)</f>
        <v>Kelli Ramirez</v>
      </c>
      <c r="C578" s="5" t="str">
        <f>VLOOKUP(globalfreelancepreprocesseddata!A578,worksheet!A:P,5,FALSE)</f>
        <v>Female</v>
      </c>
      <c r="D578" s="5">
        <f>VLOOKUP(globalfreelancepreprocesseddata!A578,worksheet!A:P,6,FALSE)</f>
        <v>28</v>
      </c>
      <c r="E578" s="5" t="str">
        <f>VLOOKUP(globalfreelancepreprocesseddata!A578,worksheet!A:P,7,FALSE)</f>
        <v>South Korea</v>
      </c>
      <c r="F578" s="5" t="str">
        <f>VLOOKUP(globalfreelancepreprocesseddata!A578,worksheet!A:P,8,FALSE)</f>
        <v>Korean</v>
      </c>
      <c r="G578" s="5" t="str">
        <f>VLOOKUP(globalfreelancepreprocesseddata!A578,worksheet!A:P,9,FALSE)</f>
        <v>Graphic Design</v>
      </c>
      <c r="H578" s="5">
        <f>VLOOKUP(globalfreelancepreprocesseddata!A578,worksheet!A:P,10,FALSE)</f>
        <v>2</v>
      </c>
      <c r="I578" s="6" t="str">
        <f>VLOOKUP(globalfreelancepreprocesseddata!A578,worksheet!A:P,12,FALSE)</f>
        <v>$ 50</v>
      </c>
      <c r="J578" s="5">
        <f>VLOOKUP(globalfreelancepreprocesseddata!A578,worksheet!A:P,13,FALSE)</f>
        <v>3</v>
      </c>
      <c r="K578" s="5">
        <f>VLOOKUP(globalfreelancepreprocesseddata!A578,worksheet!A:P,14,FALSE)</f>
        <v>1</v>
      </c>
      <c r="L578" s="7">
        <f>VLOOKUP(globalfreelancepreprocesseddata!A578,worksheet!A:P,16,FALSE)</f>
        <v>0.85</v>
      </c>
    </row>
    <row r="579" spans="1:12" x14ac:dyDescent="0.35">
      <c r="A579" s="5" t="s">
        <v>1230</v>
      </c>
      <c r="B579" s="5" t="str">
        <f>VLOOKUP(globalfreelancepreprocesseddata!A579,worksheet!A:P,3,FALSE)</f>
        <v>Deborah Torres</v>
      </c>
      <c r="C579" s="5" t="str">
        <f>VLOOKUP(globalfreelancepreprocesseddata!A579,worksheet!A:P,5,FALSE)</f>
        <v>Female</v>
      </c>
      <c r="D579" s="5">
        <f>VLOOKUP(globalfreelancepreprocesseddata!A579,worksheet!A:P,6,FALSE)</f>
        <v>43</v>
      </c>
      <c r="E579" s="5" t="str">
        <f>VLOOKUP(globalfreelancepreprocesseddata!A579,worksheet!A:P,7,FALSE)</f>
        <v>Indonesia</v>
      </c>
      <c r="F579" s="5" t="str">
        <f>VLOOKUP(globalfreelancepreprocesseddata!A579,worksheet!A:P,8,FALSE)</f>
        <v>Indonesian</v>
      </c>
      <c r="G579" s="5" t="str">
        <f>VLOOKUP(globalfreelancepreprocesseddata!A579,worksheet!A:P,9,FALSE)</f>
        <v>Web Development</v>
      </c>
      <c r="H579" s="5">
        <f>VLOOKUP(globalfreelancepreprocesseddata!A579,worksheet!A:P,10,FALSE)</f>
        <v>20</v>
      </c>
      <c r="I579" s="6" t="str">
        <f>VLOOKUP(globalfreelancepreprocesseddata!A579,worksheet!A:P,12,FALSE)</f>
        <v>$ 30</v>
      </c>
      <c r="J579" s="5">
        <f>VLOOKUP(globalfreelancepreprocesseddata!A579,worksheet!A:P,13,FALSE)</f>
        <v>2.7</v>
      </c>
      <c r="K579" s="5">
        <f>VLOOKUP(globalfreelancepreprocesseddata!A579,worksheet!A:P,14,FALSE)</f>
        <v>0</v>
      </c>
      <c r="L579" s="7">
        <f>VLOOKUP(globalfreelancepreprocesseddata!A579,worksheet!A:P,16,FALSE)</f>
        <v>0.72</v>
      </c>
    </row>
    <row r="580" spans="1:12" x14ac:dyDescent="0.35">
      <c r="A580" s="5" t="s">
        <v>1232</v>
      </c>
      <c r="B580" s="5" t="str">
        <f>VLOOKUP(globalfreelancepreprocesseddata!A580,worksheet!A:P,3,FALSE)</f>
        <v>Joseph Horn</v>
      </c>
      <c r="C580" s="5" t="str">
        <f>VLOOKUP(globalfreelancepreprocesseddata!A580,worksheet!A:P,5,FALSE)</f>
        <v>Male</v>
      </c>
      <c r="D580" s="5">
        <f>VLOOKUP(globalfreelancepreprocesseddata!A580,worksheet!A:P,6,FALSE)</f>
        <v>41</v>
      </c>
      <c r="E580" s="5" t="str">
        <f>VLOOKUP(globalfreelancepreprocesseddata!A580,worksheet!A:P,7,FALSE)</f>
        <v>France</v>
      </c>
      <c r="F580" s="5" t="str">
        <f>VLOOKUP(globalfreelancepreprocesseddata!A580,worksheet!A:P,8,FALSE)</f>
        <v>French</v>
      </c>
      <c r="G580" s="5" t="str">
        <f>VLOOKUP(globalfreelancepreprocesseddata!A580,worksheet!A:P,9,FALSE)</f>
        <v>Web Development</v>
      </c>
      <c r="H580" s="5">
        <f>VLOOKUP(globalfreelancepreprocesseddata!A580,worksheet!A:P,10,FALSE)</f>
        <v>11</v>
      </c>
      <c r="I580" s="6">
        <f>VLOOKUP(globalfreelancepreprocesseddata!A580,worksheet!A:P,12,FALSE)</f>
        <v>20</v>
      </c>
      <c r="J580" s="5">
        <f>VLOOKUP(globalfreelancepreprocesseddata!A580,worksheet!A:P,13,FALSE)</f>
        <v>4.7</v>
      </c>
      <c r="K580" s="5">
        <f>VLOOKUP(globalfreelancepreprocesseddata!A580,worksheet!A:P,14,FALSE)</f>
        <v>1</v>
      </c>
      <c r="L580" s="7">
        <f>VLOOKUP(globalfreelancepreprocesseddata!A580,worksheet!A:P,16,FALSE)</f>
        <v>0.69</v>
      </c>
    </row>
    <row r="581" spans="1:12" x14ac:dyDescent="0.35">
      <c r="A581" s="5" t="s">
        <v>1234</v>
      </c>
      <c r="B581" s="5" t="str">
        <f>VLOOKUP(globalfreelancepreprocesseddata!A581,worksheet!A:P,3,FALSE)</f>
        <v>Christopher Robinson</v>
      </c>
      <c r="C581" s="5" t="str">
        <f>VLOOKUP(globalfreelancepreprocesseddata!A581,worksheet!A:P,5,FALSE)</f>
        <v>Male</v>
      </c>
      <c r="D581" s="5">
        <f>VLOOKUP(globalfreelancepreprocesseddata!A581,worksheet!A:P,6,FALSE)</f>
        <v>41</v>
      </c>
      <c r="E581" s="5" t="str">
        <f>VLOOKUP(globalfreelancepreprocesseddata!A581,worksheet!A:P,7,FALSE)</f>
        <v>United Kingdom</v>
      </c>
      <c r="F581" s="5" t="str">
        <f>VLOOKUP(globalfreelancepreprocesseddata!A581,worksheet!A:P,8,FALSE)</f>
        <v>English</v>
      </c>
      <c r="G581" s="5" t="str">
        <f>VLOOKUP(globalfreelancepreprocesseddata!A581,worksheet!A:P,9,FALSE)</f>
        <v>DevOps</v>
      </c>
      <c r="H581" s="5">
        <f>VLOOKUP(globalfreelancepreprocesseddata!A581,worksheet!A:P,10,FALSE)</f>
        <v>11</v>
      </c>
      <c r="I581" s="6">
        <f>VLOOKUP(globalfreelancepreprocesseddata!A581,worksheet!A:P,12,FALSE)</f>
        <v>20</v>
      </c>
      <c r="J581" s="5">
        <f>VLOOKUP(globalfreelancepreprocesseddata!A581,worksheet!A:P,13,FALSE)</f>
        <v>3.1</v>
      </c>
      <c r="K581" s="5">
        <f>VLOOKUP(globalfreelancepreprocesseddata!A581,worksheet!A:P,14,FALSE)</f>
        <v>0</v>
      </c>
      <c r="L581" s="7">
        <f>VLOOKUP(globalfreelancepreprocesseddata!A581,worksheet!A:P,16,FALSE)</f>
        <v>0.9</v>
      </c>
    </row>
    <row r="582" spans="1:12" x14ac:dyDescent="0.35">
      <c r="A582" s="5" t="s">
        <v>1236</v>
      </c>
      <c r="B582" s="5" t="str">
        <f>VLOOKUP(globalfreelancepreprocesseddata!A582,worksheet!A:P,3,FALSE)</f>
        <v>Sandra Mccormick</v>
      </c>
      <c r="C582" s="5" t="str">
        <f>VLOOKUP(globalfreelancepreprocesseddata!A582,worksheet!A:P,5,FALSE)</f>
        <v>Female</v>
      </c>
      <c r="D582" s="5">
        <f>VLOOKUP(globalfreelancepreprocesseddata!A582,worksheet!A:P,6,FALSE)</f>
        <v>40</v>
      </c>
      <c r="E582" s="5" t="str">
        <f>VLOOKUP(globalfreelancepreprocesseddata!A582,worksheet!A:P,7,FALSE)</f>
        <v>United Kingdom</v>
      </c>
      <c r="F582" s="5" t="str">
        <f>VLOOKUP(globalfreelancepreprocesseddata!A582,worksheet!A:P,8,FALSE)</f>
        <v>English</v>
      </c>
      <c r="G582" s="5" t="str">
        <f>VLOOKUP(globalfreelancepreprocesseddata!A582,worksheet!A:P,9,FALSE)</f>
        <v>Mobile Apps</v>
      </c>
      <c r="H582" s="5">
        <f>VLOOKUP(globalfreelancepreprocesseddata!A582,worksheet!A:P,10,FALSE)</f>
        <v>20</v>
      </c>
      <c r="I582" s="6">
        <f>VLOOKUP(globalfreelancepreprocesseddata!A582,worksheet!A:P,12,FALSE)</f>
        <v>20</v>
      </c>
      <c r="J582" s="5">
        <f>VLOOKUP(globalfreelancepreprocesseddata!A582,worksheet!A:P,13,FALSE)</f>
        <v>2.2999999999999998</v>
      </c>
      <c r="K582" s="5">
        <f>VLOOKUP(globalfreelancepreprocesseddata!A582,worksheet!A:P,14,FALSE)</f>
        <v>0</v>
      </c>
      <c r="L582" s="7">
        <f>VLOOKUP(globalfreelancepreprocesseddata!A582,worksheet!A:P,16,FALSE)</f>
        <v>0.92</v>
      </c>
    </row>
    <row r="583" spans="1:12" x14ac:dyDescent="0.35">
      <c r="A583" s="5" t="s">
        <v>1238</v>
      </c>
      <c r="B583" s="5" t="str">
        <f>VLOOKUP(globalfreelancepreprocesseddata!A583,worksheet!A:P,3,FALSE)</f>
        <v>Michael Holland</v>
      </c>
      <c r="C583" s="5" t="str">
        <f>VLOOKUP(globalfreelancepreprocesseddata!A583,worksheet!A:P,5,FALSE)</f>
        <v>Male</v>
      </c>
      <c r="D583" s="5">
        <f>VLOOKUP(globalfreelancepreprocesseddata!A583,worksheet!A:P,6,FALSE)</f>
        <v>45</v>
      </c>
      <c r="E583" s="5" t="str">
        <f>VLOOKUP(globalfreelancepreprocesseddata!A583,worksheet!A:P,7,FALSE)</f>
        <v>Germany</v>
      </c>
      <c r="F583" s="5" t="str">
        <f>VLOOKUP(globalfreelancepreprocesseddata!A583,worksheet!A:P,8,FALSE)</f>
        <v>German</v>
      </c>
      <c r="G583" s="5" t="str">
        <f>VLOOKUP(globalfreelancepreprocesseddata!A583,worksheet!A:P,9,FALSE)</f>
        <v>DevOps</v>
      </c>
      <c r="H583" s="5">
        <f>VLOOKUP(globalfreelancepreprocesseddata!A583,worksheet!A:P,10,FALSE)</f>
        <v>3</v>
      </c>
      <c r="I583" s="6" t="str">
        <f>VLOOKUP(globalfreelancepreprocesseddata!A583,worksheet!A:P,12,FALSE)</f>
        <v>$ 20</v>
      </c>
      <c r="J583" s="5">
        <f>VLOOKUP(globalfreelancepreprocesseddata!A583,worksheet!A:P,13,FALSE)</f>
        <v>1.3</v>
      </c>
      <c r="K583" s="5">
        <f>VLOOKUP(globalfreelancepreprocesseddata!A583,worksheet!A:P,14,FALSE)</f>
        <v>1</v>
      </c>
      <c r="L583" s="7">
        <f>VLOOKUP(globalfreelancepreprocesseddata!A583,worksheet!A:P,16,FALSE)</f>
        <v>0.91</v>
      </c>
    </row>
    <row r="584" spans="1:12" x14ac:dyDescent="0.35">
      <c r="A584" s="5" t="s">
        <v>1240</v>
      </c>
      <c r="B584" s="5" t="str">
        <f>VLOOKUP(globalfreelancepreprocesseddata!A584,worksheet!A:P,3,FALSE)</f>
        <v>Kenneth Stevenson</v>
      </c>
      <c r="C584" s="5" t="str">
        <f>VLOOKUP(globalfreelancepreprocesseddata!A584,worksheet!A:P,5,FALSE)</f>
        <v>Male</v>
      </c>
      <c r="D584" s="5">
        <f>VLOOKUP(globalfreelancepreprocesseddata!A584,worksheet!A:P,6,FALSE)</f>
        <v>47</v>
      </c>
      <c r="E584" s="5" t="str">
        <f>VLOOKUP(globalfreelancepreprocesseddata!A584,worksheet!A:P,7,FALSE)</f>
        <v>Egypt</v>
      </c>
      <c r="F584" s="5" t="str">
        <f>VLOOKUP(globalfreelancepreprocesseddata!A584,worksheet!A:P,8,FALSE)</f>
        <v>Arabic</v>
      </c>
      <c r="G584" s="5" t="str">
        <f>VLOOKUP(globalfreelancepreprocesseddata!A584,worksheet!A:P,9,FALSE)</f>
        <v>DevOps</v>
      </c>
      <c r="H584" s="5">
        <f>VLOOKUP(globalfreelancepreprocesseddata!A584,worksheet!A:P,10,FALSE)</f>
        <v>28</v>
      </c>
      <c r="I584" s="6" t="str">
        <f>VLOOKUP(globalfreelancepreprocesseddata!A584,worksheet!A:P,12,FALSE)</f>
        <v>$ 50</v>
      </c>
      <c r="J584" s="5">
        <f>VLOOKUP(globalfreelancepreprocesseddata!A584,worksheet!A:P,13,FALSE)</f>
        <v>2.9</v>
      </c>
      <c r="K584" s="5">
        <f>VLOOKUP(globalfreelancepreprocesseddata!A584,worksheet!A:P,14,FALSE)</f>
        <v>1</v>
      </c>
      <c r="L584" s="7">
        <f>VLOOKUP(globalfreelancepreprocesseddata!A584,worksheet!A:P,16,FALSE)</f>
        <v>0.16</v>
      </c>
    </row>
    <row r="585" spans="1:12" x14ac:dyDescent="0.35">
      <c r="A585" s="5" t="s">
        <v>1242</v>
      </c>
      <c r="B585" s="5" t="str">
        <f>VLOOKUP(globalfreelancepreprocesseddata!A585,worksheet!A:P,3,FALSE)</f>
        <v>Timothy Bennett</v>
      </c>
      <c r="C585" s="5" t="str">
        <f>VLOOKUP(globalfreelancepreprocesseddata!A585,worksheet!A:P,5,FALSE)</f>
        <v>Male</v>
      </c>
      <c r="D585" s="5">
        <f>VLOOKUP(globalfreelancepreprocesseddata!A585,worksheet!A:P,6,FALSE)</f>
        <v>34</v>
      </c>
      <c r="E585" s="5" t="str">
        <f>VLOOKUP(globalfreelancepreprocesseddata!A585,worksheet!A:P,7,FALSE)</f>
        <v>India</v>
      </c>
      <c r="F585" s="5" t="str">
        <f>VLOOKUP(globalfreelancepreprocesseddata!A585,worksheet!A:P,8,FALSE)</f>
        <v>Hindi</v>
      </c>
      <c r="G585" s="5" t="str">
        <f>VLOOKUP(globalfreelancepreprocesseddata!A585,worksheet!A:P,9,FALSE)</f>
        <v>Data Analysis</v>
      </c>
      <c r="H585" s="5">
        <f>VLOOKUP(globalfreelancepreprocesseddata!A585,worksheet!A:P,10,FALSE)</f>
        <v>11</v>
      </c>
      <c r="I585" s="6">
        <f>VLOOKUP(globalfreelancepreprocesseddata!A585,worksheet!A:P,12,FALSE)</f>
        <v>40</v>
      </c>
      <c r="J585" s="5">
        <f>VLOOKUP(globalfreelancepreprocesseddata!A585,worksheet!A:P,13,FALSE)</f>
        <v>3.3</v>
      </c>
      <c r="K585" s="5">
        <f>VLOOKUP(globalfreelancepreprocesseddata!A585,worksheet!A:P,14,FALSE)</f>
        <v>0</v>
      </c>
      <c r="L585" s="7">
        <f>VLOOKUP(globalfreelancepreprocesseddata!A585,worksheet!A:P,16,FALSE)</f>
        <v>0.98</v>
      </c>
    </row>
    <row r="586" spans="1:12" x14ac:dyDescent="0.35">
      <c r="A586" s="5" t="s">
        <v>1244</v>
      </c>
      <c r="B586" s="5" t="str">
        <f>VLOOKUP(globalfreelancepreprocesseddata!A586,worksheet!A:P,3,FALSE)</f>
        <v>Gregory Randall</v>
      </c>
      <c r="C586" s="5" t="str">
        <f>VLOOKUP(globalfreelancepreprocesseddata!A586,worksheet!A:P,5,FALSE)</f>
        <v>Male</v>
      </c>
      <c r="D586" s="5">
        <f>VLOOKUP(globalfreelancepreprocesseddata!A586,worksheet!A:P,6,FALSE)</f>
        <v>47</v>
      </c>
      <c r="E586" s="5" t="str">
        <f>VLOOKUP(globalfreelancepreprocesseddata!A586,worksheet!A:P,7,FALSE)</f>
        <v>United States</v>
      </c>
      <c r="F586" s="5" t="str">
        <f>VLOOKUP(globalfreelancepreprocesseddata!A586,worksheet!A:P,8,FALSE)</f>
        <v>English</v>
      </c>
      <c r="G586" s="5" t="str">
        <f>VLOOKUP(globalfreelancepreprocesseddata!A586,worksheet!A:P,9,FALSE)</f>
        <v>UI/UX Design</v>
      </c>
      <c r="H586" s="5">
        <f>VLOOKUP(globalfreelancepreprocesseddata!A586,worksheet!A:P,10,FALSE)</f>
        <v>4</v>
      </c>
      <c r="I586" s="6" t="str">
        <f>VLOOKUP(globalfreelancepreprocesseddata!A586,worksheet!A:P,12,FALSE)</f>
        <v>$ 20</v>
      </c>
      <c r="J586" s="5">
        <f>VLOOKUP(globalfreelancepreprocesseddata!A586,worksheet!A:P,13,FALSE)</f>
        <v>4.2</v>
      </c>
      <c r="K586" s="5">
        <f>VLOOKUP(globalfreelancepreprocesseddata!A586,worksheet!A:P,14,FALSE)</f>
        <v>1</v>
      </c>
      <c r="L586" s="7">
        <f>VLOOKUP(globalfreelancepreprocesseddata!A586,worksheet!A:P,16,FALSE)</f>
        <v>0.82</v>
      </c>
    </row>
    <row r="587" spans="1:12" x14ac:dyDescent="0.35">
      <c r="A587" s="5" t="s">
        <v>1246</v>
      </c>
      <c r="B587" s="5" t="str">
        <f>VLOOKUP(globalfreelancepreprocesseddata!A587,worksheet!A:P,3,FALSE)</f>
        <v>Charles Martinez</v>
      </c>
      <c r="C587" s="5" t="str">
        <f>VLOOKUP(globalfreelancepreprocesseddata!A587,worksheet!A:P,5,FALSE)</f>
        <v>Male</v>
      </c>
      <c r="D587" s="5">
        <f>VLOOKUP(globalfreelancepreprocesseddata!A587,worksheet!A:P,6,FALSE)</f>
        <v>32</v>
      </c>
      <c r="E587" s="5" t="str">
        <f>VLOOKUP(globalfreelancepreprocesseddata!A587,worksheet!A:P,7,FALSE)</f>
        <v>Mexico</v>
      </c>
      <c r="F587" s="5" t="str">
        <f>VLOOKUP(globalfreelancepreprocesseddata!A587,worksheet!A:P,8,FALSE)</f>
        <v>Spanish</v>
      </c>
      <c r="G587" s="5" t="str">
        <f>VLOOKUP(globalfreelancepreprocesseddata!A587,worksheet!A:P,9,FALSE)</f>
        <v>UI/UX Design</v>
      </c>
      <c r="H587" s="5">
        <f>VLOOKUP(globalfreelancepreprocesseddata!A587,worksheet!A:P,10,FALSE)</f>
        <v>9</v>
      </c>
      <c r="I587" s="6" t="str">
        <f>VLOOKUP(globalfreelancepreprocesseddata!A587,worksheet!A:P,12,FALSE)</f>
        <v>$ 40</v>
      </c>
      <c r="J587" s="5">
        <f>VLOOKUP(globalfreelancepreprocesseddata!A587,worksheet!A:P,13,FALSE)</f>
        <v>1.3</v>
      </c>
      <c r="K587" s="5">
        <f>VLOOKUP(globalfreelancepreprocesseddata!A587,worksheet!A:P,14,FALSE)</f>
        <v>1</v>
      </c>
      <c r="L587" s="7">
        <f>VLOOKUP(globalfreelancepreprocesseddata!A587,worksheet!A:P,16,FALSE)</f>
        <v>0.83</v>
      </c>
    </row>
    <row r="588" spans="1:12" x14ac:dyDescent="0.35">
      <c r="A588" s="5" t="s">
        <v>1248</v>
      </c>
      <c r="B588" s="5" t="str">
        <f>VLOOKUP(globalfreelancepreprocesseddata!A588,worksheet!A:P,3,FALSE)</f>
        <v>James Hall</v>
      </c>
      <c r="C588" s="5" t="str">
        <f>VLOOKUP(globalfreelancepreprocesseddata!A588,worksheet!A:P,5,FALSE)</f>
        <v>Male</v>
      </c>
      <c r="D588" s="5">
        <f>VLOOKUP(globalfreelancepreprocesseddata!A588,worksheet!A:P,6,FALSE)</f>
        <v>28</v>
      </c>
      <c r="E588" s="5" t="str">
        <f>VLOOKUP(globalfreelancepreprocesseddata!A588,worksheet!A:P,7,FALSE)</f>
        <v>United Kingdom</v>
      </c>
      <c r="F588" s="5" t="str">
        <f>VLOOKUP(globalfreelancepreprocesseddata!A588,worksheet!A:P,8,FALSE)</f>
        <v>English</v>
      </c>
      <c r="G588" s="5" t="str">
        <f>VLOOKUP(globalfreelancepreprocesseddata!A588,worksheet!A:P,9,FALSE)</f>
        <v>Mobile Apps</v>
      </c>
      <c r="H588" s="5">
        <f>VLOOKUP(globalfreelancepreprocesseddata!A588,worksheet!A:P,10,FALSE)</f>
        <v>2</v>
      </c>
      <c r="I588" s="6">
        <f>VLOOKUP(globalfreelancepreprocesseddata!A588,worksheet!A:P,12,FALSE)</f>
        <v>100</v>
      </c>
      <c r="J588" s="5">
        <f>VLOOKUP(globalfreelancepreprocesseddata!A588,worksheet!A:P,13,FALSE)</f>
        <v>4.4000000000000004</v>
      </c>
      <c r="K588" s="5">
        <f>VLOOKUP(globalfreelancepreprocesseddata!A588,worksheet!A:P,14,FALSE)</f>
        <v>1</v>
      </c>
      <c r="L588" s="7">
        <f>VLOOKUP(globalfreelancepreprocesseddata!A588,worksheet!A:P,16,FALSE)</f>
        <v>0.16</v>
      </c>
    </row>
    <row r="589" spans="1:12" x14ac:dyDescent="0.35">
      <c r="A589" s="5" t="s">
        <v>1250</v>
      </c>
      <c r="B589" s="5" t="str">
        <f>VLOOKUP(globalfreelancepreprocesseddata!A589,worksheet!A:P,3,FALSE)</f>
        <v>Michael Garcia</v>
      </c>
      <c r="C589" s="5" t="str">
        <f>VLOOKUP(globalfreelancepreprocesseddata!A589,worksheet!A:P,5,FALSE)</f>
        <v>Male</v>
      </c>
      <c r="D589" s="5">
        <f>VLOOKUP(globalfreelancepreprocesseddata!A589,worksheet!A:P,6,FALSE)</f>
        <v>32</v>
      </c>
      <c r="E589" s="5" t="str">
        <f>VLOOKUP(globalfreelancepreprocesseddata!A589,worksheet!A:P,7,FALSE)</f>
        <v>Australia</v>
      </c>
      <c r="F589" s="5" t="str">
        <f>VLOOKUP(globalfreelancepreprocesseddata!A589,worksheet!A:P,8,FALSE)</f>
        <v>English</v>
      </c>
      <c r="G589" s="5" t="str">
        <f>VLOOKUP(globalfreelancepreprocesseddata!A589,worksheet!A:P,9,FALSE)</f>
        <v>DevOps</v>
      </c>
      <c r="H589" s="5">
        <f>VLOOKUP(globalfreelancepreprocesseddata!A589,worksheet!A:P,10,FALSE)</f>
        <v>1</v>
      </c>
      <c r="I589" s="6">
        <f>VLOOKUP(globalfreelancepreprocesseddata!A589,worksheet!A:P,12,FALSE)</f>
        <v>100</v>
      </c>
      <c r="J589" s="5">
        <f>VLOOKUP(globalfreelancepreprocesseddata!A589,worksheet!A:P,13,FALSE)</f>
        <v>3.4</v>
      </c>
      <c r="K589" s="5">
        <f>VLOOKUP(globalfreelancepreprocesseddata!A589,worksheet!A:P,14,FALSE)</f>
        <v>1</v>
      </c>
      <c r="L589" s="7">
        <f>VLOOKUP(globalfreelancepreprocesseddata!A589,worksheet!A:P,16,FALSE)</f>
        <v>0.16</v>
      </c>
    </row>
    <row r="590" spans="1:12" x14ac:dyDescent="0.35">
      <c r="A590" s="5" t="s">
        <v>1252</v>
      </c>
      <c r="B590" s="5" t="str">
        <f>VLOOKUP(globalfreelancepreprocesseddata!A590,worksheet!A:P,3,FALSE)</f>
        <v>Michele Duran</v>
      </c>
      <c r="C590" s="5" t="str">
        <f>VLOOKUP(globalfreelancepreprocesseddata!A590,worksheet!A:P,5,FALSE)</f>
        <v>Female</v>
      </c>
      <c r="D590" s="5">
        <f>VLOOKUP(globalfreelancepreprocesseddata!A590,worksheet!A:P,6,FALSE)</f>
        <v>49</v>
      </c>
      <c r="E590" s="5" t="str">
        <f>VLOOKUP(globalfreelancepreprocesseddata!A590,worksheet!A:P,7,FALSE)</f>
        <v>Netherlands</v>
      </c>
      <c r="F590" s="5" t="str">
        <f>VLOOKUP(globalfreelancepreprocesseddata!A590,worksheet!A:P,8,FALSE)</f>
        <v>Dutch</v>
      </c>
      <c r="G590" s="5" t="str">
        <f>VLOOKUP(globalfreelancepreprocesseddata!A590,worksheet!A:P,9,FALSE)</f>
        <v>AI</v>
      </c>
      <c r="H590" s="5">
        <f>VLOOKUP(globalfreelancepreprocesseddata!A590,worksheet!A:P,10,FALSE)</f>
        <v>2</v>
      </c>
      <c r="I590" s="6">
        <f>VLOOKUP(globalfreelancepreprocesseddata!A590,worksheet!A:P,12,FALSE)</f>
        <v>100</v>
      </c>
      <c r="J590" s="5">
        <f>VLOOKUP(globalfreelancepreprocesseddata!A590,worksheet!A:P,13,FALSE)</f>
        <v>3.4</v>
      </c>
      <c r="K590" s="5">
        <f>VLOOKUP(globalfreelancepreprocesseddata!A590,worksheet!A:P,14,FALSE)</f>
        <v>1</v>
      </c>
      <c r="L590" s="7">
        <f>VLOOKUP(globalfreelancepreprocesseddata!A590,worksheet!A:P,16,FALSE)</f>
        <v>0.85</v>
      </c>
    </row>
    <row r="591" spans="1:12" x14ac:dyDescent="0.35">
      <c r="A591" s="5" t="s">
        <v>1254</v>
      </c>
      <c r="B591" s="5" t="str">
        <f>VLOOKUP(globalfreelancepreprocesseddata!A591,worksheet!A:P,3,FALSE)</f>
        <v>Jessica Gray</v>
      </c>
      <c r="C591" s="5" t="str">
        <f>VLOOKUP(globalfreelancepreprocesseddata!A591,worksheet!A:P,5,FALSE)</f>
        <v>Female</v>
      </c>
      <c r="D591" s="5">
        <f>VLOOKUP(globalfreelancepreprocesseddata!A591,worksheet!A:P,6,FALSE)</f>
        <v>36</v>
      </c>
      <c r="E591" s="5" t="str">
        <f>VLOOKUP(globalfreelancepreprocesseddata!A591,worksheet!A:P,7,FALSE)</f>
        <v>Argentina</v>
      </c>
      <c r="F591" s="5" t="str">
        <f>VLOOKUP(globalfreelancepreprocesseddata!A591,worksheet!A:P,8,FALSE)</f>
        <v>Spanish</v>
      </c>
      <c r="G591" s="5" t="str">
        <f>VLOOKUP(globalfreelancepreprocesseddata!A591,worksheet!A:P,9,FALSE)</f>
        <v>Mobile Apps</v>
      </c>
      <c r="H591" s="5">
        <f>VLOOKUP(globalfreelancepreprocesseddata!A591,worksheet!A:P,10,FALSE)</f>
        <v>16</v>
      </c>
      <c r="I591" s="6" t="str">
        <f>VLOOKUP(globalfreelancepreprocesseddata!A591,worksheet!A:P,12,FALSE)</f>
        <v>$ 20</v>
      </c>
      <c r="J591" s="5">
        <f>VLOOKUP(globalfreelancepreprocesseddata!A591,worksheet!A:P,13,FALSE)</f>
        <v>3.2</v>
      </c>
      <c r="K591" s="5">
        <f>VLOOKUP(globalfreelancepreprocesseddata!A591,worksheet!A:P,14,FALSE)</f>
        <v>1</v>
      </c>
      <c r="L591" s="7">
        <f>VLOOKUP(globalfreelancepreprocesseddata!A591,worksheet!A:P,16,FALSE)</f>
        <v>0.16</v>
      </c>
    </row>
    <row r="592" spans="1:12" x14ac:dyDescent="0.35">
      <c r="A592" s="5" t="s">
        <v>1256</v>
      </c>
      <c r="B592" s="5" t="str">
        <f>VLOOKUP(globalfreelancepreprocesseddata!A592,worksheet!A:P,3,FALSE)</f>
        <v>Keith Shaffer</v>
      </c>
      <c r="C592" s="5" t="str">
        <f>VLOOKUP(globalfreelancepreprocesseddata!A592,worksheet!A:P,5,FALSE)</f>
        <v>Male</v>
      </c>
      <c r="D592" s="5">
        <f>VLOOKUP(globalfreelancepreprocesseddata!A592,worksheet!A:P,6,FALSE)</f>
        <v>59</v>
      </c>
      <c r="E592" s="5" t="str">
        <f>VLOOKUP(globalfreelancepreprocesseddata!A592,worksheet!A:P,7,FALSE)</f>
        <v>Mexico</v>
      </c>
      <c r="F592" s="5" t="str">
        <f>VLOOKUP(globalfreelancepreprocesseddata!A592,worksheet!A:P,8,FALSE)</f>
        <v>Spanish</v>
      </c>
      <c r="G592" s="5" t="str">
        <f>VLOOKUP(globalfreelancepreprocesseddata!A592,worksheet!A:P,9,FALSE)</f>
        <v>Blockchain Development</v>
      </c>
      <c r="H592" s="5">
        <f>VLOOKUP(globalfreelancepreprocesseddata!A592,worksheet!A:P,10,FALSE)</f>
        <v>22</v>
      </c>
      <c r="I592" s="6" t="str">
        <f>VLOOKUP(globalfreelancepreprocesseddata!A592,worksheet!A:P,12,FALSE)</f>
        <v>$ 20</v>
      </c>
      <c r="J592" s="5">
        <f>VLOOKUP(globalfreelancepreprocesseddata!A592,worksheet!A:P,13,FALSE)</f>
        <v>3.6</v>
      </c>
      <c r="K592" s="5">
        <f>VLOOKUP(globalfreelancepreprocesseddata!A592,worksheet!A:P,14,FALSE)</f>
        <v>0</v>
      </c>
      <c r="L592" s="7">
        <f>VLOOKUP(globalfreelancepreprocesseddata!A592,worksheet!A:P,16,FALSE)</f>
        <v>0.63</v>
      </c>
    </row>
    <row r="593" spans="1:12" x14ac:dyDescent="0.35">
      <c r="A593" s="5" t="s">
        <v>1258</v>
      </c>
      <c r="B593" s="5" t="str">
        <f>VLOOKUP(globalfreelancepreprocesseddata!A593,worksheet!A:P,3,FALSE)</f>
        <v>Jessica Decker</v>
      </c>
      <c r="C593" s="5" t="str">
        <f>VLOOKUP(globalfreelancepreprocesseddata!A593,worksheet!A:P,5,FALSE)</f>
        <v>Female</v>
      </c>
      <c r="D593" s="5">
        <f>VLOOKUP(globalfreelancepreprocesseddata!A593,worksheet!A:P,6,FALSE)</f>
        <v>52</v>
      </c>
      <c r="E593" s="5" t="str">
        <f>VLOOKUP(globalfreelancepreprocesseddata!A593,worksheet!A:P,7,FALSE)</f>
        <v>Canada</v>
      </c>
      <c r="F593" s="5" t="str">
        <f>VLOOKUP(globalfreelancepreprocesseddata!A593,worksheet!A:P,8,FALSE)</f>
        <v>English</v>
      </c>
      <c r="G593" s="5" t="str">
        <f>VLOOKUP(globalfreelancepreprocesseddata!A593,worksheet!A:P,9,FALSE)</f>
        <v>Cybersecurity</v>
      </c>
      <c r="H593" s="5">
        <f>VLOOKUP(globalfreelancepreprocesseddata!A593,worksheet!A:P,10,FALSE)</f>
        <v>22</v>
      </c>
      <c r="I593" s="6">
        <f>VLOOKUP(globalfreelancepreprocesseddata!A593,worksheet!A:P,12,FALSE)</f>
        <v>20</v>
      </c>
      <c r="J593" s="5">
        <f>VLOOKUP(globalfreelancepreprocesseddata!A593,worksheet!A:P,13,FALSE)</f>
        <v>0</v>
      </c>
      <c r="K593" s="5">
        <f>VLOOKUP(globalfreelancepreprocesseddata!A593,worksheet!A:P,14,FALSE)</f>
        <v>0</v>
      </c>
      <c r="L593" s="7">
        <f>VLOOKUP(globalfreelancepreprocesseddata!A593,worksheet!A:P,16,FALSE)</f>
        <v>0.16</v>
      </c>
    </row>
    <row r="594" spans="1:12" x14ac:dyDescent="0.35">
      <c r="A594" s="5" t="s">
        <v>1260</v>
      </c>
      <c r="B594" s="5" t="str">
        <f>VLOOKUP(globalfreelancepreprocesseddata!A594,worksheet!A:P,3,FALSE)</f>
        <v>Brianna Pittman</v>
      </c>
      <c r="C594" s="5" t="str">
        <f>VLOOKUP(globalfreelancepreprocesseddata!A594,worksheet!A:P,5,FALSE)</f>
        <v>Female</v>
      </c>
      <c r="D594" s="5">
        <f>VLOOKUP(globalfreelancepreprocesseddata!A594,worksheet!A:P,6,FALSE)</f>
        <v>24</v>
      </c>
      <c r="E594" s="5" t="str">
        <f>VLOOKUP(globalfreelancepreprocesseddata!A594,worksheet!A:P,7,FALSE)</f>
        <v>China</v>
      </c>
      <c r="F594" s="5" t="str">
        <f>VLOOKUP(globalfreelancepreprocesseddata!A594,worksheet!A:P,8,FALSE)</f>
        <v>Mandarin</v>
      </c>
      <c r="G594" s="5" t="str">
        <f>VLOOKUP(globalfreelancepreprocesseddata!A594,worksheet!A:P,9,FALSE)</f>
        <v>Blockchain Development</v>
      </c>
      <c r="H594" s="5">
        <f>VLOOKUP(globalfreelancepreprocesseddata!A594,worksheet!A:P,10,FALSE)</f>
        <v>5</v>
      </c>
      <c r="I594" s="6">
        <f>VLOOKUP(globalfreelancepreprocesseddata!A594,worksheet!A:P,12,FALSE)</f>
        <v>40</v>
      </c>
      <c r="J594" s="5">
        <f>VLOOKUP(globalfreelancepreprocesseddata!A594,worksheet!A:P,13,FALSE)</f>
        <v>1.8</v>
      </c>
      <c r="K594" s="5">
        <f>VLOOKUP(globalfreelancepreprocesseddata!A594,worksheet!A:P,14,FALSE)</f>
        <v>1</v>
      </c>
      <c r="L594" s="7">
        <f>VLOOKUP(globalfreelancepreprocesseddata!A594,worksheet!A:P,16,FALSE)</f>
        <v>0.86</v>
      </c>
    </row>
    <row r="595" spans="1:12" x14ac:dyDescent="0.35">
      <c r="A595" s="5" t="s">
        <v>1262</v>
      </c>
      <c r="B595" s="5" t="str">
        <f>VLOOKUP(globalfreelancepreprocesseddata!A595,worksheet!A:P,3,FALSE)</f>
        <v>Kimberly Hunter</v>
      </c>
      <c r="C595" s="5" t="str">
        <f>VLOOKUP(globalfreelancepreprocesseddata!A595,worksheet!A:P,5,FALSE)</f>
        <v>Female</v>
      </c>
      <c r="D595" s="5">
        <f>VLOOKUP(globalfreelancepreprocesseddata!A595,worksheet!A:P,6,FALSE)</f>
        <v>26</v>
      </c>
      <c r="E595" s="5" t="str">
        <f>VLOOKUP(globalfreelancepreprocesseddata!A595,worksheet!A:P,7,FALSE)</f>
        <v>Australia</v>
      </c>
      <c r="F595" s="5" t="str">
        <f>VLOOKUP(globalfreelancepreprocesseddata!A595,worksheet!A:P,8,FALSE)</f>
        <v>English</v>
      </c>
      <c r="G595" s="5" t="str">
        <f>VLOOKUP(globalfreelancepreprocesseddata!A595,worksheet!A:P,9,FALSE)</f>
        <v>Graphic Design</v>
      </c>
      <c r="H595" s="5">
        <f>VLOOKUP(globalfreelancepreprocesseddata!A595,worksheet!A:P,10,FALSE)</f>
        <v>2</v>
      </c>
      <c r="I595" s="6" t="str">
        <f>VLOOKUP(globalfreelancepreprocesseddata!A595,worksheet!A:P,12,FALSE)</f>
        <v>$ 75</v>
      </c>
      <c r="J595" s="5">
        <f>VLOOKUP(globalfreelancepreprocesseddata!A595,worksheet!A:P,13,FALSE)</f>
        <v>2.5</v>
      </c>
      <c r="K595" s="5">
        <f>VLOOKUP(globalfreelancepreprocesseddata!A595,worksheet!A:P,14,FALSE)</f>
        <v>1</v>
      </c>
      <c r="L595" s="7">
        <f>VLOOKUP(globalfreelancepreprocesseddata!A595,worksheet!A:P,16,FALSE)</f>
        <v>0.6</v>
      </c>
    </row>
    <row r="596" spans="1:12" x14ac:dyDescent="0.35">
      <c r="A596" s="5" t="s">
        <v>1264</v>
      </c>
      <c r="B596" s="5" t="str">
        <f>VLOOKUP(globalfreelancepreprocesseddata!A596,worksheet!A:P,3,FALSE)</f>
        <v>Daniel Martin</v>
      </c>
      <c r="C596" s="5" t="str">
        <f>VLOOKUP(globalfreelancepreprocesseddata!A596,worksheet!A:P,5,FALSE)</f>
        <v>Male</v>
      </c>
      <c r="D596" s="5">
        <f>VLOOKUP(globalfreelancepreprocesseddata!A596,worksheet!A:P,6,FALSE)</f>
        <v>55</v>
      </c>
      <c r="E596" s="5" t="str">
        <f>VLOOKUP(globalfreelancepreprocesseddata!A596,worksheet!A:P,7,FALSE)</f>
        <v>Canada</v>
      </c>
      <c r="F596" s="5" t="str">
        <f>VLOOKUP(globalfreelancepreprocesseddata!A596,worksheet!A:P,8,FALSE)</f>
        <v>English</v>
      </c>
      <c r="G596" s="5" t="str">
        <f>VLOOKUP(globalfreelancepreprocesseddata!A596,worksheet!A:P,9,FALSE)</f>
        <v>Cybersecurity</v>
      </c>
      <c r="H596" s="5">
        <f>VLOOKUP(globalfreelancepreprocesseddata!A596,worksheet!A:P,10,FALSE)</f>
        <v>24</v>
      </c>
      <c r="I596" s="6">
        <f>VLOOKUP(globalfreelancepreprocesseddata!A596,worksheet!A:P,12,FALSE)</f>
        <v>40</v>
      </c>
      <c r="J596" s="5">
        <f>VLOOKUP(globalfreelancepreprocesseddata!A596,worksheet!A:P,13,FALSE)</f>
        <v>2</v>
      </c>
      <c r="K596" s="5">
        <f>VLOOKUP(globalfreelancepreprocesseddata!A596,worksheet!A:P,14,FALSE)</f>
        <v>1</v>
      </c>
      <c r="L596" s="7">
        <f>VLOOKUP(globalfreelancepreprocesseddata!A596,worksheet!A:P,16,FALSE)</f>
        <v>0.88</v>
      </c>
    </row>
    <row r="597" spans="1:12" x14ac:dyDescent="0.35">
      <c r="A597" s="5" t="s">
        <v>1266</v>
      </c>
      <c r="B597" s="5" t="str">
        <f>VLOOKUP(globalfreelancepreprocesseddata!A597,worksheet!A:P,3,FALSE)</f>
        <v>Rachel Smith</v>
      </c>
      <c r="C597" s="5" t="str">
        <f>VLOOKUP(globalfreelancepreprocesseddata!A597,worksheet!A:P,5,FALSE)</f>
        <v>Female</v>
      </c>
      <c r="D597" s="5">
        <f>VLOOKUP(globalfreelancepreprocesseddata!A597,worksheet!A:P,6,FALSE)</f>
        <v>56</v>
      </c>
      <c r="E597" s="5" t="str">
        <f>VLOOKUP(globalfreelancepreprocesseddata!A597,worksheet!A:P,7,FALSE)</f>
        <v>Italy</v>
      </c>
      <c r="F597" s="5" t="str">
        <f>VLOOKUP(globalfreelancepreprocesseddata!A597,worksheet!A:P,8,FALSE)</f>
        <v>Italian</v>
      </c>
      <c r="G597" s="5" t="str">
        <f>VLOOKUP(globalfreelancepreprocesseddata!A597,worksheet!A:P,9,FALSE)</f>
        <v>Mobile Apps</v>
      </c>
      <c r="H597" s="5">
        <f>VLOOKUP(globalfreelancepreprocesseddata!A597,worksheet!A:P,10,FALSE)</f>
        <v>37</v>
      </c>
      <c r="I597" s="6">
        <f>VLOOKUP(globalfreelancepreprocesseddata!A597,worksheet!A:P,12,FALSE)</f>
        <v>40</v>
      </c>
      <c r="J597" s="5">
        <f>VLOOKUP(globalfreelancepreprocesseddata!A597,worksheet!A:P,13,FALSE)</f>
        <v>0</v>
      </c>
      <c r="K597" s="5">
        <f>VLOOKUP(globalfreelancepreprocesseddata!A597,worksheet!A:P,14,FALSE)</f>
        <v>0</v>
      </c>
      <c r="L597" s="7">
        <f>VLOOKUP(globalfreelancepreprocesseddata!A597,worksheet!A:P,16,FALSE)</f>
        <v>0.7</v>
      </c>
    </row>
    <row r="598" spans="1:12" x14ac:dyDescent="0.35">
      <c r="A598" s="5" t="s">
        <v>1268</v>
      </c>
      <c r="B598" s="5" t="str">
        <f>VLOOKUP(globalfreelancepreprocesseddata!A598,worksheet!A:P,3,FALSE)</f>
        <v>Michael Miller</v>
      </c>
      <c r="C598" s="5" t="str">
        <f>VLOOKUP(globalfreelancepreprocesseddata!A598,worksheet!A:P,5,FALSE)</f>
        <v>Male</v>
      </c>
      <c r="D598" s="5">
        <f>VLOOKUP(globalfreelancepreprocesseddata!A598,worksheet!A:P,6,FALSE)</f>
        <v>36</v>
      </c>
      <c r="E598" s="5" t="str">
        <f>VLOOKUP(globalfreelancepreprocesseddata!A598,worksheet!A:P,7,FALSE)</f>
        <v>France</v>
      </c>
      <c r="F598" s="5" t="str">
        <f>VLOOKUP(globalfreelancepreprocesseddata!A598,worksheet!A:P,8,FALSE)</f>
        <v>French</v>
      </c>
      <c r="G598" s="5" t="str">
        <f>VLOOKUP(globalfreelancepreprocesseddata!A598,worksheet!A:P,9,FALSE)</f>
        <v>Graphic Design</v>
      </c>
      <c r="H598" s="5">
        <f>VLOOKUP(globalfreelancepreprocesseddata!A598,worksheet!A:P,10,FALSE)</f>
        <v>3</v>
      </c>
      <c r="I598" s="6" t="str">
        <f>VLOOKUP(globalfreelancepreprocesseddata!A598,worksheet!A:P,12,FALSE)</f>
        <v>$ 50</v>
      </c>
      <c r="J598" s="5">
        <f>VLOOKUP(globalfreelancepreprocesseddata!A598,worksheet!A:P,13,FALSE)</f>
        <v>1.3</v>
      </c>
      <c r="K598" s="5">
        <f>VLOOKUP(globalfreelancepreprocesseddata!A598,worksheet!A:P,14,FALSE)</f>
        <v>1</v>
      </c>
      <c r="L598" s="7">
        <f>VLOOKUP(globalfreelancepreprocesseddata!A598,worksheet!A:P,16,FALSE)</f>
        <v>0.77</v>
      </c>
    </row>
    <row r="599" spans="1:12" x14ac:dyDescent="0.35">
      <c r="A599" s="5" t="s">
        <v>1270</v>
      </c>
      <c r="B599" s="5" t="str">
        <f>VLOOKUP(globalfreelancepreprocesseddata!A599,worksheet!A:P,3,FALSE)</f>
        <v>Willie Clark</v>
      </c>
      <c r="C599" s="5" t="str">
        <f>VLOOKUP(globalfreelancepreprocesseddata!A599,worksheet!A:P,5,FALSE)</f>
        <v>Male</v>
      </c>
      <c r="D599" s="5">
        <f>VLOOKUP(globalfreelancepreprocesseddata!A599,worksheet!A:P,6,FALSE)</f>
        <v>48</v>
      </c>
      <c r="E599" s="5" t="str">
        <f>VLOOKUP(globalfreelancepreprocesseddata!A599,worksheet!A:P,7,FALSE)</f>
        <v>Argentina</v>
      </c>
      <c r="F599" s="5" t="str">
        <f>VLOOKUP(globalfreelancepreprocesseddata!A599,worksheet!A:P,8,FALSE)</f>
        <v>Spanish</v>
      </c>
      <c r="G599" s="5" t="str">
        <f>VLOOKUP(globalfreelancepreprocesseddata!A599,worksheet!A:P,9,FALSE)</f>
        <v>Web Development</v>
      </c>
      <c r="H599" s="5">
        <f>VLOOKUP(globalfreelancepreprocesseddata!A599,worksheet!A:P,10,FALSE)</f>
        <v>18</v>
      </c>
      <c r="I599" s="6">
        <f>VLOOKUP(globalfreelancepreprocesseddata!A599,worksheet!A:P,12,FALSE)</f>
        <v>75</v>
      </c>
      <c r="J599" s="5">
        <f>VLOOKUP(globalfreelancepreprocesseddata!A599,worksheet!A:P,13,FALSE)</f>
        <v>0</v>
      </c>
      <c r="K599" s="5">
        <f>VLOOKUP(globalfreelancepreprocesseddata!A599,worksheet!A:P,14,FALSE)</f>
        <v>0</v>
      </c>
      <c r="L599" s="7">
        <f>VLOOKUP(globalfreelancepreprocesseddata!A599,worksheet!A:P,16,FALSE)</f>
        <v>0.8</v>
      </c>
    </row>
    <row r="600" spans="1:12" x14ac:dyDescent="0.35">
      <c r="A600" s="5" t="s">
        <v>1272</v>
      </c>
      <c r="B600" s="5" t="str">
        <f>VLOOKUP(globalfreelancepreprocesseddata!A600,worksheet!A:P,3,FALSE)</f>
        <v>Jeremy Hernandez</v>
      </c>
      <c r="C600" s="5" t="str">
        <f>VLOOKUP(globalfreelancepreprocesseddata!A600,worksheet!A:P,5,FALSE)</f>
        <v>Male</v>
      </c>
      <c r="D600" s="5">
        <f>VLOOKUP(globalfreelancepreprocesseddata!A600,worksheet!A:P,6,FALSE)</f>
        <v>55</v>
      </c>
      <c r="E600" s="5" t="str">
        <f>VLOOKUP(globalfreelancepreprocesseddata!A600,worksheet!A:P,7,FALSE)</f>
        <v>Egypt</v>
      </c>
      <c r="F600" s="5" t="str">
        <f>VLOOKUP(globalfreelancepreprocesseddata!A600,worksheet!A:P,8,FALSE)</f>
        <v>Arabic</v>
      </c>
      <c r="G600" s="5" t="str">
        <f>VLOOKUP(globalfreelancepreprocesseddata!A600,worksheet!A:P,9,FALSE)</f>
        <v>Machine Learning</v>
      </c>
      <c r="H600" s="5">
        <f>VLOOKUP(globalfreelancepreprocesseddata!A600,worksheet!A:P,10,FALSE)</f>
        <v>6</v>
      </c>
      <c r="I600" s="6">
        <f>VLOOKUP(globalfreelancepreprocesseddata!A600,worksheet!A:P,12,FALSE)</f>
        <v>40</v>
      </c>
      <c r="J600" s="5">
        <f>VLOOKUP(globalfreelancepreprocesseddata!A600,worksheet!A:P,13,FALSE)</f>
        <v>3.6</v>
      </c>
      <c r="K600" s="5">
        <f>VLOOKUP(globalfreelancepreprocesseddata!A600,worksheet!A:P,14,FALSE)</f>
        <v>1</v>
      </c>
      <c r="L600" s="7">
        <f>VLOOKUP(globalfreelancepreprocesseddata!A600,worksheet!A:P,16,FALSE)</f>
        <v>0.16</v>
      </c>
    </row>
    <row r="601" spans="1:12" x14ac:dyDescent="0.35">
      <c r="A601" s="5" t="s">
        <v>1274</v>
      </c>
      <c r="B601" s="5" t="str">
        <f>VLOOKUP(globalfreelancepreprocesseddata!A601,worksheet!A:P,3,FALSE)</f>
        <v>Tina Shelton</v>
      </c>
      <c r="C601" s="5" t="str">
        <f>VLOOKUP(globalfreelancepreprocesseddata!A601,worksheet!A:P,5,FALSE)</f>
        <v>Female</v>
      </c>
      <c r="D601" s="5">
        <f>VLOOKUP(globalfreelancepreprocesseddata!A601,worksheet!A:P,6,FALSE)</f>
        <v>56</v>
      </c>
      <c r="E601" s="5" t="str">
        <f>VLOOKUP(globalfreelancepreprocesseddata!A601,worksheet!A:P,7,FALSE)</f>
        <v>Spain</v>
      </c>
      <c r="F601" s="5" t="str">
        <f>VLOOKUP(globalfreelancepreprocesseddata!A601,worksheet!A:P,8,FALSE)</f>
        <v>Spanish</v>
      </c>
      <c r="G601" s="5" t="str">
        <f>VLOOKUP(globalfreelancepreprocesseddata!A601,worksheet!A:P,9,FALSE)</f>
        <v>DevOps</v>
      </c>
      <c r="H601" s="5">
        <f>VLOOKUP(globalfreelancepreprocesseddata!A601,worksheet!A:P,10,FALSE)</f>
        <v>17</v>
      </c>
      <c r="I601" s="6">
        <f>VLOOKUP(globalfreelancepreprocesseddata!A601,worksheet!A:P,12,FALSE)</f>
        <v>40</v>
      </c>
      <c r="J601" s="5">
        <f>VLOOKUP(globalfreelancepreprocesseddata!A601,worksheet!A:P,13,FALSE)</f>
        <v>1.3</v>
      </c>
      <c r="K601" s="5">
        <f>VLOOKUP(globalfreelancepreprocesseddata!A601,worksheet!A:P,14,FALSE)</f>
        <v>1</v>
      </c>
      <c r="L601" s="7">
        <f>VLOOKUP(globalfreelancepreprocesseddata!A601,worksheet!A:P,16,FALSE)</f>
        <v>0.87</v>
      </c>
    </row>
    <row r="602" spans="1:12" x14ac:dyDescent="0.35">
      <c r="A602" s="5" t="s">
        <v>1276</v>
      </c>
      <c r="B602" s="5" t="str">
        <f>VLOOKUP(globalfreelancepreprocesseddata!A602,worksheet!A:P,3,FALSE)</f>
        <v>Dr. Pamela Larson</v>
      </c>
      <c r="C602" s="5" t="str">
        <f>VLOOKUP(globalfreelancepreprocesseddata!A602,worksheet!A:P,5,FALSE)</f>
        <v>Female</v>
      </c>
      <c r="D602" s="5">
        <f>VLOOKUP(globalfreelancepreprocesseddata!A602,worksheet!A:P,6,FALSE)</f>
        <v>28</v>
      </c>
      <c r="E602" s="5" t="str">
        <f>VLOOKUP(globalfreelancepreprocesseddata!A602,worksheet!A:P,7,FALSE)</f>
        <v>Canada</v>
      </c>
      <c r="F602" s="5" t="str">
        <f>VLOOKUP(globalfreelancepreprocesseddata!A602,worksheet!A:P,8,FALSE)</f>
        <v>English</v>
      </c>
      <c r="G602" s="5" t="str">
        <f>VLOOKUP(globalfreelancepreprocesseddata!A602,worksheet!A:P,9,FALSE)</f>
        <v>Blockchain Development</v>
      </c>
      <c r="H602" s="5">
        <f>VLOOKUP(globalfreelancepreprocesseddata!A602,worksheet!A:P,10,FALSE)</f>
        <v>1</v>
      </c>
      <c r="I602" s="6">
        <f>VLOOKUP(globalfreelancepreprocesseddata!A602,worksheet!A:P,12,FALSE)</f>
        <v>75</v>
      </c>
      <c r="J602" s="5">
        <f>VLOOKUP(globalfreelancepreprocesseddata!A602,worksheet!A:P,13,FALSE)</f>
        <v>2.7</v>
      </c>
      <c r="K602" s="5">
        <f>VLOOKUP(globalfreelancepreprocesseddata!A602,worksheet!A:P,14,FALSE)</f>
        <v>1</v>
      </c>
      <c r="L602" s="7">
        <f>VLOOKUP(globalfreelancepreprocesseddata!A602,worksheet!A:P,16,FALSE)</f>
        <v>0.93</v>
      </c>
    </row>
    <row r="603" spans="1:12" x14ac:dyDescent="0.35">
      <c r="A603" s="5" t="s">
        <v>1278</v>
      </c>
      <c r="B603" s="5" t="str">
        <f>VLOOKUP(globalfreelancepreprocesseddata!A603,worksheet!A:P,3,FALSE)</f>
        <v>Ryan Ewing</v>
      </c>
      <c r="C603" s="5" t="str">
        <f>VLOOKUP(globalfreelancepreprocesseddata!A603,worksheet!A:P,5,FALSE)</f>
        <v>Male</v>
      </c>
      <c r="D603" s="5">
        <f>VLOOKUP(globalfreelancepreprocesseddata!A603,worksheet!A:P,6,FALSE)</f>
        <v>60</v>
      </c>
      <c r="E603" s="5" t="str">
        <f>VLOOKUP(globalfreelancepreprocesseddata!A603,worksheet!A:P,7,FALSE)</f>
        <v>United States</v>
      </c>
      <c r="F603" s="5" t="str">
        <f>VLOOKUP(globalfreelancepreprocesseddata!A603,worksheet!A:P,8,FALSE)</f>
        <v>English</v>
      </c>
      <c r="G603" s="5" t="str">
        <f>VLOOKUP(globalfreelancepreprocesseddata!A603,worksheet!A:P,9,FALSE)</f>
        <v>AI</v>
      </c>
      <c r="H603" s="5">
        <f>VLOOKUP(globalfreelancepreprocesseddata!A603,worksheet!A:P,10,FALSE)</f>
        <v>39</v>
      </c>
      <c r="I603" s="6" t="str">
        <f>VLOOKUP(globalfreelancepreprocesseddata!A603,worksheet!A:P,12,FALSE)</f>
        <v>$ 100</v>
      </c>
      <c r="J603" s="5">
        <f>VLOOKUP(globalfreelancepreprocesseddata!A603,worksheet!A:P,13,FALSE)</f>
        <v>1.5</v>
      </c>
      <c r="K603" s="5">
        <f>VLOOKUP(globalfreelancepreprocesseddata!A603,worksheet!A:P,14,FALSE)</f>
        <v>1</v>
      </c>
      <c r="L603" s="7">
        <f>VLOOKUP(globalfreelancepreprocesseddata!A603,worksheet!A:P,16,FALSE)</f>
        <v>0.88</v>
      </c>
    </row>
    <row r="604" spans="1:12" x14ac:dyDescent="0.35">
      <c r="A604" s="5" t="s">
        <v>1280</v>
      </c>
      <c r="B604" s="5" t="str">
        <f>VLOOKUP(globalfreelancepreprocesseddata!A604,worksheet!A:P,3,FALSE)</f>
        <v>Mark Cochran</v>
      </c>
      <c r="C604" s="5" t="str">
        <f>VLOOKUP(globalfreelancepreprocesseddata!A604,worksheet!A:P,5,FALSE)</f>
        <v>Male</v>
      </c>
      <c r="D604" s="5">
        <f>VLOOKUP(globalfreelancepreprocesseddata!A604,worksheet!A:P,6,FALSE)</f>
        <v>34</v>
      </c>
      <c r="E604" s="5" t="str">
        <f>VLOOKUP(globalfreelancepreprocesseddata!A604,worksheet!A:P,7,FALSE)</f>
        <v>South Korea</v>
      </c>
      <c r="F604" s="5" t="str">
        <f>VLOOKUP(globalfreelancepreprocesseddata!A604,worksheet!A:P,8,FALSE)</f>
        <v>Korean</v>
      </c>
      <c r="G604" s="5" t="str">
        <f>VLOOKUP(globalfreelancepreprocesseddata!A604,worksheet!A:P,9,FALSE)</f>
        <v>Blockchain Development</v>
      </c>
      <c r="H604" s="5">
        <f>VLOOKUP(globalfreelancepreprocesseddata!A604,worksheet!A:P,10,FALSE)</f>
        <v>15</v>
      </c>
      <c r="I604" s="6">
        <f>VLOOKUP(globalfreelancepreprocesseddata!A604,worksheet!A:P,12,FALSE)</f>
        <v>20</v>
      </c>
      <c r="J604" s="5">
        <f>VLOOKUP(globalfreelancepreprocesseddata!A604,worksheet!A:P,13,FALSE)</f>
        <v>0</v>
      </c>
      <c r="K604" s="5">
        <f>VLOOKUP(globalfreelancepreprocesseddata!A604,worksheet!A:P,14,FALSE)</f>
        <v>0</v>
      </c>
      <c r="L604" s="7">
        <f>VLOOKUP(globalfreelancepreprocesseddata!A604,worksheet!A:P,16,FALSE)</f>
        <v>0.01</v>
      </c>
    </row>
    <row r="605" spans="1:12" x14ac:dyDescent="0.35">
      <c r="A605" s="5" t="s">
        <v>1282</v>
      </c>
      <c r="B605" s="5" t="str">
        <f>VLOOKUP(globalfreelancepreprocesseddata!A605,worksheet!A:P,3,FALSE)</f>
        <v>Martha Carson</v>
      </c>
      <c r="C605" s="5" t="str">
        <f>VLOOKUP(globalfreelancepreprocesseddata!A605,worksheet!A:P,5,FALSE)</f>
        <v>Female</v>
      </c>
      <c r="D605" s="5">
        <f>VLOOKUP(globalfreelancepreprocesseddata!A605,worksheet!A:P,6,FALSE)</f>
        <v>38</v>
      </c>
      <c r="E605" s="5" t="str">
        <f>VLOOKUP(globalfreelancepreprocesseddata!A605,worksheet!A:P,7,FALSE)</f>
        <v>Indonesia</v>
      </c>
      <c r="F605" s="5" t="str">
        <f>VLOOKUP(globalfreelancepreprocesseddata!A605,worksheet!A:P,8,FALSE)</f>
        <v>Indonesian</v>
      </c>
      <c r="G605" s="5" t="str">
        <f>VLOOKUP(globalfreelancepreprocesseddata!A605,worksheet!A:P,9,FALSE)</f>
        <v>AI</v>
      </c>
      <c r="H605" s="5">
        <f>VLOOKUP(globalfreelancepreprocesseddata!A605,worksheet!A:P,10,FALSE)</f>
        <v>13</v>
      </c>
      <c r="I605" s="6">
        <f>VLOOKUP(globalfreelancepreprocesseddata!A605,worksheet!A:P,12,FALSE)</f>
        <v>40</v>
      </c>
      <c r="J605" s="5">
        <f>VLOOKUP(globalfreelancepreprocesseddata!A605,worksheet!A:P,13,FALSE)</f>
        <v>0</v>
      </c>
      <c r="K605" s="5">
        <f>VLOOKUP(globalfreelancepreprocesseddata!A605,worksheet!A:P,14,FALSE)</f>
        <v>1</v>
      </c>
      <c r="L605" s="7">
        <f>VLOOKUP(globalfreelancepreprocesseddata!A605,worksheet!A:P,16,FALSE)</f>
        <v>0.61</v>
      </c>
    </row>
    <row r="606" spans="1:12" x14ac:dyDescent="0.35">
      <c r="A606" s="5" t="s">
        <v>1284</v>
      </c>
      <c r="B606" s="5" t="str">
        <f>VLOOKUP(globalfreelancepreprocesseddata!A606,worksheet!A:P,3,FALSE)</f>
        <v>Heather Jackson</v>
      </c>
      <c r="C606" s="5" t="str">
        <f>VLOOKUP(globalfreelancepreprocesseddata!A606,worksheet!A:P,5,FALSE)</f>
        <v>Female</v>
      </c>
      <c r="D606" s="5">
        <f>VLOOKUP(globalfreelancepreprocesseddata!A606,worksheet!A:P,6,FALSE)</f>
        <v>51</v>
      </c>
      <c r="E606" s="5" t="str">
        <f>VLOOKUP(globalfreelancepreprocesseddata!A606,worksheet!A:P,7,FALSE)</f>
        <v>South Korea</v>
      </c>
      <c r="F606" s="5" t="str">
        <f>VLOOKUP(globalfreelancepreprocesseddata!A606,worksheet!A:P,8,FALSE)</f>
        <v>Korean</v>
      </c>
      <c r="G606" s="5" t="str">
        <f>VLOOKUP(globalfreelancepreprocesseddata!A606,worksheet!A:P,9,FALSE)</f>
        <v>Web Development</v>
      </c>
      <c r="H606" s="5">
        <f>VLOOKUP(globalfreelancepreprocesseddata!A606,worksheet!A:P,10,FALSE)</f>
        <v>17</v>
      </c>
      <c r="I606" s="6">
        <f>VLOOKUP(globalfreelancepreprocesseddata!A606,worksheet!A:P,12,FALSE)</f>
        <v>100</v>
      </c>
      <c r="J606" s="5">
        <f>VLOOKUP(globalfreelancepreprocesseddata!A606,worksheet!A:P,13,FALSE)</f>
        <v>3</v>
      </c>
      <c r="K606" s="5">
        <f>VLOOKUP(globalfreelancepreprocesseddata!A606,worksheet!A:P,14,FALSE)</f>
        <v>0</v>
      </c>
      <c r="L606" s="7">
        <f>VLOOKUP(globalfreelancepreprocesseddata!A606,worksheet!A:P,16,FALSE)</f>
        <v>0.79</v>
      </c>
    </row>
    <row r="607" spans="1:12" x14ac:dyDescent="0.35">
      <c r="A607" s="5" t="s">
        <v>1286</v>
      </c>
      <c r="B607" s="5" t="str">
        <f>VLOOKUP(globalfreelancepreprocesseddata!A607,worksheet!A:P,3,FALSE)</f>
        <v>Megan Young</v>
      </c>
      <c r="C607" s="5" t="str">
        <f>VLOOKUP(globalfreelancepreprocesseddata!A607,worksheet!A:P,5,FALSE)</f>
        <v>Female</v>
      </c>
      <c r="D607" s="5">
        <f>VLOOKUP(globalfreelancepreprocesseddata!A607,worksheet!A:P,6,FALSE)</f>
        <v>21</v>
      </c>
      <c r="E607" s="5" t="str">
        <f>VLOOKUP(globalfreelancepreprocesseddata!A607,worksheet!A:P,7,FALSE)</f>
        <v>Japan</v>
      </c>
      <c r="F607" s="5" t="str">
        <f>VLOOKUP(globalfreelancepreprocesseddata!A607,worksheet!A:P,8,FALSE)</f>
        <v>Japanese</v>
      </c>
      <c r="G607" s="5" t="str">
        <f>VLOOKUP(globalfreelancepreprocesseddata!A607,worksheet!A:P,9,FALSE)</f>
        <v>Mobile Apps</v>
      </c>
      <c r="H607" s="5">
        <f>VLOOKUP(globalfreelancepreprocesseddata!A607,worksheet!A:P,10,FALSE)</f>
        <v>1</v>
      </c>
      <c r="I607" s="6">
        <f>VLOOKUP(globalfreelancepreprocesseddata!A607,worksheet!A:P,12,FALSE)</f>
        <v>30</v>
      </c>
      <c r="J607" s="5">
        <f>VLOOKUP(globalfreelancepreprocesseddata!A607,worksheet!A:P,13,FALSE)</f>
        <v>1.2</v>
      </c>
      <c r="K607" s="5">
        <f>VLOOKUP(globalfreelancepreprocesseddata!A607,worksheet!A:P,14,FALSE)</f>
        <v>1</v>
      </c>
      <c r="L607" s="7">
        <f>VLOOKUP(globalfreelancepreprocesseddata!A607,worksheet!A:P,16,FALSE)</f>
        <v>0.73</v>
      </c>
    </row>
    <row r="608" spans="1:12" x14ac:dyDescent="0.35">
      <c r="A608" s="5" t="s">
        <v>1288</v>
      </c>
      <c r="B608" s="5" t="str">
        <f>VLOOKUP(globalfreelancepreprocesseddata!A608,worksheet!A:P,3,FALSE)</f>
        <v>Thomas Davis</v>
      </c>
      <c r="C608" s="5" t="str">
        <f>VLOOKUP(globalfreelancepreprocesseddata!A608,worksheet!A:P,5,FALSE)</f>
        <v>Male</v>
      </c>
      <c r="D608" s="5">
        <f>VLOOKUP(globalfreelancepreprocesseddata!A608,worksheet!A:P,6,FALSE)</f>
        <v>35</v>
      </c>
      <c r="E608" s="5" t="str">
        <f>VLOOKUP(globalfreelancepreprocesseddata!A608,worksheet!A:P,7,FALSE)</f>
        <v>Italy</v>
      </c>
      <c r="F608" s="5" t="str">
        <f>VLOOKUP(globalfreelancepreprocesseddata!A608,worksheet!A:P,8,FALSE)</f>
        <v>Italian</v>
      </c>
      <c r="G608" s="5" t="str">
        <f>VLOOKUP(globalfreelancepreprocesseddata!A608,worksheet!A:P,9,FALSE)</f>
        <v>UI/UX Design</v>
      </c>
      <c r="H608" s="5">
        <f>VLOOKUP(globalfreelancepreprocesseddata!A608,worksheet!A:P,10,FALSE)</f>
        <v>16</v>
      </c>
      <c r="I608" s="6">
        <f>VLOOKUP(globalfreelancepreprocesseddata!A608,worksheet!A:P,12,FALSE)</f>
        <v>40</v>
      </c>
      <c r="J608" s="5">
        <f>VLOOKUP(globalfreelancepreprocesseddata!A608,worksheet!A:P,13,FALSE)</f>
        <v>1.3</v>
      </c>
      <c r="K608" s="5">
        <f>VLOOKUP(globalfreelancepreprocesseddata!A608,worksheet!A:P,14,FALSE)</f>
        <v>1</v>
      </c>
      <c r="L608" s="7">
        <f>VLOOKUP(globalfreelancepreprocesseddata!A608,worksheet!A:P,16,FALSE)</f>
        <v>0.64</v>
      </c>
    </row>
    <row r="609" spans="1:12" x14ac:dyDescent="0.35">
      <c r="A609" s="5" t="s">
        <v>1290</v>
      </c>
      <c r="B609" s="5" t="str">
        <f>VLOOKUP(globalfreelancepreprocesseddata!A609,worksheet!A:P,3,FALSE)</f>
        <v>Thomas Mooney</v>
      </c>
      <c r="C609" s="5" t="str">
        <f>VLOOKUP(globalfreelancepreprocesseddata!A609,worksheet!A:P,5,FALSE)</f>
        <v>Male</v>
      </c>
      <c r="D609" s="5">
        <f>VLOOKUP(globalfreelancepreprocesseddata!A609,worksheet!A:P,6,FALSE)</f>
        <v>27</v>
      </c>
      <c r="E609" s="5" t="str">
        <f>VLOOKUP(globalfreelancepreprocesseddata!A609,worksheet!A:P,7,FALSE)</f>
        <v>Brazil</v>
      </c>
      <c r="F609" s="5" t="str">
        <f>VLOOKUP(globalfreelancepreprocesseddata!A609,worksheet!A:P,8,FALSE)</f>
        <v>Portuguese</v>
      </c>
      <c r="G609" s="5" t="str">
        <f>VLOOKUP(globalfreelancepreprocesseddata!A609,worksheet!A:P,9,FALSE)</f>
        <v>Web Development</v>
      </c>
      <c r="H609" s="5">
        <f>VLOOKUP(globalfreelancepreprocesseddata!A609,worksheet!A:P,10,FALSE)</f>
        <v>9</v>
      </c>
      <c r="I609" s="6">
        <f>VLOOKUP(globalfreelancepreprocesseddata!A609,worksheet!A:P,12,FALSE)</f>
        <v>100</v>
      </c>
      <c r="J609" s="5">
        <f>VLOOKUP(globalfreelancepreprocesseddata!A609,worksheet!A:P,13,FALSE)</f>
        <v>3</v>
      </c>
      <c r="K609" s="5">
        <f>VLOOKUP(globalfreelancepreprocesseddata!A609,worksheet!A:P,14,FALSE)</f>
        <v>1</v>
      </c>
      <c r="L609" s="7">
        <f>VLOOKUP(globalfreelancepreprocesseddata!A609,worksheet!A:P,16,FALSE)</f>
        <v>0.16</v>
      </c>
    </row>
    <row r="610" spans="1:12" x14ac:dyDescent="0.35">
      <c r="A610" s="5" t="s">
        <v>1292</v>
      </c>
      <c r="B610" s="5" t="str">
        <f>VLOOKUP(globalfreelancepreprocesseddata!A610,worksheet!A:P,3,FALSE)</f>
        <v>Susan Smith</v>
      </c>
      <c r="C610" s="5" t="str">
        <f>VLOOKUP(globalfreelancepreprocesseddata!A610,worksheet!A:P,5,FALSE)</f>
        <v>Female</v>
      </c>
      <c r="D610" s="5">
        <f>VLOOKUP(globalfreelancepreprocesseddata!A610,worksheet!A:P,6,FALSE)</f>
        <v>42</v>
      </c>
      <c r="E610" s="5" t="str">
        <f>VLOOKUP(globalfreelancepreprocesseddata!A610,worksheet!A:P,7,FALSE)</f>
        <v>Turkey</v>
      </c>
      <c r="F610" s="5" t="str">
        <f>VLOOKUP(globalfreelancepreprocesseddata!A610,worksheet!A:P,8,FALSE)</f>
        <v>Turkish</v>
      </c>
      <c r="G610" s="5" t="str">
        <f>VLOOKUP(globalfreelancepreprocesseddata!A610,worksheet!A:P,9,FALSE)</f>
        <v>Mobile Apps</v>
      </c>
      <c r="H610" s="5">
        <f>VLOOKUP(globalfreelancepreprocesseddata!A610,worksheet!A:P,10,FALSE)</f>
        <v>20</v>
      </c>
      <c r="I610" s="6" t="str">
        <f>VLOOKUP(globalfreelancepreprocesseddata!A610,worksheet!A:P,12,FALSE)</f>
        <v>$ 50</v>
      </c>
      <c r="J610" s="5">
        <f>VLOOKUP(globalfreelancepreprocesseddata!A610,worksheet!A:P,13,FALSE)</f>
        <v>3.8</v>
      </c>
      <c r="K610" s="5">
        <f>VLOOKUP(globalfreelancepreprocesseddata!A610,worksheet!A:P,14,FALSE)</f>
        <v>0</v>
      </c>
      <c r="L610" s="7">
        <f>VLOOKUP(globalfreelancepreprocesseddata!A610,worksheet!A:P,16,FALSE)</f>
        <v>0.93</v>
      </c>
    </row>
    <row r="611" spans="1:12" x14ac:dyDescent="0.35">
      <c r="A611" s="5" t="s">
        <v>1294</v>
      </c>
      <c r="B611" s="5" t="str">
        <f>VLOOKUP(globalfreelancepreprocesseddata!A611,worksheet!A:P,3,FALSE)</f>
        <v>Brianna Orr</v>
      </c>
      <c r="C611" s="5" t="str">
        <f>VLOOKUP(globalfreelancepreprocesseddata!A611,worksheet!A:P,5,FALSE)</f>
        <v>Female</v>
      </c>
      <c r="D611" s="5">
        <f>VLOOKUP(globalfreelancepreprocesseddata!A611,worksheet!A:P,6,FALSE)</f>
        <v>52</v>
      </c>
      <c r="E611" s="5" t="str">
        <f>VLOOKUP(globalfreelancepreprocesseddata!A611,worksheet!A:P,7,FALSE)</f>
        <v>Canada</v>
      </c>
      <c r="F611" s="5" t="str">
        <f>VLOOKUP(globalfreelancepreprocesseddata!A611,worksheet!A:P,8,FALSE)</f>
        <v>English</v>
      </c>
      <c r="G611" s="5" t="str">
        <f>VLOOKUP(globalfreelancepreprocesseddata!A611,worksheet!A:P,9,FALSE)</f>
        <v>Blockchain Development</v>
      </c>
      <c r="H611" s="5">
        <f>VLOOKUP(globalfreelancepreprocesseddata!A611,worksheet!A:P,10,FALSE)</f>
        <v>29</v>
      </c>
      <c r="I611" s="6">
        <f>VLOOKUP(globalfreelancepreprocesseddata!A611,worksheet!A:P,12,FALSE)</f>
        <v>30</v>
      </c>
      <c r="J611" s="5">
        <f>VLOOKUP(globalfreelancepreprocesseddata!A611,worksheet!A:P,13,FALSE)</f>
        <v>3.8</v>
      </c>
      <c r="K611" s="5">
        <f>VLOOKUP(globalfreelancepreprocesseddata!A611,worksheet!A:P,14,FALSE)</f>
        <v>0</v>
      </c>
      <c r="L611" s="7">
        <f>VLOOKUP(globalfreelancepreprocesseddata!A611,worksheet!A:P,16,FALSE)</f>
        <v>0.68</v>
      </c>
    </row>
    <row r="612" spans="1:12" x14ac:dyDescent="0.35">
      <c r="A612" s="5" t="s">
        <v>1296</v>
      </c>
      <c r="B612" s="5" t="str">
        <f>VLOOKUP(globalfreelancepreprocesseddata!A612,worksheet!A:P,3,FALSE)</f>
        <v>Dustin Smith</v>
      </c>
      <c r="C612" s="5" t="str">
        <f>VLOOKUP(globalfreelancepreprocesseddata!A612,worksheet!A:P,5,FALSE)</f>
        <v>Male</v>
      </c>
      <c r="D612" s="5">
        <f>VLOOKUP(globalfreelancepreprocesseddata!A612,worksheet!A:P,6,FALSE)</f>
        <v>53</v>
      </c>
      <c r="E612" s="5" t="str">
        <f>VLOOKUP(globalfreelancepreprocesseddata!A612,worksheet!A:P,7,FALSE)</f>
        <v>South Korea</v>
      </c>
      <c r="F612" s="5" t="str">
        <f>VLOOKUP(globalfreelancepreprocesseddata!A612,worksheet!A:P,8,FALSE)</f>
        <v>Korean</v>
      </c>
      <c r="G612" s="5" t="str">
        <f>VLOOKUP(globalfreelancepreprocesseddata!A612,worksheet!A:P,9,FALSE)</f>
        <v>Web Development</v>
      </c>
      <c r="H612" s="5">
        <f>VLOOKUP(globalfreelancepreprocesseddata!A612,worksheet!A:P,10,FALSE)</f>
        <v>21</v>
      </c>
      <c r="I612" s="6">
        <f>VLOOKUP(globalfreelancepreprocesseddata!A612,worksheet!A:P,12,FALSE)</f>
        <v>40</v>
      </c>
      <c r="J612" s="5">
        <f>VLOOKUP(globalfreelancepreprocesseddata!A612,worksheet!A:P,13,FALSE)</f>
        <v>4.7</v>
      </c>
      <c r="K612" s="5">
        <f>VLOOKUP(globalfreelancepreprocesseddata!A612,worksheet!A:P,14,FALSE)</f>
        <v>1</v>
      </c>
      <c r="L612" s="7">
        <f>VLOOKUP(globalfreelancepreprocesseddata!A612,worksheet!A:P,16,FALSE)</f>
        <v>0.62</v>
      </c>
    </row>
    <row r="613" spans="1:12" x14ac:dyDescent="0.35">
      <c r="A613" s="5" t="s">
        <v>1298</v>
      </c>
      <c r="B613" s="5" t="str">
        <f>VLOOKUP(globalfreelancepreprocesseddata!A613,worksheet!A:P,3,FALSE)</f>
        <v>Sarah White</v>
      </c>
      <c r="C613" s="5" t="str">
        <f>VLOOKUP(globalfreelancepreprocesseddata!A613,worksheet!A:P,5,FALSE)</f>
        <v>Female</v>
      </c>
      <c r="D613" s="5">
        <f>VLOOKUP(globalfreelancepreprocesseddata!A613,worksheet!A:P,6,FALSE)</f>
        <v>54</v>
      </c>
      <c r="E613" s="5" t="str">
        <f>VLOOKUP(globalfreelancepreprocesseddata!A613,worksheet!A:P,7,FALSE)</f>
        <v>Italy</v>
      </c>
      <c r="F613" s="5" t="str">
        <f>VLOOKUP(globalfreelancepreprocesseddata!A613,worksheet!A:P,8,FALSE)</f>
        <v>Italian</v>
      </c>
      <c r="G613" s="5" t="str">
        <f>VLOOKUP(globalfreelancepreprocesseddata!A613,worksheet!A:P,9,FALSE)</f>
        <v>Mobile Apps</v>
      </c>
      <c r="H613" s="5">
        <f>VLOOKUP(globalfreelancepreprocesseddata!A613,worksheet!A:P,10,FALSE)</f>
        <v>28</v>
      </c>
      <c r="I613" s="6" t="str">
        <f>VLOOKUP(globalfreelancepreprocesseddata!A613,worksheet!A:P,12,FALSE)</f>
        <v>$ 40</v>
      </c>
      <c r="J613" s="5">
        <f>VLOOKUP(globalfreelancepreprocesseddata!A613,worksheet!A:P,13,FALSE)</f>
        <v>1.1000000000000001</v>
      </c>
      <c r="K613" s="5">
        <f>VLOOKUP(globalfreelancepreprocesseddata!A613,worksheet!A:P,14,FALSE)</f>
        <v>1</v>
      </c>
      <c r="L613" s="7">
        <f>VLOOKUP(globalfreelancepreprocesseddata!A613,worksheet!A:P,16,FALSE)</f>
        <v>0.16</v>
      </c>
    </row>
    <row r="614" spans="1:12" x14ac:dyDescent="0.35">
      <c r="A614" s="5" t="s">
        <v>1300</v>
      </c>
      <c r="B614" s="5" t="str">
        <f>VLOOKUP(globalfreelancepreprocesseddata!A614,worksheet!A:P,3,FALSE)</f>
        <v>Michael Davis</v>
      </c>
      <c r="C614" s="5" t="str">
        <f>VLOOKUP(globalfreelancepreprocesseddata!A614,worksheet!A:P,5,FALSE)</f>
        <v>Male</v>
      </c>
      <c r="D614" s="5">
        <f>VLOOKUP(globalfreelancepreprocesseddata!A614,worksheet!A:P,6,FALSE)</f>
        <v>51</v>
      </c>
      <c r="E614" s="5" t="str">
        <f>VLOOKUP(globalfreelancepreprocesseddata!A614,worksheet!A:P,7,FALSE)</f>
        <v>Japan</v>
      </c>
      <c r="F614" s="5" t="str">
        <f>VLOOKUP(globalfreelancepreprocesseddata!A614,worksheet!A:P,8,FALSE)</f>
        <v>Japanese</v>
      </c>
      <c r="G614" s="5" t="str">
        <f>VLOOKUP(globalfreelancepreprocesseddata!A614,worksheet!A:P,9,FALSE)</f>
        <v>Graphic Design</v>
      </c>
      <c r="H614" s="5">
        <f>VLOOKUP(globalfreelancepreprocesseddata!A614,worksheet!A:P,10,FALSE)</f>
        <v>5</v>
      </c>
      <c r="I614" s="6">
        <f>VLOOKUP(globalfreelancepreprocesseddata!A614,worksheet!A:P,12,FALSE)</f>
        <v>50</v>
      </c>
      <c r="J614" s="5">
        <f>VLOOKUP(globalfreelancepreprocesseddata!A614,worksheet!A:P,13,FALSE)</f>
        <v>4.2</v>
      </c>
      <c r="K614" s="5">
        <f>VLOOKUP(globalfreelancepreprocesseddata!A614,worksheet!A:P,14,FALSE)</f>
        <v>1</v>
      </c>
      <c r="L614" s="7">
        <f>VLOOKUP(globalfreelancepreprocesseddata!A614,worksheet!A:P,16,FALSE)</f>
        <v>0.82</v>
      </c>
    </row>
    <row r="615" spans="1:12" x14ac:dyDescent="0.35">
      <c r="A615" s="5" t="s">
        <v>1302</v>
      </c>
      <c r="B615" s="5" t="str">
        <f>VLOOKUP(globalfreelancepreprocesseddata!A615,worksheet!A:P,3,FALSE)</f>
        <v>Jennifer Phillips</v>
      </c>
      <c r="C615" s="5" t="str">
        <f>VLOOKUP(globalfreelancepreprocesseddata!A615,worksheet!A:P,5,FALSE)</f>
        <v>Female</v>
      </c>
      <c r="D615" s="5">
        <f>VLOOKUP(globalfreelancepreprocesseddata!A615,worksheet!A:P,6,FALSE)</f>
        <v>30</v>
      </c>
      <c r="E615" s="5" t="str">
        <f>VLOOKUP(globalfreelancepreprocesseddata!A615,worksheet!A:P,7,FALSE)</f>
        <v>South Korea</v>
      </c>
      <c r="F615" s="5" t="str">
        <f>VLOOKUP(globalfreelancepreprocesseddata!A615,worksheet!A:P,8,FALSE)</f>
        <v>Korean</v>
      </c>
      <c r="G615" s="5" t="str">
        <f>VLOOKUP(globalfreelancepreprocesseddata!A615,worksheet!A:P,9,FALSE)</f>
        <v>Web Development</v>
      </c>
      <c r="H615" s="5">
        <f>VLOOKUP(globalfreelancepreprocesseddata!A615,worksheet!A:P,10,FALSE)</f>
        <v>11</v>
      </c>
      <c r="I615" s="6">
        <f>VLOOKUP(globalfreelancepreprocesseddata!A615,worksheet!A:P,12,FALSE)</f>
        <v>40</v>
      </c>
      <c r="J615" s="5">
        <f>VLOOKUP(globalfreelancepreprocesseddata!A615,worksheet!A:P,13,FALSE)</f>
        <v>0</v>
      </c>
      <c r="K615" s="5">
        <f>VLOOKUP(globalfreelancepreprocesseddata!A615,worksheet!A:P,14,FALSE)</f>
        <v>0</v>
      </c>
      <c r="L615" s="7">
        <f>VLOOKUP(globalfreelancepreprocesseddata!A615,worksheet!A:P,16,FALSE)</f>
        <v>0.16</v>
      </c>
    </row>
    <row r="616" spans="1:12" x14ac:dyDescent="0.35">
      <c r="A616" s="5" t="s">
        <v>1304</v>
      </c>
      <c r="B616" s="5" t="str">
        <f>VLOOKUP(globalfreelancepreprocesseddata!A616,worksheet!A:P,3,FALSE)</f>
        <v>Dana Sanders</v>
      </c>
      <c r="C616" s="5" t="str">
        <f>VLOOKUP(globalfreelancepreprocesseddata!A616,worksheet!A:P,5,FALSE)</f>
        <v>Female</v>
      </c>
      <c r="D616" s="5">
        <f>VLOOKUP(globalfreelancepreprocesseddata!A616,worksheet!A:P,6,FALSE)</f>
        <v>45</v>
      </c>
      <c r="E616" s="5" t="str">
        <f>VLOOKUP(globalfreelancepreprocesseddata!A616,worksheet!A:P,7,FALSE)</f>
        <v>Netherlands</v>
      </c>
      <c r="F616" s="5" t="str">
        <f>VLOOKUP(globalfreelancepreprocesseddata!A616,worksheet!A:P,8,FALSE)</f>
        <v>Dutch</v>
      </c>
      <c r="G616" s="5" t="str">
        <f>VLOOKUP(globalfreelancepreprocesseddata!A616,worksheet!A:P,9,FALSE)</f>
        <v>Machine Learning</v>
      </c>
      <c r="H616" s="5">
        <f>VLOOKUP(globalfreelancepreprocesseddata!A616,worksheet!A:P,10,FALSE)</f>
        <v>27</v>
      </c>
      <c r="I616" s="6" t="str">
        <f>VLOOKUP(globalfreelancepreprocesseddata!A616,worksheet!A:P,12,FALSE)</f>
        <v>$ 75</v>
      </c>
      <c r="J616" s="5">
        <f>VLOOKUP(globalfreelancepreprocesseddata!A616,worksheet!A:P,13,FALSE)</f>
        <v>0</v>
      </c>
      <c r="K616" s="5">
        <f>VLOOKUP(globalfreelancepreprocesseddata!A616,worksheet!A:P,14,FALSE)</f>
        <v>1</v>
      </c>
      <c r="L616" s="7">
        <f>VLOOKUP(globalfreelancepreprocesseddata!A616,worksheet!A:P,16,FALSE)</f>
        <v>0.85</v>
      </c>
    </row>
    <row r="617" spans="1:12" x14ac:dyDescent="0.35">
      <c r="A617" s="5" t="s">
        <v>1306</v>
      </c>
      <c r="B617" s="5" t="str">
        <f>VLOOKUP(globalfreelancepreprocesseddata!A617,worksheet!A:P,3,FALSE)</f>
        <v>Daniel Quinn</v>
      </c>
      <c r="C617" s="5" t="str">
        <f>VLOOKUP(globalfreelancepreprocesseddata!A617,worksheet!A:P,5,FALSE)</f>
        <v>Male</v>
      </c>
      <c r="D617" s="5">
        <f>VLOOKUP(globalfreelancepreprocesseddata!A617,worksheet!A:P,6,FALSE)</f>
        <v>57</v>
      </c>
      <c r="E617" s="5" t="str">
        <f>VLOOKUP(globalfreelancepreprocesseddata!A617,worksheet!A:P,7,FALSE)</f>
        <v>Indonesia</v>
      </c>
      <c r="F617" s="5" t="str">
        <f>VLOOKUP(globalfreelancepreprocesseddata!A617,worksheet!A:P,8,FALSE)</f>
        <v>Indonesian</v>
      </c>
      <c r="G617" s="5" t="str">
        <f>VLOOKUP(globalfreelancepreprocesseddata!A617,worksheet!A:P,9,FALSE)</f>
        <v>Graphic Design</v>
      </c>
      <c r="H617" s="5">
        <f>VLOOKUP(globalfreelancepreprocesseddata!A617,worksheet!A:P,10,FALSE)</f>
        <v>26</v>
      </c>
      <c r="I617" s="6" t="str">
        <f>VLOOKUP(globalfreelancepreprocesseddata!A617,worksheet!A:P,12,FALSE)</f>
        <v>$ 100</v>
      </c>
      <c r="J617" s="5">
        <f>VLOOKUP(globalfreelancepreprocesseddata!A617,worksheet!A:P,13,FALSE)</f>
        <v>2.4</v>
      </c>
      <c r="K617" s="5">
        <f>VLOOKUP(globalfreelancepreprocesseddata!A617,worksheet!A:P,14,FALSE)</f>
        <v>1</v>
      </c>
      <c r="L617" s="7">
        <f>VLOOKUP(globalfreelancepreprocesseddata!A617,worksheet!A:P,16,FALSE)</f>
        <v>0.78</v>
      </c>
    </row>
    <row r="618" spans="1:12" x14ac:dyDescent="0.35">
      <c r="A618" s="5" t="s">
        <v>1308</v>
      </c>
      <c r="B618" s="5" t="str">
        <f>VLOOKUP(globalfreelancepreprocesseddata!A618,worksheet!A:P,3,FALSE)</f>
        <v>Matthew Steele</v>
      </c>
      <c r="C618" s="5" t="str">
        <f>VLOOKUP(globalfreelancepreprocesseddata!A618,worksheet!A:P,5,FALSE)</f>
        <v>Male</v>
      </c>
      <c r="D618" s="5">
        <f>VLOOKUP(globalfreelancepreprocesseddata!A618,worksheet!A:P,6,FALSE)</f>
        <v>38</v>
      </c>
      <c r="E618" s="5" t="str">
        <f>VLOOKUP(globalfreelancepreprocesseddata!A618,worksheet!A:P,7,FALSE)</f>
        <v>Turkey</v>
      </c>
      <c r="F618" s="5" t="str">
        <f>VLOOKUP(globalfreelancepreprocesseddata!A618,worksheet!A:P,8,FALSE)</f>
        <v>Turkish</v>
      </c>
      <c r="G618" s="5" t="str">
        <f>VLOOKUP(globalfreelancepreprocesseddata!A618,worksheet!A:P,9,FALSE)</f>
        <v>Blockchain Development</v>
      </c>
      <c r="H618" s="5">
        <f>VLOOKUP(globalfreelancepreprocesseddata!A618,worksheet!A:P,10,FALSE)</f>
        <v>19</v>
      </c>
      <c r="I618" s="6">
        <f>VLOOKUP(globalfreelancepreprocesseddata!A618,worksheet!A:P,12,FALSE)</f>
        <v>40</v>
      </c>
      <c r="J618" s="5">
        <f>VLOOKUP(globalfreelancepreprocesseddata!A618,worksheet!A:P,13,FALSE)</f>
        <v>0</v>
      </c>
      <c r="K618" s="5">
        <f>VLOOKUP(globalfreelancepreprocesseddata!A618,worksheet!A:P,14,FALSE)</f>
        <v>1</v>
      </c>
      <c r="L618" s="7">
        <f>VLOOKUP(globalfreelancepreprocesseddata!A618,worksheet!A:P,16,FALSE)</f>
        <v>0.86</v>
      </c>
    </row>
    <row r="619" spans="1:12" x14ac:dyDescent="0.35">
      <c r="A619" s="5" t="s">
        <v>1310</v>
      </c>
      <c r="B619" s="5" t="str">
        <f>VLOOKUP(globalfreelancepreprocesseddata!A619,worksheet!A:P,3,FALSE)</f>
        <v>Michele Taylor</v>
      </c>
      <c r="C619" s="5" t="str">
        <f>VLOOKUP(globalfreelancepreprocesseddata!A619,worksheet!A:P,5,FALSE)</f>
        <v>Female</v>
      </c>
      <c r="D619" s="5">
        <f>VLOOKUP(globalfreelancepreprocesseddata!A619,worksheet!A:P,6,FALSE)</f>
        <v>42</v>
      </c>
      <c r="E619" s="5" t="str">
        <f>VLOOKUP(globalfreelancepreprocesseddata!A619,worksheet!A:P,7,FALSE)</f>
        <v>Russia</v>
      </c>
      <c r="F619" s="5" t="str">
        <f>VLOOKUP(globalfreelancepreprocesseddata!A619,worksheet!A:P,8,FALSE)</f>
        <v>Russian</v>
      </c>
      <c r="G619" s="5" t="str">
        <f>VLOOKUP(globalfreelancepreprocesseddata!A619,worksheet!A:P,9,FALSE)</f>
        <v>DevOps</v>
      </c>
      <c r="H619" s="5">
        <f>VLOOKUP(globalfreelancepreprocesseddata!A619,worksheet!A:P,10,FALSE)</f>
        <v>24</v>
      </c>
      <c r="I619" s="6" t="str">
        <f>VLOOKUP(globalfreelancepreprocesseddata!A619,worksheet!A:P,12,FALSE)</f>
        <v>$ 40</v>
      </c>
      <c r="J619" s="5">
        <f>VLOOKUP(globalfreelancepreprocesseddata!A619,worksheet!A:P,13,FALSE)</f>
        <v>3</v>
      </c>
      <c r="K619" s="5">
        <f>VLOOKUP(globalfreelancepreprocesseddata!A619,worksheet!A:P,14,FALSE)</f>
        <v>0</v>
      </c>
      <c r="L619" s="7">
        <f>VLOOKUP(globalfreelancepreprocesseddata!A619,worksheet!A:P,16,FALSE)</f>
        <v>0.88</v>
      </c>
    </row>
    <row r="620" spans="1:12" x14ac:dyDescent="0.35">
      <c r="A620" s="5" t="s">
        <v>1312</v>
      </c>
      <c r="B620" s="5" t="str">
        <f>VLOOKUP(globalfreelancepreprocesseddata!A620,worksheet!A:P,3,FALSE)</f>
        <v>Ashley Hammond</v>
      </c>
      <c r="C620" s="5" t="str">
        <f>VLOOKUP(globalfreelancepreprocesseddata!A620,worksheet!A:P,5,FALSE)</f>
        <v>Female</v>
      </c>
      <c r="D620" s="5">
        <f>VLOOKUP(globalfreelancepreprocesseddata!A620,worksheet!A:P,6,FALSE)</f>
        <v>30</v>
      </c>
      <c r="E620" s="5" t="str">
        <f>VLOOKUP(globalfreelancepreprocesseddata!A620,worksheet!A:P,7,FALSE)</f>
        <v>South Africa</v>
      </c>
      <c r="F620" s="5" t="str">
        <f>VLOOKUP(globalfreelancepreprocesseddata!A620,worksheet!A:P,8,FALSE)</f>
        <v>Afrikaans</v>
      </c>
      <c r="G620" s="5" t="str">
        <f>VLOOKUP(globalfreelancepreprocesseddata!A620,worksheet!A:P,9,FALSE)</f>
        <v>DevOps</v>
      </c>
      <c r="H620" s="5">
        <f>VLOOKUP(globalfreelancepreprocesseddata!A620,worksheet!A:P,10,FALSE)</f>
        <v>7</v>
      </c>
      <c r="I620" s="6">
        <f>VLOOKUP(globalfreelancepreprocesseddata!A620,worksheet!A:P,12,FALSE)</f>
        <v>30</v>
      </c>
      <c r="J620" s="5">
        <f>VLOOKUP(globalfreelancepreprocesseddata!A620,worksheet!A:P,13,FALSE)</f>
        <v>3.3</v>
      </c>
      <c r="K620" s="5">
        <f>VLOOKUP(globalfreelancepreprocesseddata!A620,worksheet!A:P,14,FALSE)</f>
        <v>1</v>
      </c>
      <c r="L620" s="7">
        <f>VLOOKUP(globalfreelancepreprocesseddata!A620,worksheet!A:P,16,FALSE)</f>
        <v>0.68</v>
      </c>
    </row>
    <row r="621" spans="1:12" x14ac:dyDescent="0.35">
      <c r="A621" s="5" t="s">
        <v>1314</v>
      </c>
      <c r="B621" s="5" t="str">
        <f>VLOOKUP(globalfreelancepreprocesseddata!A621,worksheet!A:P,3,FALSE)</f>
        <v>Nicole Taylor</v>
      </c>
      <c r="C621" s="5" t="str">
        <f>VLOOKUP(globalfreelancepreprocesseddata!A621,worksheet!A:P,5,FALSE)</f>
        <v>Female</v>
      </c>
      <c r="D621" s="5">
        <f>VLOOKUP(globalfreelancepreprocesseddata!A621,worksheet!A:P,6,FALSE)</f>
        <v>43</v>
      </c>
      <c r="E621" s="5" t="str">
        <f>VLOOKUP(globalfreelancepreprocesseddata!A621,worksheet!A:P,7,FALSE)</f>
        <v>Australia</v>
      </c>
      <c r="F621" s="5" t="str">
        <f>VLOOKUP(globalfreelancepreprocesseddata!A621,worksheet!A:P,8,FALSE)</f>
        <v>English</v>
      </c>
      <c r="G621" s="5" t="str">
        <f>VLOOKUP(globalfreelancepreprocesseddata!A621,worksheet!A:P,9,FALSE)</f>
        <v>Web Development</v>
      </c>
      <c r="H621" s="5">
        <f>VLOOKUP(globalfreelancepreprocesseddata!A621,worksheet!A:P,10,FALSE)</f>
        <v>13</v>
      </c>
      <c r="I621" s="6">
        <f>VLOOKUP(globalfreelancepreprocesseddata!A621,worksheet!A:P,12,FALSE)</f>
        <v>100</v>
      </c>
      <c r="J621" s="5">
        <f>VLOOKUP(globalfreelancepreprocesseddata!A621,worksheet!A:P,13,FALSE)</f>
        <v>1.4</v>
      </c>
      <c r="K621" s="5">
        <f>VLOOKUP(globalfreelancepreprocesseddata!A621,worksheet!A:P,14,FALSE)</f>
        <v>1</v>
      </c>
      <c r="L621" s="7">
        <f>VLOOKUP(globalfreelancepreprocesseddata!A621,worksheet!A:P,16,FALSE)</f>
        <v>0.97</v>
      </c>
    </row>
    <row r="622" spans="1:12" x14ac:dyDescent="0.35">
      <c r="A622" s="5" t="s">
        <v>1316</v>
      </c>
      <c r="B622" s="5" t="str">
        <f>VLOOKUP(globalfreelancepreprocesseddata!A622,worksheet!A:P,3,FALSE)</f>
        <v>Casey Bush</v>
      </c>
      <c r="C622" s="5" t="str">
        <f>VLOOKUP(globalfreelancepreprocesseddata!A622,worksheet!A:P,5,FALSE)</f>
        <v>Male</v>
      </c>
      <c r="D622" s="5">
        <f>VLOOKUP(globalfreelancepreprocesseddata!A622,worksheet!A:P,6,FALSE)</f>
        <v>22</v>
      </c>
      <c r="E622" s="5" t="str">
        <f>VLOOKUP(globalfreelancepreprocesseddata!A622,worksheet!A:P,7,FALSE)</f>
        <v>Egypt</v>
      </c>
      <c r="F622" s="5" t="str">
        <f>VLOOKUP(globalfreelancepreprocesseddata!A622,worksheet!A:P,8,FALSE)</f>
        <v>Arabic</v>
      </c>
      <c r="G622" s="5" t="str">
        <f>VLOOKUP(globalfreelancepreprocesseddata!A622,worksheet!A:P,9,FALSE)</f>
        <v>UI/UX Design</v>
      </c>
      <c r="H622" s="5">
        <f>VLOOKUP(globalfreelancepreprocesseddata!A622,worksheet!A:P,10,FALSE)</f>
        <v>2</v>
      </c>
      <c r="I622" s="6">
        <f>VLOOKUP(globalfreelancepreprocesseddata!A622,worksheet!A:P,12,FALSE)</f>
        <v>75</v>
      </c>
      <c r="J622" s="5">
        <f>VLOOKUP(globalfreelancepreprocesseddata!A622,worksheet!A:P,13,FALSE)</f>
        <v>1.7</v>
      </c>
      <c r="K622" s="5">
        <f>VLOOKUP(globalfreelancepreprocesseddata!A622,worksheet!A:P,14,FALSE)</f>
        <v>1</v>
      </c>
      <c r="L622" s="7">
        <f>VLOOKUP(globalfreelancepreprocesseddata!A622,worksheet!A:P,16,FALSE)</f>
        <v>0.91</v>
      </c>
    </row>
    <row r="623" spans="1:12" x14ac:dyDescent="0.35">
      <c r="A623" s="5" t="s">
        <v>1318</v>
      </c>
      <c r="B623" s="5" t="str">
        <f>VLOOKUP(globalfreelancepreprocesseddata!A623,worksheet!A:P,3,FALSE)</f>
        <v>Samuel Patterson</v>
      </c>
      <c r="C623" s="5" t="str">
        <f>VLOOKUP(globalfreelancepreprocesseddata!A623,worksheet!A:P,5,FALSE)</f>
        <v>Male</v>
      </c>
      <c r="D623" s="5">
        <f>VLOOKUP(globalfreelancepreprocesseddata!A623,worksheet!A:P,6,FALSE)</f>
        <v>57</v>
      </c>
      <c r="E623" s="5" t="str">
        <f>VLOOKUP(globalfreelancepreprocesseddata!A623,worksheet!A:P,7,FALSE)</f>
        <v>Mexico</v>
      </c>
      <c r="F623" s="5" t="str">
        <f>VLOOKUP(globalfreelancepreprocesseddata!A623,worksheet!A:P,8,FALSE)</f>
        <v>Spanish</v>
      </c>
      <c r="G623" s="5" t="str">
        <f>VLOOKUP(globalfreelancepreprocesseddata!A623,worksheet!A:P,9,FALSE)</f>
        <v>Machine Learning</v>
      </c>
      <c r="H623" s="5">
        <f>VLOOKUP(globalfreelancepreprocesseddata!A623,worksheet!A:P,10,FALSE)</f>
        <v>37</v>
      </c>
      <c r="I623" s="6">
        <f>VLOOKUP(globalfreelancepreprocesseddata!A623,worksheet!A:P,12,FALSE)</f>
        <v>30</v>
      </c>
      <c r="J623" s="5">
        <f>VLOOKUP(globalfreelancepreprocesseddata!A623,worksheet!A:P,13,FALSE)</f>
        <v>4.8</v>
      </c>
      <c r="K623" s="5">
        <f>VLOOKUP(globalfreelancepreprocesseddata!A623,worksheet!A:P,14,FALSE)</f>
        <v>0</v>
      </c>
      <c r="L623" s="7">
        <f>VLOOKUP(globalfreelancepreprocesseddata!A623,worksheet!A:P,16,FALSE)</f>
        <v>0.16</v>
      </c>
    </row>
    <row r="624" spans="1:12" x14ac:dyDescent="0.35">
      <c r="A624" s="5" t="s">
        <v>1320</v>
      </c>
      <c r="B624" s="5" t="str">
        <f>VLOOKUP(globalfreelancepreprocesseddata!A624,worksheet!A:P,3,FALSE)</f>
        <v>Craig Dennis</v>
      </c>
      <c r="C624" s="5" t="str">
        <f>VLOOKUP(globalfreelancepreprocesseddata!A624,worksheet!A:P,5,FALSE)</f>
        <v>Male</v>
      </c>
      <c r="D624" s="5">
        <f>VLOOKUP(globalfreelancepreprocesseddata!A624,worksheet!A:P,6,FALSE)</f>
        <v>44</v>
      </c>
      <c r="E624" s="5" t="str">
        <f>VLOOKUP(globalfreelancepreprocesseddata!A624,worksheet!A:P,7,FALSE)</f>
        <v>United Kingdom</v>
      </c>
      <c r="F624" s="5" t="str">
        <f>VLOOKUP(globalfreelancepreprocesseddata!A624,worksheet!A:P,8,FALSE)</f>
        <v>English</v>
      </c>
      <c r="G624" s="5" t="str">
        <f>VLOOKUP(globalfreelancepreprocesseddata!A624,worksheet!A:P,9,FALSE)</f>
        <v>Graphic Design</v>
      </c>
      <c r="H624" s="5">
        <f>VLOOKUP(globalfreelancepreprocesseddata!A624,worksheet!A:P,10,FALSE)</f>
        <v>1</v>
      </c>
      <c r="I624" s="6">
        <f>VLOOKUP(globalfreelancepreprocesseddata!A624,worksheet!A:P,12,FALSE)</f>
        <v>40</v>
      </c>
      <c r="J624" s="5">
        <f>VLOOKUP(globalfreelancepreprocesseddata!A624,worksheet!A:P,13,FALSE)</f>
        <v>4.8</v>
      </c>
      <c r="K624" s="5">
        <f>VLOOKUP(globalfreelancepreprocesseddata!A624,worksheet!A:P,14,FALSE)</f>
        <v>0</v>
      </c>
      <c r="L624" s="7">
        <f>VLOOKUP(globalfreelancepreprocesseddata!A624,worksheet!A:P,16,FALSE)</f>
        <v>0.97</v>
      </c>
    </row>
    <row r="625" spans="1:12" x14ac:dyDescent="0.35">
      <c r="A625" s="5" t="s">
        <v>1322</v>
      </c>
      <c r="B625" s="5" t="str">
        <f>VLOOKUP(globalfreelancepreprocesseddata!A625,worksheet!A:P,3,FALSE)</f>
        <v>Heidi Dixon</v>
      </c>
      <c r="C625" s="5" t="str">
        <f>VLOOKUP(globalfreelancepreprocesseddata!A625,worksheet!A:P,5,FALSE)</f>
        <v>Female</v>
      </c>
      <c r="D625" s="5">
        <f>VLOOKUP(globalfreelancepreprocesseddata!A625,worksheet!A:P,6,FALSE)</f>
        <v>46</v>
      </c>
      <c r="E625" s="5" t="str">
        <f>VLOOKUP(globalfreelancepreprocesseddata!A625,worksheet!A:P,7,FALSE)</f>
        <v>China</v>
      </c>
      <c r="F625" s="5" t="str">
        <f>VLOOKUP(globalfreelancepreprocesseddata!A625,worksheet!A:P,8,FALSE)</f>
        <v>Mandarin</v>
      </c>
      <c r="G625" s="5" t="str">
        <f>VLOOKUP(globalfreelancepreprocesseddata!A625,worksheet!A:P,9,FALSE)</f>
        <v>DevOps</v>
      </c>
      <c r="H625" s="5">
        <f>VLOOKUP(globalfreelancepreprocesseddata!A625,worksheet!A:P,10,FALSE)</f>
        <v>5</v>
      </c>
      <c r="I625" s="6" t="str">
        <f>VLOOKUP(globalfreelancepreprocesseddata!A625,worksheet!A:P,12,FALSE)</f>
        <v>$ 30</v>
      </c>
      <c r="J625" s="5">
        <f>VLOOKUP(globalfreelancepreprocesseddata!A625,worksheet!A:P,13,FALSE)</f>
        <v>2</v>
      </c>
      <c r="K625" s="5">
        <f>VLOOKUP(globalfreelancepreprocesseddata!A625,worksheet!A:P,14,FALSE)</f>
        <v>1</v>
      </c>
      <c r="L625" s="7">
        <f>VLOOKUP(globalfreelancepreprocesseddata!A625,worksheet!A:P,16,FALSE)</f>
        <v>0.64</v>
      </c>
    </row>
    <row r="626" spans="1:12" x14ac:dyDescent="0.35">
      <c r="A626" s="5" t="s">
        <v>1324</v>
      </c>
      <c r="B626" s="5" t="str">
        <f>VLOOKUP(globalfreelancepreprocesseddata!A626,worksheet!A:P,3,FALSE)</f>
        <v>David Bishop</v>
      </c>
      <c r="C626" s="5" t="str">
        <f>VLOOKUP(globalfreelancepreprocesseddata!A626,worksheet!A:P,5,FALSE)</f>
        <v>Male</v>
      </c>
      <c r="D626" s="5">
        <f>VLOOKUP(globalfreelancepreprocesseddata!A626,worksheet!A:P,6,FALSE)</f>
        <v>41</v>
      </c>
      <c r="E626" s="5" t="str">
        <f>VLOOKUP(globalfreelancepreprocesseddata!A626,worksheet!A:P,7,FALSE)</f>
        <v>Spain</v>
      </c>
      <c r="F626" s="5" t="str">
        <f>VLOOKUP(globalfreelancepreprocesseddata!A626,worksheet!A:P,8,FALSE)</f>
        <v>Spanish</v>
      </c>
      <c r="G626" s="5" t="str">
        <f>VLOOKUP(globalfreelancepreprocesseddata!A626,worksheet!A:P,9,FALSE)</f>
        <v>Blockchain Development</v>
      </c>
      <c r="H626" s="5">
        <f>VLOOKUP(globalfreelancepreprocesseddata!A626,worksheet!A:P,10,FALSE)</f>
        <v>1</v>
      </c>
      <c r="I626" s="6" t="str">
        <f>VLOOKUP(globalfreelancepreprocesseddata!A626,worksheet!A:P,12,FALSE)</f>
        <v>$ 50</v>
      </c>
      <c r="J626" s="5">
        <f>VLOOKUP(globalfreelancepreprocesseddata!A626,worksheet!A:P,13,FALSE)</f>
        <v>2.8</v>
      </c>
      <c r="K626" s="5">
        <f>VLOOKUP(globalfreelancepreprocesseddata!A626,worksheet!A:P,14,FALSE)</f>
        <v>1</v>
      </c>
      <c r="L626" s="7">
        <f>VLOOKUP(globalfreelancepreprocesseddata!A626,worksheet!A:P,16,FALSE)</f>
        <v>0.87</v>
      </c>
    </row>
    <row r="627" spans="1:12" x14ac:dyDescent="0.35">
      <c r="A627" s="5" t="s">
        <v>1326</v>
      </c>
      <c r="B627" s="5" t="str">
        <f>VLOOKUP(globalfreelancepreprocesseddata!A627,worksheet!A:P,3,FALSE)</f>
        <v>Laura Butler</v>
      </c>
      <c r="C627" s="5" t="str">
        <f>VLOOKUP(globalfreelancepreprocesseddata!A627,worksheet!A:P,5,FALSE)</f>
        <v>Female</v>
      </c>
      <c r="D627" s="5">
        <f>VLOOKUP(globalfreelancepreprocesseddata!A627,worksheet!A:P,6,FALSE)</f>
        <v>34</v>
      </c>
      <c r="E627" s="5" t="str">
        <f>VLOOKUP(globalfreelancepreprocesseddata!A627,worksheet!A:P,7,FALSE)</f>
        <v>Australia</v>
      </c>
      <c r="F627" s="5" t="str">
        <f>VLOOKUP(globalfreelancepreprocesseddata!A627,worksheet!A:P,8,FALSE)</f>
        <v>English</v>
      </c>
      <c r="G627" s="5" t="str">
        <f>VLOOKUP(globalfreelancepreprocesseddata!A627,worksheet!A:P,9,FALSE)</f>
        <v>Data Analysis</v>
      </c>
      <c r="H627" s="5">
        <f>VLOOKUP(globalfreelancepreprocesseddata!A627,worksheet!A:P,10,FALSE)</f>
        <v>2</v>
      </c>
      <c r="I627" s="6">
        <f>VLOOKUP(globalfreelancepreprocesseddata!A627,worksheet!A:P,12,FALSE)</f>
        <v>100</v>
      </c>
      <c r="J627" s="5">
        <f>VLOOKUP(globalfreelancepreprocesseddata!A627,worksheet!A:P,13,FALSE)</f>
        <v>0</v>
      </c>
      <c r="K627" s="5">
        <f>VLOOKUP(globalfreelancepreprocesseddata!A627,worksheet!A:P,14,FALSE)</f>
        <v>0</v>
      </c>
      <c r="L627" s="7">
        <f>VLOOKUP(globalfreelancepreprocesseddata!A627,worksheet!A:P,16,FALSE)</f>
        <v>0.86</v>
      </c>
    </row>
    <row r="628" spans="1:12" x14ac:dyDescent="0.35">
      <c r="A628" s="5" t="s">
        <v>1328</v>
      </c>
      <c r="B628" s="5" t="str">
        <f>VLOOKUP(globalfreelancepreprocesseddata!A628,worksheet!A:P,3,FALSE)</f>
        <v>Denise Erickson</v>
      </c>
      <c r="C628" s="5" t="str">
        <f>VLOOKUP(globalfreelancepreprocesseddata!A628,worksheet!A:P,5,FALSE)</f>
        <v>Female</v>
      </c>
      <c r="D628" s="5">
        <f>VLOOKUP(globalfreelancepreprocesseddata!A628,worksheet!A:P,6,FALSE)</f>
        <v>46</v>
      </c>
      <c r="E628" s="5" t="str">
        <f>VLOOKUP(globalfreelancepreprocesseddata!A628,worksheet!A:P,7,FALSE)</f>
        <v>Italy</v>
      </c>
      <c r="F628" s="5" t="str">
        <f>VLOOKUP(globalfreelancepreprocesseddata!A628,worksheet!A:P,8,FALSE)</f>
        <v>Italian</v>
      </c>
      <c r="G628" s="5" t="str">
        <f>VLOOKUP(globalfreelancepreprocesseddata!A628,worksheet!A:P,9,FALSE)</f>
        <v>Mobile Apps</v>
      </c>
      <c r="H628" s="5">
        <f>VLOOKUP(globalfreelancepreprocesseddata!A628,worksheet!A:P,10,FALSE)</f>
        <v>11</v>
      </c>
      <c r="I628" s="6">
        <f>VLOOKUP(globalfreelancepreprocesseddata!A628,worksheet!A:P,12,FALSE)</f>
        <v>100</v>
      </c>
      <c r="J628" s="5">
        <f>VLOOKUP(globalfreelancepreprocesseddata!A628,worksheet!A:P,13,FALSE)</f>
        <v>4.4000000000000004</v>
      </c>
      <c r="K628" s="5">
        <f>VLOOKUP(globalfreelancepreprocesseddata!A628,worksheet!A:P,14,FALSE)</f>
        <v>1</v>
      </c>
      <c r="L628" s="7">
        <f>VLOOKUP(globalfreelancepreprocesseddata!A628,worksheet!A:P,16,FALSE)</f>
        <v>0.97</v>
      </c>
    </row>
    <row r="629" spans="1:12" x14ac:dyDescent="0.35">
      <c r="A629" s="5" t="s">
        <v>1330</v>
      </c>
      <c r="B629" s="5" t="str">
        <f>VLOOKUP(globalfreelancepreprocesseddata!A629,worksheet!A:P,3,FALSE)</f>
        <v>Nicole Austin</v>
      </c>
      <c r="C629" s="5" t="str">
        <f>VLOOKUP(globalfreelancepreprocesseddata!A629,worksheet!A:P,5,FALSE)</f>
        <v>Female</v>
      </c>
      <c r="D629" s="5">
        <f>VLOOKUP(globalfreelancepreprocesseddata!A629,worksheet!A:P,6,FALSE)</f>
        <v>22</v>
      </c>
      <c r="E629" s="5" t="str">
        <f>VLOOKUP(globalfreelancepreprocesseddata!A629,worksheet!A:P,7,FALSE)</f>
        <v>France</v>
      </c>
      <c r="F629" s="5" t="str">
        <f>VLOOKUP(globalfreelancepreprocesseddata!A629,worksheet!A:P,8,FALSE)</f>
        <v>French</v>
      </c>
      <c r="G629" s="5" t="str">
        <f>VLOOKUP(globalfreelancepreprocesseddata!A629,worksheet!A:P,9,FALSE)</f>
        <v>Blockchain Development</v>
      </c>
      <c r="H629" s="5">
        <f>VLOOKUP(globalfreelancepreprocesseddata!A629,worksheet!A:P,10,FALSE)</f>
        <v>11</v>
      </c>
      <c r="I629" s="6" t="str">
        <f>VLOOKUP(globalfreelancepreprocesseddata!A629,worksheet!A:P,12,FALSE)</f>
        <v>$ 30</v>
      </c>
      <c r="J629" s="5">
        <f>VLOOKUP(globalfreelancepreprocesseddata!A629,worksheet!A:P,13,FALSE)</f>
        <v>4.9000000000000004</v>
      </c>
      <c r="K629" s="5">
        <f>VLOOKUP(globalfreelancepreprocesseddata!A629,worksheet!A:P,14,FALSE)</f>
        <v>0</v>
      </c>
      <c r="L629" s="7">
        <f>VLOOKUP(globalfreelancepreprocesseddata!A629,worksheet!A:P,16,FALSE)</f>
        <v>0.73</v>
      </c>
    </row>
    <row r="630" spans="1:12" x14ac:dyDescent="0.35">
      <c r="A630" s="5" t="s">
        <v>1332</v>
      </c>
      <c r="B630" s="5" t="str">
        <f>VLOOKUP(globalfreelancepreprocesseddata!A630,worksheet!A:P,3,FALSE)</f>
        <v>Summer Williams</v>
      </c>
      <c r="C630" s="5" t="str">
        <f>VLOOKUP(globalfreelancepreprocesseddata!A630,worksheet!A:P,5,FALSE)</f>
        <v>Female</v>
      </c>
      <c r="D630" s="5">
        <f>VLOOKUP(globalfreelancepreprocesseddata!A630,worksheet!A:P,6,FALSE)</f>
        <v>23</v>
      </c>
      <c r="E630" s="5" t="str">
        <f>VLOOKUP(globalfreelancepreprocesseddata!A630,worksheet!A:P,7,FALSE)</f>
        <v>South Africa</v>
      </c>
      <c r="F630" s="5" t="str">
        <f>VLOOKUP(globalfreelancepreprocesseddata!A630,worksheet!A:P,8,FALSE)</f>
        <v>Afrikaans</v>
      </c>
      <c r="G630" s="5" t="str">
        <f>VLOOKUP(globalfreelancepreprocesseddata!A630,worksheet!A:P,9,FALSE)</f>
        <v>AI</v>
      </c>
      <c r="H630" s="5">
        <f>VLOOKUP(globalfreelancepreprocesseddata!A630,worksheet!A:P,10,FALSE)</f>
        <v>11</v>
      </c>
      <c r="I630" s="6" t="str">
        <f>VLOOKUP(globalfreelancepreprocesseddata!A630,worksheet!A:P,12,FALSE)</f>
        <v>$ 75</v>
      </c>
      <c r="J630" s="5">
        <f>VLOOKUP(globalfreelancepreprocesseddata!A630,worksheet!A:P,13,FALSE)</f>
        <v>2.2999999999999998</v>
      </c>
      <c r="K630" s="5">
        <f>VLOOKUP(globalfreelancepreprocesseddata!A630,worksheet!A:P,14,FALSE)</f>
        <v>1</v>
      </c>
      <c r="L630" s="7">
        <f>VLOOKUP(globalfreelancepreprocesseddata!A630,worksheet!A:P,16,FALSE)</f>
        <v>0.6</v>
      </c>
    </row>
    <row r="631" spans="1:12" x14ac:dyDescent="0.35">
      <c r="A631" s="5" t="s">
        <v>1334</v>
      </c>
      <c r="B631" s="5" t="str">
        <f>VLOOKUP(globalfreelancepreprocesseddata!A631,worksheet!A:P,3,FALSE)</f>
        <v>Angela Blackwell</v>
      </c>
      <c r="C631" s="5" t="str">
        <f>VLOOKUP(globalfreelancepreprocesseddata!A631,worksheet!A:P,5,FALSE)</f>
        <v>Female</v>
      </c>
      <c r="D631" s="5">
        <f>VLOOKUP(globalfreelancepreprocesseddata!A631,worksheet!A:P,6,FALSE)</f>
        <v>60</v>
      </c>
      <c r="E631" s="5" t="str">
        <f>VLOOKUP(globalfreelancepreprocesseddata!A631,worksheet!A:P,7,FALSE)</f>
        <v>Turkey</v>
      </c>
      <c r="F631" s="5" t="str">
        <f>VLOOKUP(globalfreelancepreprocesseddata!A631,worksheet!A:P,8,FALSE)</f>
        <v>Turkish</v>
      </c>
      <c r="G631" s="5" t="str">
        <f>VLOOKUP(globalfreelancepreprocesseddata!A631,worksheet!A:P,9,FALSE)</f>
        <v>Web Development</v>
      </c>
      <c r="H631" s="5">
        <f>VLOOKUP(globalfreelancepreprocesseddata!A631,worksheet!A:P,10,FALSE)</f>
        <v>41</v>
      </c>
      <c r="I631" s="6">
        <f>VLOOKUP(globalfreelancepreprocesseddata!A631,worksheet!A:P,12,FALSE)</f>
        <v>40</v>
      </c>
      <c r="J631" s="5">
        <f>VLOOKUP(globalfreelancepreprocesseddata!A631,worksheet!A:P,13,FALSE)</f>
        <v>4.9000000000000004</v>
      </c>
      <c r="K631" s="5">
        <f>VLOOKUP(globalfreelancepreprocesseddata!A631,worksheet!A:P,14,FALSE)</f>
        <v>1</v>
      </c>
      <c r="L631" s="7">
        <f>VLOOKUP(globalfreelancepreprocesseddata!A631,worksheet!A:P,16,FALSE)</f>
        <v>0.66</v>
      </c>
    </row>
    <row r="632" spans="1:12" x14ac:dyDescent="0.35">
      <c r="A632" s="5" t="s">
        <v>1336</v>
      </c>
      <c r="B632" s="5" t="str">
        <f>VLOOKUP(globalfreelancepreprocesseddata!A632,worksheet!A:P,3,FALSE)</f>
        <v>Thomas Wall</v>
      </c>
      <c r="C632" s="5" t="str">
        <f>VLOOKUP(globalfreelancepreprocesseddata!A632,worksheet!A:P,5,FALSE)</f>
        <v>Male</v>
      </c>
      <c r="D632" s="5">
        <f>VLOOKUP(globalfreelancepreprocesseddata!A632,worksheet!A:P,6,FALSE)</f>
        <v>20</v>
      </c>
      <c r="E632" s="5" t="str">
        <f>VLOOKUP(globalfreelancepreprocesseddata!A632,worksheet!A:P,7,FALSE)</f>
        <v>Canada</v>
      </c>
      <c r="F632" s="5" t="str">
        <f>VLOOKUP(globalfreelancepreprocesseddata!A632,worksheet!A:P,8,FALSE)</f>
        <v>English</v>
      </c>
      <c r="G632" s="5" t="str">
        <f>VLOOKUP(globalfreelancepreprocesseddata!A632,worksheet!A:P,9,FALSE)</f>
        <v>DevOps</v>
      </c>
      <c r="H632" s="5">
        <f>VLOOKUP(globalfreelancepreprocesseddata!A632,worksheet!A:P,10,FALSE)</f>
        <v>11</v>
      </c>
      <c r="I632" s="6">
        <f>VLOOKUP(globalfreelancepreprocesseddata!A632,worksheet!A:P,12,FALSE)</f>
        <v>75</v>
      </c>
      <c r="J632" s="5">
        <f>VLOOKUP(globalfreelancepreprocesseddata!A632,worksheet!A:P,13,FALSE)</f>
        <v>4.3</v>
      </c>
      <c r="K632" s="5">
        <f>VLOOKUP(globalfreelancepreprocesseddata!A632,worksheet!A:P,14,FALSE)</f>
        <v>0</v>
      </c>
      <c r="L632" s="7">
        <f>VLOOKUP(globalfreelancepreprocesseddata!A632,worksheet!A:P,16,FALSE)</f>
        <v>0.9</v>
      </c>
    </row>
    <row r="633" spans="1:12" x14ac:dyDescent="0.35">
      <c r="A633" s="5" t="s">
        <v>1338</v>
      </c>
      <c r="B633" s="5" t="str">
        <f>VLOOKUP(globalfreelancepreprocesseddata!A633,worksheet!A:P,3,FALSE)</f>
        <v>Sarah Anderson</v>
      </c>
      <c r="C633" s="5" t="str">
        <f>VLOOKUP(globalfreelancepreprocesseddata!A633,worksheet!A:P,5,FALSE)</f>
        <v>Female</v>
      </c>
      <c r="D633" s="5">
        <f>VLOOKUP(globalfreelancepreprocesseddata!A633,worksheet!A:P,6,FALSE)</f>
        <v>41</v>
      </c>
      <c r="E633" s="5" t="str">
        <f>VLOOKUP(globalfreelancepreprocesseddata!A633,worksheet!A:P,7,FALSE)</f>
        <v>South Korea</v>
      </c>
      <c r="F633" s="5" t="str">
        <f>VLOOKUP(globalfreelancepreprocesseddata!A633,worksheet!A:P,8,FALSE)</f>
        <v>Korean</v>
      </c>
      <c r="G633" s="5" t="str">
        <f>VLOOKUP(globalfreelancepreprocesseddata!A633,worksheet!A:P,9,FALSE)</f>
        <v>UI/UX Design</v>
      </c>
      <c r="H633" s="5">
        <f>VLOOKUP(globalfreelancepreprocesseddata!A633,worksheet!A:P,10,FALSE)</f>
        <v>23</v>
      </c>
      <c r="I633" s="6">
        <f>VLOOKUP(globalfreelancepreprocesseddata!A633,worksheet!A:P,12,FALSE)</f>
        <v>75</v>
      </c>
      <c r="J633" s="5">
        <f>VLOOKUP(globalfreelancepreprocesseddata!A633,worksheet!A:P,13,FALSE)</f>
        <v>1.4</v>
      </c>
      <c r="K633" s="5">
        <f>VLOOKUP(globalfreelancepreprocesseddata!A633,worksheet!A:P,14,FALSE)</f>
        <v>0</v>
      </c>
      <c r="L633" s="7">
        <f>VLOOKUP(globalfreelancepreprocesseddata!A633,worksheet!A:P,16,FALSE)</f>
        <v>0.16</v>
      </c>
    </row>
    <row r="634" spans="1:12" x14ac:dyDescent="0.35">
      <c r="A634" s="5" t="s">
        <v>1340</v>
      </c>
      <c r="B634" s="5" t="str">
        <f>VLOOKUP(globalfreelancepreprocesseddata!A634,worksheet!A:P,3,FALSE)</f>
        <v>Christian Lane</v>
      </c>
      <c r="C634" s="5" t="str">
        <f>VLOOKUP(globalfreelancepreprocesseddata!A634,worksheet!A:P,5,FALSE)</f>
        <v>Male</v>
      </c>
      <c r="D634" s="5">
        <f>VLOOKUP(globalfreelancepreprocesseddata!A634,worksheet!A:P,6,FALSE)</f>
        <v>24</v>
      </c>
      <c r="E634" s="5" t="str">
        <f>VLOOKUP(globalfreelancepreprocesseddata!A634,worksheet!A:P,7,FALSE)</f>
        <v>France</v>
      </c>
      <c r="F634" s="5" t="str">
        <f>VLOOKUP(globalfreelancepreprocesseddata!A634,worksheet!A:P,8,FALSE)</f>
        <v>French</v>
      </c>
      <c r="G634" s="5" t="str">
        <f>VLOOKUP(globalfreelancepreprocesseddata!A634,worksheet!A:P,9,FALSE)</f>
        <v>Mobile Apps</v>
      </c>
      <c r="H634" s="5">
        <f>VLOOKUP(globalfreelancepreprocesseddata!A634,worksheet!A:P,10,FALSE)</f>
        <v>11</v>
      </c>
      <c r="I634" s="6">
        <f>VLOOKUP(globalfreelancepreprocesseddata!A634,worksheet!A:P,12,FALSE)</f>
        <v>100</v>
      </c>
      <c r="J634" s="5">
        <f>VLOOKUP(globalfreelancepreprocesseddata!A634,worksheet!A:P,13,FALSE)</f>
        <v>3</v>
      </c>
      <c r="K634" s="5">
        <f>VLOOKUP(globalfreelancepreprocesseddata!A634,worksheet!A:P,14,FALSE)</f>
        <v>1</v>
      </c>
      <c r="L634" s="7">
        <f>VLOOKUP(globalfreelancepreprocesseddata!A634,worksheet!A:P,16,FALSE)</f>
        <v>0.16</v>
      </c>
    </row>
    <row r="635" spans="1:12" x14ac:dyDescent="0.35">
      <c r="A635" s="5" t="s">
        <v>1342</v>
      </c>
      <c r="B635" s="5" t="str">
        <f>VLOOKUP(globalfreelancepreprocesseddata!A635,worksheet!A:P,3,FALSE)</f>
        <v>Todd Casey</v>
      </c>
      <c r="C635" s="5" t="str">
        <f>VLOOKUP(globalfreelancepreprocesseddata!A635,worksheet!A:P,5,FALSE)</f>
        <v>Male</v>
      </c>
      <c r="D635" s="5">
        <f>VLOOKUP(globalfreelancepreprocesseddata!A635,worksheet!A:P,6,FALSE)</f>
        <v>44</v>
      </c>
      <c r="E635" s="5" t="str">
        <f>VLOOKUP(globalfreelancepreprocesseddata!A635,worksheet!A:P,7,FALSE)</f>
        <v>Netherlands</v>
      </c>
      <c r="F635" s="5" t="str">
        <f>VLOOKUP(globalfreelancepreprocesseddata!A635,worksheet!A:P,8,FALSE)</f>
        <v>Dutch</v>
      </c>
      <c r="G635" s="5" t="str">
        <f>VLOOKUP(globalfreelancepreprocesseddata!A635,worksheet!A:P,9,FALSE)</f>
        <v>Machine Learning</v>
      </c>
      <c r="H635" s="5">
        <f>VLOOKUP(globalfreelancepreprocesseddata!A635,worksheet!A:P,10,FALSE)</f>
        <v>4</v>
      </c>
      <c r="I635" s="6">
        <f>VLOOKUP(globalfreelancepreprocesseddata!A635,worksheet!A:P,12,FALSE)</f>
        <v>40</v>
      </c>
      <c r="J635" s="5">
        <f>VLOOKUP(globalfreelancepreprocesseddata!A635,worksheet!A:P,13,FALSE)</f>
        <v>1.3</v>
      </c>
      <c r="K635" s="5">
        <f>VLOOKUP(globalfreelancepreprocesseddata!A635,worksheet!A:P,14,FALSE)</f>
        <v>1</v>
      </c>
      <c r="L635" s="7">
        <f>VLOOKUP(globalfreelancepreprocesseddata!A635,worksheet!A:P,16,FALSE)</f>
        <v>0.77</v>
      </c>
    </row>
    <row r="636" spans="1:12" x14ac:dyDescent="0.35">
      <c r="A636" s="5" t="s">
        <v>1344</v>
      </c>
      <c r="B636" s="5" t="str">
        <f>VLOOKUP(globalfreelancepreprocesseddata!A636,worksheet!A:P,3,FALSE)</f>
        <v>David Martinez</v>
      </c>
      <c r="C636" s="5" t="str">
        <f>VLOOKUP(globalfreelancepreprocesseddata!A636,worksheet!A:P,5,FALSE)</f>
        <v>Male</v>
      </c>
      <c r="D636" s="5">
        <f>VLOOKUP(globalfreelancepreprocesseddata!A636,worksheet!A:P,6,FALSE)</f>
        <v>52</v>
      </c>
      <c r="E636" s="5" t="str">
        <f>VLOOKUP(globalfreelancepreprocesseddata!A636,worksheet!A:P,7,FALSE)</f>
        <v>China</v>
      </c>
      <c r="F636" s="5" t="str">
        <f>VLOOKUP(globalfreelancepreprocesseddata!A636,worksheet!A:P,8,FALSE)</f>
        <v>Mandarin</v>
      </c>
      <c r="G636" s="5" t="str">
        <f>VLOOKUP(globalfreelancepreprocesseddata!A636,worksheet!A:P,9,FALSE)</f>
        <v>UI/UX Design</v>
      </c>
      <c r="H636" s="5">
        <f>VLOOKUP(globalfreelancepreprocesseddata!A636,worksheet!A:P,10,FALSE)</f>
        <v>4</v>
      </c>
      <c r="I636" s="6">
        <f>VLOOKUP(globalfreelancepreprocesseddata!A636,worksheet!A:P,12,FALSE)</f>
        <v>75</v>
      </c>
      <c r="J636" s="5">
        <f>VLOOKUP(globalfreelancepreprocesseddata!A636,worksheet!A:P,13,FALSE)</f>
        <v>2.2999999999999998</v>
      </c>
      <c r="K636" s="5">
        <f>VLOOKUP(globalfreelancepreprocesseddata!A636,worksheet!A:P,14,FALSE)</f>
        <v>1</v>
      </c>
      <c r="L636" s="7">
        <f>VLOOKUP(globalfreelancepreprocesseddata!A636,worksheet!A:P,16,FALSE)</f>
        <v>0.79</v>
      </c>
    </row>
    <row r="637" spans="1:12" x14ac:dyDescent="0.35">
      <c r="A637" s="5" t="s">
        <v>1346</v>
      </c>
      <c r="B637" s="5" t="str">
        <f>VLOOKUP(globalfreelancepreprocesseddata!A637,worksheet!A:P,3,FALSE)</f>
        <v>Donald Salas</v>
      </c>
      <c r="C637" s="5" t="str">
        <f>VLOOKUP(globalfreelancepreprocesseddata!A637,worksheet!A:P,5,FALSE)</f>
        <v>Male</v>
      </c>
      <c r="D637" s="5">
        <f>VLOOKUP(globalfreelancepreprocesseddata!A637,worksheet!A:P,6,FALSE)</f>
        <v>35</v>
      </c>
      <c r="E637" s="5" t="str">
        <f>VLOOKUP(globalfreelancepreprocesseddata!A637,worksheet!A:P,7,FALSE)</f>
        <v>Spain</v>
      </c>
      <c r="F637" s="5" t="str">
        <f>VLOOKUP(globalfreelancepreprocesseddata!A637,worksheet!A:P,8,FALSE)</f>
        <v>Spanish</v>
      </c>
      <c r="G637" s="5" t="str">
        <f>VLOOKUP(globalfreelancepreprocesseddata!A637,worksheet!A:P,9,FALSE)</f>
        <v>Machine Learning</v>
      </c>
      <c r="H637" s="5">
        <f>VLOOKUP(globalfreelancepreprocesseddata!A637,worksheet!A:P,10,FALSE)</f>
        <v>13</v>
      </c>
      <c r="I637" s="6">
        <f>VLOOKUP(globalfreelancepreprocesseddata!A637,worksheet!A:P,12,FALSE)</f>
        <v>40</v>
      </c>
      <c r="J637" s="5">
        <f>VLOOKUP(globalfreelancepreprocesseddata!A637,worksheet!A:P,13,FALSE)</f>
        <v>3.6</v>
      </c>
      <c r="K637" s="5">
        <f>VLOOKUP(globalfreelancepreprocesseddata!A637,worksheet!A:P,14,FALSE)</f>
        <v>0</v>
      </c>
      <c r="L637" s="7">
        <f>VLOOKUP(globalfreelancepreprocesseddata!A637,worksheet!A:P,16,FALSE)</f>
        <v>0.83</v>
      </c>
    </row>
    <row r="638" spans="1:12" x14ac:dyDescent="0.35">
      <c r="A638" s="5" t="s">
        <v>1348</v>
      </c>
      <c r="B638" s="5" t="str">
        <f>VLOOKUP(globalfreelancepreprocesseddata!A638,worksheet!A:P,3,FALSE)</f>
        <v>Emma Hicks</v>
      </c>
      <c r="C638" s="5" t="str">
        <f>VLOOKUP(globalfreelancepreprocesseddata!A638,worksheet!A:P,5,FALSE)</f>
        <v>Female</v>
      </c>
      <c r="D638" s="5">
        <f>VLOOKUP(globalfreelancepreprocesseddata!A638,worksheet!A:P,6,FALSE)</f>
        <v>24</v>
      </c>
      <c r="E638" s="5" t="str">
        <f>VLOOKUP(globalfreelancepreprocesseddata!A638,worksheet!A:P,7,FALSE)</f>
        <v>Netherlands</v>
      </c>
      <c r="F638" s="5" t="str">
        <f>VLOOKUP(globalfreelancepreprocesseddata!A638,worksheet!A:P,8,FALSE)</f>
        <v>Dutch</v>
      </c>
      <c r="G638" s="5" t="str">
        <f>VLOOKUP(globalfreelancepreprocesseddata!A638,worksheet!A:P,9,FALSE)</f>
        <v>DevOps</v>
      </c>
      <c r="H638" s="5">
        <f>VLOOKUP(globalfreelancepreprocesseddata!A638,worksheet!A:P,10,FALSE)</f>
        <v>2</v>
      </c>
      <c r="I638" s="6">
        <f>VLOOKUP(globalfreelancepreprocesseddata!A638,worksheet!A:P,12,FALSE)</f>
        <v>50</v>
      </c>
      <c r="J638" s="5">
        <f>VLOOKUP(globalfreelancepreprocesseddata!A638,worksheet!A:P,13,FALSE)</f>
        <v>3</v>
      </c>
      <c r="K638" s="5">
        <f>VLOOKUP(globalfreelancepreprocesseddata!A638,worksheet!A:P,14,FALSE)</f>
        <v>0</v>
      </c>
      <c r="L638" s="7">
        <f>VLOOKUP(globalfreelancepreprocesseddata!A638,worksheet!A:P,16,FALSE)</f>
        <v>0.64</v>
      </c>
    </row>
    <row r="639" spans="1:12" x14ac:dyDescent="0.35">
      <c r="A639" s="5" t="s">
        <v>1350</v>
      </c>
      <c r="B639" s="5" t="str">
        <f>VLOOKUP(globalfreelancepreprocesseddata!A639,worksheet!A:P,3,FALSE)</f>
        <v>Alison Clark</v>
      </c>
      <c r="C639" s="5" t="str">
        <f>VLOOKUP(globalfreelancepreprocesseddata!A639,worksheet!A:P,5,FALSE)</f>
        <v>Female</v>
      </c>
      <c r="D639" s="5">
        <f>VLOOKUP(globalfreelancepreprocesseddata!A639,worksheet!A:P,6,FALSE)</f>
        <v>46</v>
      </c>
      <c r="E639" s="5" t="str">
        <f>VLOOKUP(globalfreelancepreprocesseddata!A639,worksheet!A:P,7,FALSE)</f>
        <v>Australia</v>
      </c>
      <c r="F639" s="5" t="str">
        <f>VLOOKUP(globalfreelancepreprocesseddata!A639,worksheet!A:P,8,FALSE)</f>
        <v>English</v>
      </c>
      <c r="G639" s="5" t="str">
        <f>VLOOKUP(globalfreelancepreprocesseddata!A639,worksheet!A:P,9,FALSE)</f>
        <v>Cybersecurity</v>
      </c>
      <c r="H639" s="5">
        <f>VLOOKUP(globalfreelancepreprocesseddata!A639,worksheet!A:P,10,FALSE)</f>
        <v>25</v>
      </c>
      <c r="I639" s="6">
        <f>VLOOKUP(globalfreelancepreprocesseddata!A639,worksheet!A:P,12,FALSE)</f>
        <v>100</v>
      </c>
      <c r="J639" s="5">
        <f>VLOOKUP(globalfreelancepreprocesseddata!A639,worksheet!A:P,13,FALSE)</f>
        <v>1.3</v>
      </c>
      <c r="K639" s="5">
        <f>VLOOKUP(globalfreelancepreprocesseddata!A639,worksheet!A:P,14,FALSE)</f>
        <v>1</v>
      </c>
      <c r="L639" s="7">
        <f>VLOOKUP(globalfreelancepreprocesseddata!A639,worksheet!A:P,16,FALSE)</f>
        <v>0.8</v>
      </c>
    </row>
    <row r="640" spans="1:12" x14ac:dyDescent="0.35">
      <c r="A640" s="5" t="s">
        <v>1352</v>
      </c>
      <c r="B640" s="5" t="str">
        <f>VLOOKUP(globalfreelancepreprocesseddata!A640,worksheet!A:P,3,FALSE)</f>
        <v>Andrew Barnes</v>
      </c>
      <c r="C640" s="5" t="str">
        <f>VLOOKUP(globalfreelancepreprocesseddata!A640,worksheet!A:P,5,FALSE)</f>
        <v>Male</v>
      </c>
      <c r="D640" s="5">
        <f>VLOOKUP(globalfreelancepreprocesseddata!A640,worksheet!A:P,6,FALSE)</f>
        <v>57</v>
      </c>
      <c r="E640" s="5" t="str">
        <f>VLOOKUP(globalfreelancepreprocesseddata!A640,worksheet!A:P,7,FALSE)</f>
        <v>Mexico</v>
      </c>
      <c r="F640" s="5" t="str">
        <f>VLOOKUP(globalfreelancepreprocesseddata!A640,worksheet!A:P,8,FALSE)</f>
        <v>Spanish</v>
      </c>
      <c r="G640" s="5" t="str">
        <f>VLOOKUP(globalfreelancepreprocesseddata!A640,worksheet!A:P,9,FALSE)</f>
        <v>Mobile Apps</v>
      </c>
      <c r="H640" s="5">
        <f>VLOOKUP(globalfreelancepreprocesseddata!A640,worksheet!A:P,10,FALSE)</f>
        <v>18</v>
      </c>
      <c r="I640" s="6" t="str">
        <f>VLOOKUP(globalfreelancepreprocesseddata!A640,worksheet!A:P,12,FALSE)</f>
        <v>$ 30</v>
      </c>
      <c r="J640" s="5">
        <f>VLOOKUP(globalfreelancepreprocesseddata!A640,worksheet!A:P,13,FALSE)</f>
        <v>1.1000000000000001</v>
      </c>
      <c r="K640" s="5">
        <f>VLOOKUP(globalfreelancepreprocesseddata!A640,worksheet!A:P,14,FALSE)</f>
        <v>0</v>
      </c>
      <c r="L640" s="7">
        <f>VLOOKUP(globalfreelancepreprocesseddata!A640,worksheet!A:P,16,FALSE)</f>
        <v>0.9</v>
      </c>
    </row>
    <row r="641" spans="1:12" x14ac:dyDescent="0.35">
      <c r="A641" s="5" t="s">
        <v>1354</v>
      </c>
      <c r="B641" s="5" t="str">
        <f>VLOOKUP(globalfreelancepreprocesseddata!A641,worksheet!A:P,3,FALSE)</f>
        <v>Gina Snyder</v>
      </c>
      <c r="C641" s="5" t="str">
        <f>VLOOKUP(globalfreelancepreprocesseddata!A641,worksheet!A:P,5,FALSE)</f>
        <v>Female</v>
      </c>
      <c r="D641" s="5">
        <f>VLOOKUP(globalfreelancepreprocesseddata!A641,worksheet!A:P,6,FALSE)</f>
        <v>49</v>
      </c>
      <c r="E641" s="5" t="str">
        <f>VLOOKUP(globalfreelancepreprocesseddata!A641,worksheet!A:P,7,FALSE)</f>
        <v>Mexico</v>
      </c>
      <c r="F641" s="5" t="str">
        <f>VLOOKUP(globalfreelancepreprocesseddata!A641,worksheet!A:P,8,FALSE)</f>
        <v>Spanish</v>
      </c>
      <c r="G641" s="5" t="str">
        <f>VLOOKUP(globalfreelancepreprocesseddata!A641,worksheet!A:P,9,FALSE)</f>
        <v>Web Development</v>
      </c>
      <c r="H641" s="5">
        <f>VLOOKUP(globalfreelancepreprocesseddata!A641,worksheet!A:P,10,FALSE)</f>
        <v>24</v>
      </c>
      <c r="I641" s="6">
        <f>VLOOKUP(globalfreelancepreprocesseddata!A641,worksheet!A:P,12,FALSE)</f>
        <v>50</v>
      </c>
      <c r="J641" s="5">
        <f>VLOOKUP(globalfreelancepreprocesseddata!A641,worksheet!A:P,13,FALSE)</f>
        <v>0</v>
      </c>
      <c r="K641" s="5">
        <f>VLOOKUP(globalfreelancepreprocesseddata!A641,worksheet!A:P,14,FALSE)</f>
        <v>0</v>
      </c>
      <c r="L641" s="7">
        <f>VLOOKUP(globalfreelancepreprocesseddata!A641,worksheet!A:P,16,FALSE)</f>
        <v>0.94</v>
      </c>
    </row>
    <row r="642" spans="1:12" x14ac:dyDescent="0.35">
      <c r="A642" s="5" t="s">
        <v>1356</v>
      </c>
      <c r="B642" s="5" t="str">
        <f>VLOOKUP(globalfreelancepreprocesseddata!A642,worksheet!A:P,3,FALSE)</f>
        <v>David Watson</v>
      </c>
      <c r="C642" s="5" t="str">
        <f>VLOOKUP(globalfreelancepreprocesseddata!A642,worksheet!A:P,5,FALSE)</f>
        <v>Male</v>
      </c>
      <c r="D642" s="5">
        <f>VLOOKUP(globalfreelancepreprocesseddata!A642,worksheet!A:P,6,FALSE)</f>
        <v>41</v>
      </c>
      <c r="E642" s="5" t="str">
        <f>VLOOKUP(globalfreelancepreprocesseddata!A642,worksheet!A:P,7,FALSE)</f>
        <v>Japan</v>
      </c>
      <c r="F642" s="5" t="str">
        <f>VLOOKUP(globalfreelancepreprocesseddata!A642,worksheet!A:P,8,FALSE)</f>
        <v>Japanese</v>
      </c>
      <c r="G642" s="5" t="str">
        <f>VLOOKUP(globalfreelancepreprocesseddata!A642,worksheet!A:P,9,FALSE)</f>
        <v>AI</v>
      </c>
      <c r="H642" s="5">
        <f>VLOOKUP(globalfreelancepreprocesseddata!A642,worksheet!A:P,10,FALSE)</f>
        <v>7</v>
      </c>
      <c r="I642" s="6">
        <f>VLOOKUP(globalfreelancepreprocesseddata!A642,worksheet!A:P,12,FALSE)</f>
        <v>40</v>
      </c>
      <c r="J642" s="5">
        <f>VLOOKUP(globalfreelancepreprocesseddata!A642,worksheet!A:P,13,FALSE)</f>
        <v>1.8</v>
      </c>
      <c r="K642" s="5">
        <f>VLOOKUP(globalfreelancepreprocesseddata!A642,worksheet!A:P,14,FALSE)</f>
        <v>0</v>
      </c>
      <c r="L642" s="7">
        <f>VLOOKUP(globalfreelancepreprocesseddata!A642,worksheet!A:P,16,FALSE)</f>
        <v>0.7</v>
      </c>
    </row>
    <row r="643" spans="1:12" x14ac:dyDescent="0.35">
      <c r="A643" s="5" t="s">
        <v>1358</v>
      </c>
      <c r="B643" s="5" t="str">
        <f>VLOOKUP(globalfreelancepreprocesseddata!A643,worksheet!A:P,3,FALSE)</f>
        <v>John Davis</v>
      </c>
      <c r="C643" s="5" t="str">
        <f>VLOOKUP(globalfreelancepreprocesseddata!A643,worksheet!A:P,5,FALSE)</f>
        <v>Male</v>
      </c>
      <c r="D643" s="5">
        <f>VLOOKUP(globalfreelancepreprocesseddata!A643,worksheet!A:P,6,FALSE)</f>
        <v>22</v>
      </c>
      <c r="E643" s="5" t="str">
        <f>VLOOKUP(globalfreelancepreprocesseddata!A643,worksheet!A:P,7,FALSE)</f>
        <v>Mexico</v>
      </c>
      <c r="F643" s="5" t="str">
        <f>VLOOKUP(globalfreelancepreprocesseddata!A643,worksheet!A:P,8,FALSE)</f>
        <v>Spanish</v>
      </c>
      <c r="G643" s="5" t="str">
        <f>VLOOKUP(globalfreelancepreprocesseddata!A643,worksheet!A:P,9,FALSE)</f>
        <v>Machine Learning</v>
      </c>
      <c r="H643" s="5">
        <f>VLOOKUP(globalfreelancepreprocesseddata!A643,worksheet!A:P,10,FALSE)</f>
        <v>1</v>
      </c>
      <c r="I643" s="6" t="str">
        <f>VLOOKUP(globalfreelancepreprocesseddata!A643,worksheet!A:P,12,FALSE)</f>
        <v>$ 20</v>
      </c>
      <c r="J643" s="5">
        <f>VLOOKUP(globalfreelancepreprocesseddata!A643,worksheet!A:P,13,FALSE)</f>
        <v>3</v>
      </c>
      <c r="K643" s="5">
        <f>VLOOKUP(globalfreelancepreprocesseddata!A643,worksheet!A:P,14,FALSE)</f>
        <v>1</v>
      </c>
      <c r="L643" s="7">
        <f>VLOOKUP(globalfreelancepreprocesseddata!A643,worksheet!A:P,16,FALSE)</f>
        <v>0.75</v>
      </c>
    </row>
    <row r="644" spans="1:12" x14ac:dyDescent="0.35">
      <c r="A644" s="5" t="s">
        <v>1360</v>
      </c>
      <c r="B644" s="5" t="str">
        <f>VLOOKUP(globalfreelancepreprocesseddata!A644,worksheet!A:P,3,FALSE)</f>
        <v>Joseph Thomas</v>
      </c>
      <c r="C644" s="5" t="str">
        <f>VLOOKUP(globalfreelancepreprocesseddata!A644,worksheet!A:P,5,FALSE)</f>
        <v>Male</v>
      </c>
      <c r="D644" s="5">
        <f>VLOOKUP(globalfreelancepreprocesseddata!A644,worksheet!A:P,6,FALSE)</f>
        <v>50</v>
      </c>
      <c r="E644" s="5" t="str">
        <f>VLOOKUP(globalfreelancepreprocesseddata!A644,worksheet!A:P,7,FALSE)</f>
        <v>Australia</v>
      </c>
      <c r="F644" s="5" t="str">
        <f>VLOOKUP(globalfreelancepreprocesseddata!A644,worksheet!A:P,8,FALSE)</f>
        <v>English</v>
      </c>
      <c r="G644" s="5" t="str">
        <f>VLOOKUP(globalfreelancepreprocesseddata!A644,worksheet!A:P,9,FALSE)</f>
        <v>Blockchain Development</v>
      </c>
      <c r="H644" s="5">
        <f>VLOOKUP(globalfreelancepreprocesseddata!A644,worksheet!A:P,10,FALSE)</f>
        <v>17</v>
      </c>
      <c r="I644" s="6">
        <f>VLOOKUP(globalfreelancepreprocesseddata!A644,worksheet!A:P,12,FALSE)</f>
        <v>75</v>
      </c>
      <c r="J644" s="5">
        <f>VLOOKUP(globalfreelancepreprocesseddata!A644,worksheet!A:P,13,FALSE)</f>
        <v>3.3</v>
      </c>
      <c r="K644" s="5">
        <f>VLOOKUP(globalfreelancepreprocesseddata!A644,worksheet!A:P,14,FALSE)</f>
        <v>1</v>
      </c>
      <c r="L644" s="7">
        <f>VLOOKUP(globalfreelancepreprocesseddata!A644,worksheet!A:P,16,FALSE)</f>
        <v>0.69</v>
      </c>
    </row>
    <row r="645" spans="1:12" x14ac:dyDescent="0.35">
      <c r="A645" s="5" t="s">
        <v>1362</v>
      </c>
      <c r="B645" s="5" t="str">
        <f>VLOOKUP(globalfreelancepreprocesseddata!A645,worksheet!A:P,3,FALSE)</f>
        <v>Dean Finley</v>
      </c>
      <c r="C645" s="5" t="str">
        <f>VLOOKUP(globalfreelancepreprocesseddata!A645,worksheet!A:P,5,FALSE)</f>
        <v>Male</v>
      </c>
      <c r="D645" s="5">
        <f>VLOOKUP(globalfreelancepreprocesseddata!A645,worksheet!A:P,6,FALSE)</f>
        <v>57</v>
      </c>
      <c r="E645" s="5" t="str">
        <f>VLOOKUP(globalfreelancepreprocesseddata!A645,worksheet!A:P,7,FALSE)</f>
        <v>Germany</v>
      </c>
      <c r="F645" s="5" t="str">
        <f>VLOOKUP(globalfreelancepreprocesseddata!A645,worksheet!A:P,8,FALSE)</f>
        <v>German</v>
      </c>
      <c r="G645" s="5" t="str">
        <f>VLOOKUP(globalfreelancepreprocesseddata!A645,worksheet!A:P,9,FALSE)</f>
        <v>Graphic Design</v>
      </c>
      <c r="H645" s="5">
        <f>VLOOKUP(globalfreelancepreprocesseddata!A645,worksheet!A:P,10,FALSE)</f>
        <v>4</v>
      </c>
      <c r="I645" s="6" t="str">
        <f>VLOOKUP(globalfreelancepreprocesseddata!A645,worksheet!A:P,12,FALSE)</f>
        <v>$ 30</v>
      </c>
      <c r="J645" s="5">
        <f>VLOOKUP(globalfreelancepreprocesseddata!A645,worksheet!A:P,13,FALSE)</f>
        <v>4.2</v>
      </c>
      <c r="K645" s="5">
        <f>VLOOKUP(globalfreelancepreprocesseddata!A645,worksheet!A:P,14,FALSE)</f>
        <v>0</v>
      </c>
      <c r="L645" s="7">
        <f>VLOOKUP(globalfreelancepreprocesseddata!A645,worksheet!A:P,16,FALSE)</f>
        <v>0.16</v>
      </c>
    </row>
    <row r="646" spans="1:12" x14ac:dyDescent="0.35">
      <c r="A646" s="5" t="s">
        <v>1364</v>
      </c>
      <c r="B646" s="5" t="str">
        <f>VLOOKUP(globalfreelancepreprocesseddata!A646,worksheet!A:P,3,FALSE)</f>
        <v>Ashley Kemp</v>
      </c>
      <c r="C646" s="5" t="str">
        <f>VLOOKUP(globalfreelancepreprocesseddata!A646,worksheet!A:P,5,FALSE)</f>
        <v>Female</v>
      </c>
      <c r="D646" s="5">
        <f>VLOOKUP(globalfreelancepreprocesseddata!A646,worksheet!A:P,6,FALSE)</f>
        <v>47</v>
      </c>
      <c r="E646" s="5" t="str">
        <f>VLOOKUP(globalfreelancepreprocesseddata!A646,worksheet!A:P,7,FALSE)</f>
        <v>Mexico</v>
      </c>
      <c r="F646" s="5" t="str">
        <f>VLOOKUP(globalfreelancepreprocesseddata!A646,worksheet!A:P,8,FALSE)</f>
        <v>Spanish</v>
      </c>
      <c r="G646" s="5" t="str">
        <f>VLOOKUP(globalfreelancepreprocesseddata!A646,worksheet!A:P,9,FALSE)</f>
        <v>AI</v>
      </c>
      <c r="H646" s="5">
        <f>VLOOKUP(globalfreelancepreprocesseddata!A646,worksheet!A:P,10,FALSE)</f>
        <v>29</v>
      </c>
      <c r="I646" s="6">
        <f>VLOOKUP(globalfreelancepreprocesseddata!A646,worksheet!A:P,12,FALSE)</f>
        <v>50</v>
      </c>
      <c r="J646" s="5">
        <f>VLOOKUP(globalfreelancepreprocesseddata!A646,worksheet!A:P,13,FALSE)</f>
        <v>3</v>
      </c>
      <c r="K646" s="5">
        <f>VLOOKUP(globalfreelancepreprocesseddata!A646,worksheet!A:P,14,FALSE)</f>
        <v>1</v>
      </c>
      <c r="L646" s="7">
        <f>VLOOKUP(globalfreelancepreprocesseddata!A646,worksheet!A:P,16,FALSE)</f>
        <v>0.79</v>
      </c>
    </row>
    <row r="647" spans="1:12" x14ac:dyDescent="0.35">
      <c r="A647" s="5" t="s">
        <v>1366</v>
      </c>
      <c r="B647" s="5" t="str">
        <f>VLOOKUP(globalfreelancepreprocesseddata!A647,worksheet!A:P,3,FALSE)</f>
        <v>Kenneth Evans</v>
      </c>
      <c r="C647" s="5" t="str">
        <f>VLOOKUP(globalfreelancepreprocesseddata!A647,worksheet!A:P,5,FALSE)</f>
        <v>Male</v>
      </c>
      <c r="D647" s="5">
        <f>VLOOKUP(globalfreelancepreprocesseddata!A647,worksheet!A:P,6,FALSE)</f>
        <v>24</v>
      </c>
      <c r="E647" s="5" t="str">
        <f>VLOOKUP(globalfreelancepreprocesseddata!A647,worksheet!A:P,7,FALSE)</f>
        <v>South Africa</v>
      </c>
      <c r="F647" s="5" t="str">
        <f>VLOOKUP(globalfreelancepreprocesseddata!A647,worksheet!A:P,8,FALSE)</f>
        <v>Afrikaans</v>
      </c>
      <c r="G647" s="5" t="str">
        <f>VLOOKUP(globalfreelancepreprocesseddata!A647,worksheet!A:P,9,FALSE)</f>
        <v>Data Analysis</v>
      </c>
      <c r="H647" s="5">
        <f>VLOOKUP(globalfreelancepreprocesseddata!A647,worksheet!A:P,10,FALSE)</f>
        <v>2</v>
      </c>
      <c r="I647" s="6">
        <f>VLOOKUP(globalfreelancepreprocesseddata!A647,worksheet!A:P,12,FALSE)</f>
        <v>100</v>
      </c>
      <c r="J647" s="5">
        <f>VLOOKUP(globalfreelancepreprocesseddata!A647,worksheet!A:P,13,FALSE)</f>
        <v>3.8</v>
      </c>
      <c r="K647" s="5">
        <f>VLOOKUP(globalfreelancepreprocesseddata!A647,worksheet!A:P,14,FALSE)</f>
        <v>1</v>
      </c>
      <c r="L647" s="7">
        <f>VLOOKUP(globalfreelancepreprocesseddata!A647,worksheet!A:P,16,FALSE)</f>
        <v>0.71</v>
      </c>
    </row>
    <row r="648" spans="1:12" x14ac:dyDescent="0.35">
      <c r="A648" s="5" t="s">
        <v>1368</v>
      </c>
      <c r="B648" s="5" t="str">
        <f>VLOOKUP(globalfreelancepreprocesseddata!A648,worksheet!A:P,3,FALSE)</f>
        <v>Brandon Newman</v>
      </c>
      <c r="C648" s="5" t="str">
        <f>VLOOKUP(globalfreelancepreprocesseddata!A648,worksheet!A:P,5,FALSE)</f>
        <v>Male</v>
      </c>
      <c r="D648" s="5">
        <f>VLOOKUP(globalfreelancepreprocesseddata!A648,worksheet!A:P,6,FALSE)</f>
        <v>41</v>
      </c>
      <c r="E648" s="5" t="str">
        <f>VLOOKUP(globalfreelancepreprocesseddata!A648,worksheet!A:P,7,FALSE)</f>
        <v>India</v>
      </c>
      <c r="F648" s="5" t="str">
        <f>VLOOKUP(globalfreelancepreprocesseddata!A648,worksheet!A:P,8,FALSE)</f>
        <v>Hindi</v>
      </c>
      <c r="G648" s="5" t="str">
        <f>VLOOKUP(globalfreelancepreprocesseddata!A648,worksheet!A:P,9,FALSE)</f>
        <v>Cybersecurity</v>
      </c>
      <c r="H648" s="5">
        <f>VLOOKUP(globalfreelancepreprocesseddata!A648,worksheet!A:P,10,FALSE)</f>
        <v>9</v>
      </c>
      <c r="I648" s="6">
        <f>VLOOKUP(globalfreelancepreprocesseddata!A648,worksheet!A:P,12,FALSE)</f>
        <v>100</v>
      </c>
      <c r="J648" s="5">
        <f>VLOOKUP(globalfreelancepreprocesseddata!A648,worksheet!A:P,13,FALSE)</f>
        <v>4.8</v>
      </c>
      <c r="K648" s="5">
        <f>VLOOKUP(globalfreelancepreprocesseddata!A648,worksheet!A:P,14,FALSE)</f>
        <v>1</v>
      </c>
      <c r="L648" s="7">
        <f>VLOOKUP(globalfreelancepreprocesseddata!A648,worksheet!A:P,16,FALSE)</f>
        <v>0.72</v>
      </c>
    </row>
    <row r="649" spans="1:12" x14ac:dyDescent="0.35">
      <c r="A649" s="5" t="s">
        <v>1370</v>
      </c>
      <c r="B649" s="5" t="str">
        <f>VLOOKUP(globalfreelancepreprocesseddata!A649,worksheet!A:P,3,FALSE)</f>
        <v>Katie Hensley</v>
      </c>
      <c r="C649" s="5" t="str">
        <f>VLOOKUP(globalfreelancepreprocesseddata!A649,worksheet!A:P,5,FALSE)</f>
        <v>Female</v>
      </c>
      <c r="D649" s="5">
        <f>VLOOKUP(globalfreelancepreprocesseddata!A649,worksheet!A:P,6,FALSE)</f>
        <v>50</v>
      </c>
      <c r="E649" s="5" t="str">
        <f>VLOOKUP(globalfreelancepreprocesseddata!A649,worksheet!A:P,7,FALSE)</f>
        <v>Germany</v>
      </c>
      <c r="F649" s="5" t="str">
        <f>VLOOKUP(globalfreelancepreprocesseddata!A649,worksheet!A:P,8,FALSE)</f>
        <v>German</v>
      </c>
      <c r="G649" s="5" t="str">
        <f>VLOOKUP(globalfreelancepreprocesseddata!A649,worksheet!A:P,9,FALSE)</f>
        <v>DevOps</v>
      </c>
      <c r="H649" s="5">
        <f>VLOOKUP(globalfreelancepreprocesseddata!A649,worksheet!A:P,10,FALSE)</f>
        <v>10</v>
      </c>
      <c r="I649" s="6">
        <f>VLOOKUP(globalfreelancepreprocesseddata!A649,worksheet!A:P,12,FALSE)</f>
        <v>100</v>
      </c>
      <c r="J649" s="5">
        <f>VLOOKUP(globalfreelancepreprocesseddata!A649,worksheet!A:P,13,FALSE)</f>
        <v>4.3</v>
      </c>
      <c r="K649" s="5">
        <f>VLOOKUP(globalfreelancepreprocesseddata!A649,worksheet!A:P,14,FALSE)</f>
        <v>0</v>
      </c>
      <c r="L649" s="7">
        <f>VLOOKUP(globalfreelancepreprocesseddata!A649,worksheet!A:P,16,FALSE)</f>
        <v>0.93</v>
      </c>
    </row>
    <row r="650" spans="1:12" x14ac:dyDescent="0.35">
      <c r="A650" s="5" t="s">
        <v>1372</v>
      </c>
      <c r="B650" s="5" t="str">
        <f>VLOOKUP(globalfreelancepreprocesseddata!A650,worksheet!A:P,3,FALSE)</f>
        <v>Joel Randolph</v>
      </c>
      <c r="C650" s="5" t="str">
        <f>VLOOKUP(globalfreelancepreprocesseddata!A650,worksheet!A:P,5,FALSE)</f>
        <v>Male</v>
      </c>
      <c r="D650" s="5">
        <f>VLOOKUP(globalfreelancepreprocesseddata!A650,worksheet!A:P,6,FALSE)</f>
        <v>46</v>
      </c>
      <c r="E650" s="5" t="str">
        <f>VLOOKUP(globalfreelancepreprocesseddata!A650,worksheet!A:P,7,FALSE)</f>
        <v>Brazil</v>
      </c>
      <c r="F650" s="5" t="str">
        <f>VLOOKUP(globalfreelancepreprocesseddata!A650,worksheet!A:P,8,FALSE)</f>
        <v>Portuguese</v>
      </c>
      <c r="G650" s="5" t="str">
        <f>VLOOKUP(globalfreelancepreprocesseddata!A650,worksheet!A:P,9,FALSE)</f>
        <v>Machine Learning</v>
      </c>
      <c r="H650" s="5">
        <f>VLOOKUP(globalfreelancepreprocesseddata!A650,worksheet!A:P,10,FALSE)</f>
        <v>20</v>
      </c>
      <c r="I650" s="6">
        <f>VLOOKUP(globalfreelancepreprocesseddata!A650,worksheet!A:P,12,FALSE)</f>
        <v>40</v>
      </c>
      <c r="J650" s="5">
        <f>VLOOKUP(globalfreelancepreprocesseddata!A650,worksheet!A:P,13,FALSE)</f>
        <v>4.8</v>
      </c>
      <c r="K650" s="5">
        <f>VLOOKUP(globalfreelancepreprocesseddata!A650,worksheet!A:P,14,FALSE)</f>
        <v>1</v>
      </c>
      <c r="L650" s="7">
        <f>VLOOKUP(globalfreelancepreprocesseddata!A650,worksheet!A:P,16,FALSE)</f>
        <v>0.82</v>
      </c>
    </row>
    <row r="651" spans="1:12" x14ac:dyDescent="0.35">
      <c r="A651" s="5" t="s">
        <v>1374</v>
      </c>
      <c r="B651" s="5" t="str">
        <f>VLOOKUP(globalfreelancepreprocesseddata!A651,worksheet!A:P,3,FALSE)</f>
        <v>Andrew Scott</v>
      </c>
      <c r="C651" s="5" t="str">
        <f>VLOOKUP(globalfreelancepreprocesseddata!A651,worksheet!A:P,5,FALSE)</f>
        <v>Male</v>
      </c>
      <c r="D651" s="5">
        <f>VLOOKUP(globalfreelancepreprocesseddata!A651,worksheet!A:P,6,FALSE)</f>
        <v>51</v>
      </c>
      <c r="E651" s="5" t="str">
        <f>VLOOKUP(globalfreelancepreprocesseddata!A651,worksheet!A:P,7,FALSE)</f>
        <v>Australia</v>
      </c>
      <c r="F651" s="5" t="str">
        <f>VLOOKUP(globalfreelancepreprocesseddata!A651,worksheet!A:P,8,FALSE)</f>
        <v>English</v>
      </c>
      <c r="G651" s="5" t="str">
        <f>VLOOKUP(globalfreelancepreprocesseddata!A651,worksheet!A:P,9,FALSE)</f>
        <v>Cybersecurity</v>
      </c>
      <c r="H651" s="5">
        <f>VLOOKUP(globalfreelancepreprocesseddata!A651,worksheet!A:P,10,FALSE)</f>
        <v>9</v>
      </c>
      <c r="I651" s="6">
        <f>VLOOKUP(globalfreelancepreprocesseddata!A651,worksheet!A:P,12,FALSE)</f>
        <v>40</v>
      </c>
      <c r="J651" s="5">
        <f>VLOOKUP(globalfreelancepreprocesseddata!A651,worksheet!A:P,13,FALSE)</f>
        <v>3</v>
      </c>
      <c r="K651" s="5">
        <f>VLOOKUP(globalfreelancepreprocesseddata!A651,worksheet!A:P,14,FALSE)</f>
        <v>0</v>
      </c>
      <c r="L651" s="7">
        <f>VLOOKUP(globalfreelancepreprocesseddata!A651,worksheet!A:P,16,FALSE)</f>
        <v>0.6</v>
      </c>
    </row>
    <row r="652" spans="1:12" x14ac:dyDescent="0.35">
      <c r="A652" s="5" t="s">
        <v>1376</v>
      </c>
      <c r="B652" s="5" t="str">
        <f>VLOOKUP(globalfreelancepreprocesseddata!A652,worksheet!A:P,3,FALSE)</f>
        <v>Zachary Ochoa</v>
      </c>
      <c r="C652" s="5" t="str">
        <f>VLOOKUP(globalfreelancepreprocesseddata!A652,worksheet!A:P,5,FALSE)</f>
        <v>Male</v>
      </c>
      <c r="D652" s="5">
        <f>VLOOKUP(globalfreelancepreprocesseddata!A652,worksheet!A:P,6,FALSE)</f>
        <v>51</v>
      </c>
      <c r="E652" s="5" t="str">
        <f>VLOOKUP(globalfreelancepreprocesseddata!A652,worksheet!A:P,7,FALSE)</f>
        <v>United Kingdom</v>
      </c>
      <c r="F652" s="5" t="str">
        <f>VLOOKUP(globalfreelancepreprocesseddata!A652,worksheet!A:P,8,FALSE)</f>
        <v>English</v>
      </c>
      <c r="G652" s="5" t="str">
        <f>VLOOKUP(globalfreelancepreprocesseddata!A652,worksheet!A:P,9,FALSE)</f>
        <v>AI</v>
      </c>
      <c r="H652" s="5">
        <f>VLOOKUP(globalfreelancepreprocesseddata!A652,worksheet!A:P,10,FALSE)</f>
        <v>12</v>
      </c>
      <c r="I652" s="6">
        <f>VLOOKUP(globalfreelancepreprocesseddata!A652,worksheet!A:P,12,FALSE)</f>
        <v>20</v>
      </c>
      <c r="J652" s="5">
        <f>VLOOKUP(globalfreelancepreprocesseddata!A652,worksheet!A:P,13,FALSE)</f>
        <v>4</v>
      </c>
      <c r="K652" s="5">
        <f>VLOOKUP(globalfreelancepreprocesseddata!A652,worksheet!A:P,14,FALSE)</f>
        <v>0</v>
      </c>
      <c r="L652" s="7">
        <f>VLOOKUP(globalfreelancepreprocesseddata!A652,worksheet!A:P,16,FALSE)</f>
        <v>0.93</v>
      </c>
    </row>
    <row r="653" spans="1:12" x14ac:dyDescent="0.35">
      <c r="A653" s="5" t="s">
        <v>1378</v>
      </c>
      <c r="B653" s="5" t="str">
        <f>VLOOKUP(globalfreelancepreprocesseddata!A653,worksheet!A:P,3,FALSE)</f>
        <v>John Arroyo</v>
      </c>
      <c r="C653" s="5" t="str">
        <f>VLOOKUP(globalfreelancepreprocesseddata!A653,worksheet!A:P,5,FALSE)</f>
        <v>Male</v>
      </c>
      <c r="D653" s="5">
        <f>VLOOKUP(globalfreelancepreprocesseddata!A653,worksheet!A:P,6,FALSE)</f>
        <v>27</v>
      </c>
      <c r="E653" s="5" t="str">
        <f>VLOOKUP(globalfreelancepreprocesseddata!A653,worksheet!A:P,7,FALSE)</f>
        <v>United Kingdom</v>
      </c>
      <c r="F653" s="5" t="str">
        <f>VLOOKUP(globalfreelancepreprocesseddata!A653,worksheet!A:P,8,FALSE)</f>
        <v>English</v>
      </c>
      <c r="G653" s="5" t="str">
        <f>VLOOKUP(globalfreelancepreprocesseddata!A653,worksheet!A:P,9,FALSE)</f>
        <v>AI</v>
      </c>
      <c r="H653" s="5">
        <f>VLOOKUP(globalfreelancepreprocesseddata!A653,worksheet!A:P,10,FALSE)</f>
        <v>3</v>
      </c>
      <c r="I653" s="6" t="str">
        <f>VLOOKUP(globalfreelancepreprocesseddata!A653,worksheet!A:P,12,FALSE)</f>
        <v>$ 50</v>
      </c>
      <c r="J653" s="5">
        <f>VLOOKUP(globalfreelancepreprocesseddata!A653,worksheet!A:P,13,FALSE)</f>
        <v>3</v>
      </c>
      <c r="K653" s="5">
        <f>VLOOKUP(globalfreelancepreprocesseddata!A653,worksheet!A:P,14,FALSE)</f>
        <v>0</v>
      </c>
      <c r="L653" s="7">
        <f>VLOOKUP(globalfreelancepreprocesseddata!A653,worksheet!A:P,16,FALSE)</f>
        <v>0.16</v>
      </c>
    </row>
    <row r="654" spans="1:12" x14ac:dyDescent="0.35">
      <c r="A654" s="5" t="s">
        <v>1380</v>
      </c>
      <c r="B654" s="5" t="str">
        <f>VLOOKUP(globalfreelancepreprocesseddata!A654,worksheet!A:P,3,FALSE)</f>
        <v>Matthew Fernandez</v>
      </c>
      <c r="C654" s="5" t="str">
        <f>VLOOKUP(globalfreelancepreprocesseddata!A654,worksheet!A:P,5,FALSE)</f>
        <v>Male</v>
      </c>
      <c r="D654" s="5">
        <f>VLOOKUP(globalfreelancepreprocesseddata!A654,worksheet!A:P,6,FALSE)</f>
        <v>42</v>
      </c>
      <c r="E654" s="5" t="str">
        <f>VLOOKUP(globalfreelancepreprocesseddata!A654,worksheet!A:P,7,FALSE)</f>
        <v>Spain</v>
      </c>
      <c r="F654" s="5" t="str">
        <f>VLOOKUP(globalfreelancepreprocesseddata!A654,worksheet!A:P,8,FALSE)</f>
        <v>Spanish</v>
      </c>
      <c r="G654" s="5" t="str">
        <f>VLOOKUP(globalfreelancepreprocesseddata!A654,worksheet!A:P,9,FALSE)</f>
        <v>Web Development</v>
      </c>
      <c r="H654" s="5">
        <f>VLOOKUP(globalfreelancepreprocesseddata!A654,worksheet!A:P,10,FALSE)</f>
        <v>13</v>
      </c>
      <c r="I654" s="6">
        <f>VLOOKUP(globalfreelancepreprocesseddata!A654,worksheet!A:P,12,FALSE)</f>
        <v>30</v>
      </c>
      <c r="J654" s="5">
        <f>VLOOKUP(globalfreelancepreprocesseddata!A654,worksheet!A:P,13,FALSE)</f>
        <v>0</v>
      </c>
      <c r="K654" s="5">
        <f>VLOOKUP(globalfreelancepreprocesseddata!A654,worksheet!A:P,14,FALSE)</f>
        <v>0</v>
      </c>
      <c r="L654" s="7">
        <f>VLOOKUP(globalfreelancepreprocesseddata!A654,worksheet!A:P,16,FALSE)</f>
        <v>0.74</v>
      </c>
    </row>
    <row r="655" spans="1:12" x14ac:dyDescent="0.35">
      <c r="A655" s="5" t="s">
        <v>1382</v>
      </c>
      <c r="B655" s="5" t="str">
        <f>VLOOKUP(globalfreelancepreprocesseddata!A655,worksheet!A:P,3,FALSE)</f>
        <v>Benjamin Stark</v>
      </c>
      <c r="C655" s="5" t="str">
        <f>VLOOKUP(globalfreelancepreprocesseddata!A655,worksheet!A:P,5,FALSE)</f>
        <v>Male</v>
      </c>
      <c r="D655" s="5">
        <f>VLOOKUP(globalfreelancepreprocesseddata!A655,worksheet!A:P,6,FALSE)</f>
        <v>25</v>
      </c>
      <c r="E655" s="5" t="str">
        <f>VLOOKUP(globalfreelancepreprocesseddata!A655,worksheet!A:P,7,FALSE)</f>
        <v>Germany</v>
      </c>
      <c r="F655" s="5" t="str">
        <f>VLOOKUP(globalfreelancepreprocesseddata!A655,worksheet!A:P,8,FALSE)</f>
        <v>German</v>
      </c>
      <c r="G655" s="5" t="str">
        <f>VLOOKUP(globalfreelancepreprocesseddata!A655,worksheet!A:P,9,FALSE)</f>
        <v>UI/UX Design</v>
      </c>
      <c r="H655" s="5">
        <f>VLOOKUP(globalfreelancepreprocesseddata!A655,worksheet!A:P,10,FALSE)</f>
        <v>4</v>
      </c>
      <c r="I655" s="6">
        <f>VLOOKUP(globalfreelancepreprocesseddata!A655,worksheet!A:P,12,FALSE)</f>
        <v>40</v>
      </c>
      <c r="J655" s="5">
        <f>VLOOKUP(globalfreelancepreprocesseddata!A655,worksheet!A:P,13,FALSE)</f>
        <v>2.2999999999999998</v>
      </c>
      <c r="K655" s="5">
        <f>VLOOKUP(globalfreelancepreprocesseddata!A655,worksheet!A:P,14,FALSE)</f>
        <v>1</v>
      </c>
      <c r="L655" s="7">
        <f>VLOOKUP(globalfreelancepreprocesseddata!A655,worksheet!A:P,16,FALSE)</f>
        <v>0.73</v>
      </c>
    </row>
    <row r="656" spans="1:12" x14ac:dyDescent="0.35">
      <c r="A656" s="5" t="s">
        <v>1384</v>
      </c>
      <c r="B656" s="5" t="str">
        <f>VLOOKUP(globalfreelancepreprocesseddata!A656,worksheet!A:P,3,FALSE)</f>
        <v>Tammy Greer</v>
      </c>
      <c r="C656" s="5" t="str">
        <f>VLOOKUP(globalfreelancepreprocesseddata!A656,worksheet!A:P,5,FALSE)</f>
        <v>Female</v>
      </c>
      <c r="D656" s="5">
        <f>VLOOKUP(globalfreelancepreprocesseddata!A656,worksheet!A:P,6,FALSE)</f>
        <v>32</v>
      </c>
      <c r="E656" s="5" t="str">
        <f>VLOOKUP(globalfreelancepreprocesseddata!A656,worksheet!A:P,7,FALSE)</f>
        <v>Germany</v>
      </c>
      <c r="F656" s="5" t="str">
        <f>VLOOKUP(globalfreelancepreprocesseddata!A656,worksheet!A:P,8,FALSE)</f>
        <v>German</v>
      </c>
      <c r="G656" s="5" t="str">
        <f>VLOOKUP(globalfreelancepreprocesseddata!A656,worksheet!A:P,9,FALSE)</f>
        <v>Data Analysis</v>
      </c>
      <c r="H656" s="5">
        <f>VLOOKUP(globalfreelancepreprocesseddata!A656,worksheet!A:P,10,FALSE)</f>
        <v>9</v>
      </c>
      <c r="I656" s="6">
        <f>VLOOKUP(globalfreelancepreprocesseddata!A656,worksheet!A:P,12,FALSE)</f>
        <v>75</v>
      </c>
      <c r="J656" s="5">
        <f>VLOOKUP(globalfreelancepreprocesseddata!A656,worksheet!A:P,13,FALSE)</f>
        <v>3</v>
      </c>
      <c r="K656" s="5">
        <f>VLOOKUP(globalfreelancepreprocesseddata!A656,worksheet!A:P,14,FALSE)</f>
        <v>0</v>
      </c>
      <c r="L656" s="7">
        <f>VLOOKUP(globalfreelancepreprocesseddata!A656,worksheet!A:P,16,FALSE)</f>
        <v>0.96</v>
      </c>
    </row>
    <row r="657" spans="1:12" x14ac:dyDescent="0.35">
      <c r="A657" s="5" t="s">
        <v>1386</v>
      </c>
      <c r="B657" s="5" t="str">
        <f>VLOOKUP(globalfreelancepreprocesseddata!A657,worksheet!A:P,3,FALSE)</f>
        <v>Cynthia Mckinney</v>
      </c>
      <c r="C657" s="5" t="str">
        <f>VLOOKUP(globalfreelancepreprocesseddata!A657,worksheet!A:P,5,FALSE)</f>
        <v>Female</v>
      </c>
      <c r="D657" s="5">
        <f>VLOOKUP(globalfreelancepreprocesseddata!A657,worksheet!A:P,6,FALSE)</f>
        <v>59</v>
      </c>
      <c r="E657" s="5" t="str">
        <f>VLOOKUP(globalfreelancepreprocesseddata!A657,worksheet!A:P,7,FALSE)</f>
        <v>Canada</v>
      </c>
      <c r="F657" s="5" t="str">
        <f>VLOOKUP(globalfreelancepreprocesseddata!A657,worksheet!A:P,8,FALSE)</f>
        <v>English</v>
      </c>
      <c r="G657" s="5" t="str">
        <f>VLOOKUP(globalfreelancepreprocesseddata!A657,worksheet!A:P,9,FALSE)</f>
        <v>Graphic Design</v>
      </c>
      <c r="H657" s="5">
        <f>VLOOKUP(globalfreelancepreprocesseddata!A657,worksheet!A:P,10,FALSE)</f>
        <v>14</v>
      </c>
      <c r="I657" s="6">
        <f>VLOOKUP(globalfreelancepreprocesseddata!A657,worksheet!A:P,12,FALSE)</f>
        <v>30</v>
      </c>
      <c r="J657" s="5">
        <f>VLOOKUP(globalfreelancepreprocesseddata!A657,worksheet!A:P,13,FALSE)</f>
        <v>3.8</v>
      </c>
      <c r="K657" s="5">
        <f>VLOOKUP(globalfreelancepreprocesseddata!A657,worksheet!A:P,14,FALSE)</f>
        <v>1</v>
      </c>
      <c r="L657" s="7">
        <f>VLOOKUP(globalfreelancepreprocesseddata!A657,worksheet!A:P,16,FALSE)</f>
        <v>0.66</v>
      </c>
    </row>
    <row r="658" spans="1:12" x14ac:dyDescent="0.35">
      <c r="A658" s="5" t="s">
        <v>1388</v>
      </c>
      <c r="B658" s="5" t="str">
        <f>VLOOKUP(globalfreelancepreprocesseddata!A658,worksheet!A:P,3,FALSE)</f>
        <v>Wendy Rice</v>
      </c>
      <c r="C658" s="5" t="str">
        <f>VLOOKUP(globalfreelancepreprocesseddata!A658,worksheet!A:P,5,FALSE)</f>
        <v>Female</v>
      </c>
      <c r="D658" s="5">
        <f>VLOOKUP(globalfreelancepreprocesseddata!A658,worksheet!A:P,6,FALSE)</f>
        <v>59</v>
      </c>
      <c r="E658" s="5" t="str">
        <f>VLOOKUP(globalfreelancepreprocesseddata!A658,worksheet!A:P,7,FALSE)</f>
        <v>France</v>
      </c>
      <c r="F658" s="5" t="str">
        <f>VLOOKUP(globalfreelancepreprocesseddata!A658,worksheet!A:P,8,FALSE)</f>
        <v>French</v>
      </c>
      <c r="G658" s="5" t="str">
        <f>VLOOKUP(globalfreelancepreprocesseddata!A658,worksheet!A:P,9,FALSE)</f>
        <v>Cybersecurity</v>
      </c>
      <c r="H658" s="5">
        <f>VLOOKUP(globalfreelancepreprocesseddata!A658,worksheet!A:P,10,FALSE)</f>
        <v>37</v>
      </c>
      <c r="I658" s="6">
        <f>VLOOKUP(globalfreelancepreprocesseddata!A658,worksheet!A:P,12,FALSE)</f>
        <v>30</v>
      </c>
      <c r="J658" s="5">
        <f>VLOOKUP(globalfreelancepreprocesseddata!A658,worksheet!A:P,13,FALSE)</f>
        <v>4</v>
      </c>
      <c r="K658" s="5">
        <f>VLOOKUP(globalfreelancepreprocesseddata!A658,worksheet!A:P,14,FALSE)</f>
        <v>0</v>
      </c>
      <c r="L658" s="7">
        <f>VLOOKUP(globalfreelancepreprocesseddata!A658,worksheet!A:P,16,FALSE)</f>
        <v>0.62</v>
      </c>
    </row>
    <row r="659" spans="1:12" x14ac:dyDescent="0.35">
      <c r="A659" s="5" t="s">
        <v>1390</v>
      </c>
      <c r="B659" s="5" t="str">
        <f>VLOOKUP(globalfreelancepreprocesseddata!A659,worksheet!A:P,3,FALSE)</f>
        <v>Randy Bender</v>
      </c>
      <c r="C659" s="5" t="str">
        <f>VLOOKUP(globalfreelancepreprocesseddata!A659,worksheet!A:P,5,FALSE)</f>
        <v>Male</v>
      </c>
      <c r="D659" s="5">
        <f>VLOOKUP(globalfreelancepreprocesseddata!A659,worksheet!A:P,6,FALSE)</f>
        <v>29</v>
      </c>
      <c r="E659" s="5" t="str">
        <f>VLOOKUP(globalfreelancepreprocesseddata!A659,worksheet!A:P,7,FALSE)</f>
        <v>Germany</v>
      </c>
      <c r="F659" s="5" t="str">
        <f>VLOOKUP(globalfreelancepreprocesseddata!A659,worksheet!A:P,8,FALSE)</f>
        <v>German</v>
      </c>
      <c r="G659" s="5" t="str">
        <f>VLOOKUP(globalfreelancepreprocesseddata!A659,worksheet!A:P,9,FALSE)</f>
        <v>Graphic Design</v>
      </c>
      <c r="H659" s="5">
        <f>VLOOKUP(globalfreelancepreprocesseddata!A659,worksheet!A:P,10,FALSE)</f>
        <v>2</v>
      </c>
      <c r="I659" s="6" t="str">
        <f>VLOOKUP(globalfreelancepreprocesseddata!A659,worksheet!A:P,12,FALSE)</f>
        <v>$ 75</v>
      </c>
      <c r="J659" s="5">
        <f>VLOOKUP(globalfreelancepreprocesseddata!A659,worksheet!A:P,13,FALSE)</f>
        <v>2.2000000000000002</v>
      </c>
      <c r="K659" s="5">
        <f>VLOOKUP(globalfreelancepreprocesseddata!A659,worksheet!A:P,14,FALSE)</f>
        <v>1</v>
      </c>
      <c r="L659" s="7">
        <f>VLOOKUP(globalfreelancepreprocesseddata!A659,worksheet!A:P,16,FALSE)</f>
        <v>0.85</v>
      </c>
    </row>
    <row r="660" spans="1:12" x14ac:dyDescent="0.35">
      <c r="A660" s="5" t="s">
        <v>1392</v>
      </c>
      <c r="B660" s="5" t="str">
        <f>VLOOKUP(globalfreelancepreprocesseddata!A660,worksheet!A:P,3,FALSE)</f>
        <v>Richard Dominguez</v>
      </c>
      <c r="C660" s="5" t="str">
        <f>VLOOKUP(globalfreelancepreprocesseddata!A660,worksheet!A:P,5,FALSE)</f>
        <v>Male</v>
      </c>
      <c r="D660" s="5">
        <f>VLOOKUP(globalfreelancepreprocesseddata!A660,worksheet!A:P,6,FALSE)</f>
        <v>58</v>
      </c>
      <c r="E660" s="5" t="str">
        <f>VLOOKUP(globalfreelancepreprocesseddata!A660,worksheet!A:P,7,FALSE)</f>
        <v>China</v>
      </c>
      <c r="F660" s="5" t="str">
        <f>VLOOKUP(globalfreelancepreprocesseddata!A660,worksheet!A:P,8,FALSE)</f>
        <v>Mandarin</v>
      </c>
      <c r="G660" s="5" t="str">
        <f>VLOOKUP(globalfreelancepreprocesseddata!A660,worksheet!A:P,9,FALSE)</f>
        <v>AI</v>
      </c>
      <c r="H660" s="5">
        <f>VLOOKUP(globalfreelancepreprocesseddata!A660,worksheet!A:P,10,FALSE)</f>
        <v>11</v>
      </c>
      <c r="I660" s="6">
        <f>VLOOKUP(globalfreelancepreprocesseddata!A660,worksheet!A:P,12,FALSE)</f>
        <v>100</v>
      </c>
      <c r="J660" s="5">
        <f>VLOOKUP(globalfreelancepreprocesseddata!A660,worksheet!A:P,13,FALSE)</f>
        <v>4.3</v>
      </c>
      <c r="K660" s="5">
        <f>VLOOKUP(globalfreelancepreprocesseddata!A660,worksheet!A:P,14,FALSE)</f>
        <v>0</v>
      </c>
      <c r="L660" s="7">
        <f>VLOOKUP(globalfreelancepreprocesseddata!A660,worksheet!A:P,16,FALSE)</f>
        <v>0.66</v>
      </c>
    </row>
    <row r="661" spans="1:12" x14ac:dyDescent="0.35">
      <c r="A661" s="5" t="s">
        <v>1394</v>
      </c>
      <c r="B661" s="5" t="str">
        <f>VLOOKUP(globalfreelancepreprocesseddata!A661,worksheet!A:P,3,FALSE)</f>
        <v>Melissa Maldonado</v>
      </c>
      <c r="C661" s="5" t="str">
        <f>VLOOKUP(globalfreelancepreprocesseddata!A661,worksheet!A:P,5,FALSE)</f>
        <v>Female</v>
      </c>
      <c r="D661" s="5">
        <f>VLOOKUP(globalfreelancepreprocesseddata!A661,worksheet!A:P,6,FALSE)</f>
        <v>56</v>
      </c>
      <c r="E661" s="5" t="str">
        <f>VLOOKUP(globalfreelancepreprocesseddata!A661,worksheet!A:P,7,FALSE)</f>
        <v>Canada</v>
      </c>
      <c r="F661" s="5" t="str">
        <f>VLOOKUP(globalfreelancepreprocesseddata!A661,worksheet!A:P,8,FALSE)</f>
        <v>English</v>
      </c>
      <c r="G661" s="5" t="str">
        <f>VLOOKUP(globalfreelancepreprocesseddata!A661,worksheet!A:P,9,FALSE)</f>
        <v>Cybersecurity</v>
      </c>
      <c r="H661" s="5">
        <f>VLOOKUP(globalfreelancepreprocesseddata!A661,worksheet!A:P,10,FALSE)</f>
        <v>19</v>
      </c>
      <c r="I661" s="6">
        <f>VLOOKUP(globalfreelancepreprocesseddata!A661,worksheet!A:P,12,FALSE)</f>
        <v>20</v>
      </c>
      <c r="J661" s="5">
        <f>VLOOKUP(globalfreelancepreprocesseddata!A661,worksheet!A:P,13,FALSE)</f>
        <v>0</v>
      </c>
      <c r="K661" s="5">
        <f>VLOOKUP(globalfreelancepreprocesseddata!A661,worksheet!A:P,14,FALSE)</f>
        <v>0</v>
      </c>
      <c r="L661" s="7">
        <f>VLOOKUP(globalfreelancepreprocesseddata!A661,worksheet!A:P,16,FALSE)</f>
        <v>0.87</v>
      </c>
    </row>
    <row r="662" spans="1:12" x14ac:dyDescent="0.35">
      <c r="A662" s="5" t="s">
        <v>1396</v>
      </c>
      <c r="B662" s="5" t="str">
        <f>VLOOKUP(globalfreelancepreprocesseddata!A662,worksheet!A:P,3,FALSE)</f>
        <v>Leah Harris</v>
      </c>
      <c r="C662" s="5" t="str">
        <f>VLOOKUP(globalfreelancepreprocesseddata!A662,worksheet!A:P,5,FALSE)</f>
        <v>Female</v>
      </c>
      <c r="D662" s="5">
        <f>VLOOKUP(globalfreelancepreprocesseddata!A662,worksheet!A:P,6,FALSE)</f>
        <v>36</v>
      </c>
      <c r="E662" s="5" t="str">
        <f>VLOOKUP(globalfreelancepreprocesseddata!A662,worksheet!A:P,7,FALSE)</f>
        <v>United States</v>
      </c>
      <c r="F662" s="5" t="str">
        <f>VLOOKUP(globalfreelancepreprocesseddata!A662,worksheet!A:P,8,FALSE)</f>
        <v>English</v>
      </c>
      <c r="G662" s="5" t="str">
        <f>VLOOKUP(globalfreelancepreprocesseddata!A662,worksheet!A:P,9,FALSE)</f>
        <v>Machine Learning</v>
      </c>
      <c r="H662" s="5">
        <f>VLOOKUP(globalfreelancepreprocesseddata!A662,worksheet!A:P,10,FALSE)</f>
        <v>9</v>
      </c>
      <c r="I662" s="6">
        <f>VLOOKUP(globalfreelancepreprocesseddata!A662,worksheet!A:P,12,FALSE)</f>
        <v>20</v>
      </c>
      <c r="J662" s="5">
        <f>VLOOKUP(globalfreelancepreprocesseddata!A662,worksheet!A:P,13,FALSE)</f>
        <v>0</v>
      </c>
      <c r="K662" s="5">
        <f>VLOOKUP(globalfreelancepreprocesseddata!A662,worksheet!A:P,14,FALSE)</f>
        <v>1</v>
      </c>
      <c r="L662" s="7">
        <f>VLOOKUP(globalfreelancepreprocesseddata!A662,worksheet!A:P,16,FALSE)</f>
        <v>0.68</v>
      </c>
    </row>
    <row r="663" spans="1:12" x14ac:dyDescent="0.35">
      <c r="A663" s="5" t="s">
        <v>1398</v>
      </c>
      <c r="B663" s="5" t="str">
        <f>VLOOKUP(globalfreelancepreprocesseddata!A663,worksheet!A:P,3,FALSE)</f>
        <v>Lynn French</v>
      </c>
      <c r="C663" s="5" t="str">
        <f>VLOOKUP(globalfreelancepreprocesseddata!A663,worksheet!A:P,5,FALSE)</f>
        <v>Female</v>
      </c>
      <c r="D663" s="5">
        <f>VLOOKUP(globalfreelancepreprocesseddata!A663,worksheet!A:P,6,FALSE)</f>
        <v>52</v>
      </c>
      <c r="E663" s="5" t="str">
        <f>VLOOKUP(globalfreelancepreprocesseddata!A663,worksheet!A:P,7,FALSE)</f>
        <v>Canada</v>
      </c>
      <c r="F663" s="5" t="str">
        <f>VLOOKUP(globalfreelancepreprocesseddata!A663,worksheet!A:P,8,FALSE)</f>
        <v>English</v>
      </c>
      <c r="G663" s="5" t="str">
        <f>VLOOKUP(globalfreelancepreprocesseddata!A663,worksheet!A:P,9,FALSE)</f>
        <v>UI/UX Design</v>
      </c>
      <c r="H663" s="5">
        <f>VLOOKUP(globalfreelancepreprocesseddata!A663,worksheet!A:P,10,FALSE)</f>
        <v>16</v>
      </c>
      <c r="I663" s="6">
        <f>VLOOKUP(globalfreelancepreprocesseddata!A663,worksheet!A:P,12,FALSE)</f>
        <v>100</v>
      </c>
      <c r="J663" s="5">
        <f>VLOOKUP(globalfreelancepreprocesseddata!A663,worksheet!A:P,13,FALSE)</f>
        <v>4</v>
      </c>
      <c r="K663" s="5">
        <f>VLOOKUP(globalfreelancepreprocesseddata!A663,worksheet!A:P,14,FALSE)</f>
        <v>1</v>
      </c>
      <c r="L663" s="7">
        <f>VLOOKUP(globalfreelancepreprocesseddata!A663,worksheet!A:P,16,FALSE)</f>
        <v>0.16</v>
      </c>
    </row>
    <row r="664" spans="1:12" x14ac:dyDescent="0.35">
      <c r="A664" s="5" t="s">
        <v>1400</v>
      </c>
      <c r="B664" s="5" t="str">
        <f>VLOOKUP(globalfreelancepreprocesseddata!A664,worksheet!A:P,3,FALSE)</f>
        <v>Angela Johnson</v>
      </c>
      <c r="C664" s="5" t="str">
        <f>VLOOKUP(globalfreelancepreprocesseddata!A664,worksheet!A:P,5,FALSE)</f>
        <v>Female</v>
      </c>
      <c r="D664" s="5">
        <f>VLOOKUP(globalfreelancepreprocesseddata!A664,worksheet!A:P,6,FALSE)</f>
        <v>42</v>
      </c>
      <c r="E664" s="5" t="str">
        <f>VLOOKUP(globalfreelancepreprocesseddata!A664,worksheet!A:P,7,FALSE)</f>
        <v>Netherlands</v>
      </c>
      <c r="F664" s="5" t="str">
        <f>VLOOKUP(globalfreelancepreprocesseddata!A664,worksheet!A:P,8,FALSE)</f>
        <v>Dutch</v>
      </c>
      <c r="G664" s="5" t="str">
        <f>VLOOKUP(globalfreelancepreprocesseddata!A664,worksheet!A:P,9,FALSE)</f>
        <v>Mobile Apps</v>
      </c>
      <c r="H664" s="5">
        <f>VLOOKUP(globalfreelancepreprocesseddata!A664,worksheet!A:P,10,FALSE)</f>
        <v>8</v>
      </c>
      <c r="I664" s="6" t="str">
        <f>VLOOKUP(globalfreelancepreprocesseddata!A664,worksheet!A:P,12,FALSE)</f>
        <v>$ 50</v>
      </c>
      <c r="J664" s="5">
        <f>VLOOKUP(globalfreelancepreprocesseddata!A664,worksheet!A:P,13,FALSE)</f>
        <v>3</v>
      </c>
      <c r="K664" s="5">
        <f>VLOOKUP(globalfreelancepreprocesseddata!A664,worksheet!A:P,14,FALSE)</f>
        <v>1</v>
      </c>
      <c r="L664" s="7">
        <f>VLOOKUP(globalfreelancepreprocesseddata!A664,worksheet!A:P,16,FALSE)</f>
        <v>0.16</v>
      </c>
    </row>
    <row r="665" spans="1:12" x14ac:dyDescent="0.35">
      <c r="A665" s="5" t="s">
        <v>1402</v>
      </c>
      <c r="B665" s="5" t="str">
        <f>VLOOKUP(globalfreelancepreprocesseddata!A665,worksheet!A:P,3,FALSE)</f>
        <v>Sarah Edwards</v>
      </c>
      <c r="C665" s="5" t="str">
        <f>VLOOKUP(globalfreelancepreprocesseddata!A665,worksheet!A:P,5,FALSE)</f>
        <v>Female</v>
      </c>
      <c r="D665" s="5">
        <f>VLOOKUP(globalfreelancepreprocesseddata!A665,worksheet!A:P,6,FALSE)</f>
        <v>59</v>
      </c>
      <c r="E665" s="5" t="str">
        <f>VLOOKUP(globalfreelancepreprocesseddata!A665,worksheet!A:P,7,FALSE)</f>
        <v>India</v>
      </c>
      <c r="F665" s="5" t="str">
        <f>VLOOKUP(globalfreelancepreprocesseddata!A665,worksheet!A:P,8,FALSE)</f>
        <v>Hindi</v>
      </c>
      <c r="G665" s="5" t="str">
        <f>VLOOKUP(globalfreelancepreprocesseddata!A665,worksheet!A:P,9,FALSE)</f>
        <v>Mobile Apps</v>
      </c>
      <c r="H665" s="5">
        <f>VLOOKUP(globalfreelancepreprocesseddata!A665,worksheet!A:P,10,FALSE)</f>
        <v>34</v>
      </c>
      <c r="I665" s="6">
        <f>VLOOKUP(globalfreelancepreprocesseddata!A665,worksheet!A:P,12,FALSE)</f>
        <v>100</v>
      </c>
      <c r="J665" s="5">
        <f>VLOOKUP(globalfreelancepreprocesseddata!A665,worksheet!A:P,13,FALSE)</f>
        <v>2</v>
      </c>
      <c r="K665" s="5">
        <f>VLOOKUP(globalfreelancepreprocesseddata!A665,worksheet!A:P,14,FALSE)</f>
        <v>1</v>
      </c>
      <c r="L665" s="7">
        <f>VLOOKUP(globalfreelancepreprocesseddata!A665,worksheet!A:P,16,FALSE)</f>
        <v>0.79</v>
      </c>
    </row>
    <row r="666" spans="1:12" x14ac:dyDescent="0.35">
      <c r="A666" s="5" t="s">
        <v>1404</v>
      </c>
      <c r="B666" s="5" t="str">
        <f>VLOOKUP(globalfreelancepreprocesseddata!A666,worksheet!A:P,3,FALSE)</f>
        <v>Roy Collins</v>
      </c>
      <c r="C666" s="5" t="str">
        <f>VLOOKUP(globalfreelancepreprocesseddata!A666,worksheet!A:P,5,FALSE)</f>
        <v>Male</v>
      </c>
      <c r="D666" s="5">
        <f>VLOOKUP(globalfreelancepreprocesseddata!A666,worksheet!A:P,6,FALSE)</f>
        <v>33</v>
      </c>
      <c r="E666" s="5" t="str">
        <f>VLOOKUP(globalfreelancepreprocesseddata!A666,worksheet!A:P,7,FALSE)</f>
        <v>Netherlands</v>
      </c>
      <c r="F666" s="5" t="str">
        <f>VLOOKUP(globalfreelancepreprocesseddata!A666,worksheet!A:P,8,FALSE)</f>
        <v>Dutch</v>
      </c>
      <c r="G666" s="5" t="str">
        <f>VLOOKUP(globalfreelancepreprocesseddata!A666,worksheet!A:P,9,FALSE)</f>
        <v>Mobile Apps</v>
      </c>
      <c r="H666" s="5">
        <f>VLOOKUP(globalfreelancepreprocesseddata!A666,worksheet!A:P,10,FALSE)</f>
        <v>5</v>
      </c>
      <c r="I666" s="6">
        <f>VLOOKUP(globalfreelancepreprocesseddata!A666,worksheet!A:P,12,FALSE)</f>
        <v>50</v>
      </c>
      <c r="J666" s="5">
        <f>VLOOKUP(globalfreelancepreprocesseddata!A666,worksheet!A:P,13,FALSE)</f>
        <v>4.7</v>
      </c>
      <c r="K666" s="5">
        <f>VLOOKUP(globalfreelancepreprocesseddata!A666,worksheet!A:P,14,FALSE)</f>
        <v>1</v>
      </c>
      <c r="L666" s="7">
        <f>VLOOKUP(globalfreelancepreprocesseddata!A666,worksheet!A:P,16,FALSE)</f>
        <v>0.88</v>
      </c>
    </row>
    <row r="667" spans="1:12" x14ac:dyDescent="0.35">
      <c r="A667" s="5" t="s">
        <v>1406</v>
      </c>
      <c r="B667" s="5" t="str">
        <f>VLOOKUP(globalfreelancepreprocesseddata!A667,worksheet!A:P,3,FALSE)</f>
        <v>Samantha Porter</v>
      </c>
      <c r="C667" s="5" t="str">
        <f>VLOOKUP(globalfreelancepreprocesseddata!A667,worksheet!A:P,5,FALSE)</f>
        <v>Female</v>
      </c>
      <c r="D667" s="5">
        <f>VLOOKUP(globalfreelancepreprocesseddata!A667,worksheet!A:P,6,FALSE)</f>
        <v>55</v>
      </c>
      <c r="E667" s="5" t="str">
        <f>VLOOKUP(globalfreelancepreprocesseddata!A667,worksheet!A:P,7,FALSE)</f>
        <v>Canada</v>
      </c>
      <c r="F667" s="5" t="str">
        <f>VLOOKUP(globalfreelancepreprocesseddata!A667,worksheet!A:P,8,FALSE)</f>
        <v>English</v>
      </c>
      <c r="G667" s="5" t="str">
        <f>VLOOKUP(globalfreelancepreprocesseddata!A667,worksheet!A:P,9,FALSE)</f>
        <v>Web Development</v>
      </c>
      <c r="H667" s="5">
        <f>VLOOKUP(globalfreelancepreprocesseddata!A667,worksheet!A:P,10,FALSE)</f>
        <v>14</v>
      </c>
      <c r="I667" s="6" t="str">
        <f>VLOOKUP(globalfreelancepreprocesseddata!A667,worksheet!A:P,12,FALSE)</f>
        <v>$ 50</v>
      </c>
      <c r="J667" s="5">
        <f>VLOOKUP(globalfreelancepreprocesseddata!A667,worksheet!A:P,13,FALSE)</f>
        <v>3.6</v>
      </c>
      <c r="K667" s="5">
        <f>VLOOKUP(globalfreelancepreprocesseddata!A667,worksheet!A:P,14,FALSE)</f>
        <v>1</v>
      </c>
      <c r="L667" s="7">
        <f>VLOOKUP(globalfreelancepreprocesseddata!A667,worksheet!A:P,16,FALSE)</f>
        <v>0.81</v>
      </c>
    </row>
    <row r="668" spans="1:12" x14ac:dyDescent="0.35">
      <c r="A668" s="5" t="s">
        <v>1408</v>
      </c>
      <c r="B668" s="5" t="str">
        <f>VLOOKUP(globalfreelancepreprocesseddata!A668,worksheet!A:P,3,FALSE)</f>
        <v>Juan Elliott</v>
      </c>
      <c r="C668" s="5" t="str">
        <f>VLOOKUP(globalfreelancepreprocesseddata!A668,worksheet!A:P,5,FALSE)</f>
        <v>Male</v>
      </c>
      <c r="D668" s="5">
        <f>VLOOKUP(globalfreelancepreprocesseddata!A668,worksheet!A:P,6,FALSE)</f>
        <v>47</v>
      </c>
      <c r="E668" s="5" t="str">
        <f>VLOOKUP(globalfreelancepreprocesseddata!A668,worksheet!A:P,7,FALSE)</f>
        <v>South Korea</v>
      </c>
      <c r="F668" s="5" t="str">
        <f>VLOOKUP(globalfreelancepreprocesseddata!A668,worksheet!A:P,8,FALSE)</f>
        <v>Korean</v>
      </c>
      <c r="G668" s="5" t="str">
        <f>VLOOKUP(globalfreelancepreprocesseddata!A668,worksheet!A:P,9,FALSE)</f>
        <v>UI/UX Design</v>
      </c>
      <c r="H668" s="5">
        <f>VLOOKUP(globalfreelancepreprocesseddata!A668,worksheet!A:P,10,FALSE)</f>
        <v>17</v>
      </c>
      <c r="I668" s="6">
        <f>VLOOKUP(globalfreelancepreprocesseddata!A668,worksheet!A:P,12,FALSE)</f>
        <v>50</v>
      </c>
      <c r="J668" s="5">
        <f>VLOOKUP(globalfreelancepreprocesseddata!A668,worksheet!A:P,13,FALSE)</f>
        <v>1.2</v>
      </c>
      <c r="K668" s="5">
        <f>VLOOKUP(globalfreelancepreprocesseddata!A668,worksheet!A:P,14,FALSE)</f>
        <v>0</v>
      </c>
      <c r="L668" s="7">
        <f>VLOOKUP(globalfreelancepreprocesseddata!A668,worksheet!A:P,16,FALSE)</f>
        <v>0.16</v>
      </c>
    </row>
    <row r="669" spans="1:12" x14ac:dyDescent="0.35">
      <c r="A669" s="5" t="s">
        <v>1410</v>
      </c>
      <c r="B669" s="5" t="str">
        <f>VLOOKUP(globalfreelancepreprocesseddata!A669,worksheet!A:P,3,FALSE)</f>
        <v>Elizabeth Phillips</v>
      </c>
      <c r="C669" s="5" t="str">
        <f>VLOOKUP(globalfreelancepreprocesseddata!A669,worksheet!A:P,5,FALSE)</f>
        <v>Female</v>
      </c>
      <c r="D669" s="5">
        <f>VLOOKUP(globalfreelancepreprocesseddata!A669,worksheet!A:P,6,FALSE)</f>
        <v>29</v>
      </c>
      <c r="E669" s="5" t="str">
        <f>VLOOKUP(globalfreelancepreprocesseddata!A669,worksheet!A:P,7,FALSE)</f>
        <v>Mexico</v>
      </c>
      <c r="F669" s="5" t="str">
        <f>VLOOKUP(globalfreelancepreprocesseddata!A669,worksheet!A:P,8,FALSE)</f>
        <v>Spanish</v>
      </c>
      <c r="G669" s="5" t="str">
        <f>VLOOKUP(globalfreelancepreprocesseddata!A669,worksheet!A:P,9,FALSE)</f>
        <v>AI</v>
      </c>
      <c r="H669" s="5">
        <f>VLOOKUP(globalfreelancepreprocesseddata!A669,worksheet!A:P,10,FALSE)</f>
        <v>10</v>
      </c>
      <c r="I669" s="6">
        <f>VLOOKUP(globalfreelancepreprocesseddata!A669,worksheet!A:P,12,FALSE)</f>
        <v>40</v>
      </c>
      <c r="J669" s="5">
        <f>VLOOKUP(globalfreelancepreprocesseddata!A669,worksheet!A:P,13,FALSE)</f>
        <v>4.4000000000000004</v>
      </c>
      <c r="K669" s="5">
        <f>VLOOKUP(globalfreelancepreprocesseddata!A669,worksheet!A:P,14,FALSE)</f>
        <v>1</v>
      </c>
      <c r="L669" s="7">
        <f>VLOOKUP(globalfreelancepreprocesseddata!A669,worksheet!A:P,16,FALSE)</f>
        <v>0.67</v>
      </c>
    </row>
    <row r="670" spans="1:12" x14ac:dyDescent="0.35">
      <c r="A670" s="5" t="s">
        <v>1412</v>
      </c>
      <c r="B670" s="5" t="str">
        <f>VLOOKUP(globalfreelancepreprocesseddata!A670,worksheet!A:P,3,FALSE)</f>
        <v>Laura Evans</v>
      </c>
      <c r="C670" s="5" t="str">
        <f>VLOOKUP(globalfreelancepreprocesseddata!A670,worksheet!A:P,5,FALSE)</f>
        <v>Female</v>
      </c>
      <c r="D670" s="5">
        <f>VLOOKUP(globalfreelancepreprocesseddata!A670,worksheet!A:P,6,FALSE)</f>
        <v>30</v>
      </c>
      <c r="E670" s="5" t="str">
        <f>VLOOKUP(globalfreelancepreprocesseddata!A670,worksheet!A:P,7,FALSE)</f>
        <v>United Kingdom</v>
      </c>
      <c r="F670" s="5" t="str">
        <f>VLOOKUP(globalfreelancepreprocesseddata!A670,worksheet!A:P,8,FALSE)</f>
        <v>English</v>
      </c>
      <c r="G670" s="5" t="str">
        <f>VLOOKUP(globalfreelancepreprocesseddata!A670,worksheet!A:P,9,FALSE)</f>
        <v>DevOps</v>
      </c>
      <c r="H670" s="5">
        <f>VLOOKUP(globalfreelancepreprocesseddata!A670,worksheet!A:P,10,FALSE)</f>
        <v>8</v>
      </c>
      <c r="I670" s="6">
        <f>VLOOKUP(globalfreelancepreprocesseddata!A670,worksheet!A:P,12,FALSE)</f>
        <v>100</v>
      </c>
      <c r="J670" s="5">
        <f>VLOOKUP(globalfreelancepreprocesseddata!A670,worksheet!A:P,13,FALSE)</f>
        <v>1.4</v>
      </c>
      <c r="K670" s="5">
        <f>VLOOKUP(globalfreelancepreprocesseddata!A670,worksheet!A:P,14,FALSE)</f>
        <v>1</v>
      </c>
      <c r="L670" s="7">
        <f>VLOOKUP(globalfreelancepreprocesseddata!A670,worksheet!A:P,16,FALSE)</f>
        <v>0.62</v>
      </c>
    </row>
    <row r="671" spans="1:12" x14ac:dyDescent="0.35">
      <c r="A671" s="5" t="s">
        <v>1414</v>
      </c>
      <c r="B671" s="5" t="str">
        <f>VLOOKUP(globalfreelancepreprocesseddata!A671,worksheet!A:P,3,FALSE)</f>
        <v>Amanda Mitchell</v>
      </c>
      <c r="C671" s="5" t="str">
        <f>VLOOKUP(globalfreelancepreprocesseddata!A671,worksheet!A:P,5,FALSE)</f>
        <v>Female</v>
      </c>
      <c r="D671" s="5">
        <f>VLOOKUP(globalfreelancepreprocesseddata!A671,worksheet!A:P,6,FALSE)</f>
        <v>25</v>
      </c>
      <c r="E671" s="5" t="str">
        <f>VLOOKUP(globalfreelancepreprocesseddata!A671,worksheet!A:P,7,FALSE)</f>
        <v>Canada</v>
      </c>
      <c r="F671" s="5" t="str">
        <f>VLOOKUP(globalfreelancepreprocesseddata!A671,worksheet!A:P,8,FALSE)</f>
        <v>English</v>
      </c>
      <c r="G671" s="5" t="str">
        <f>VLOOKUP(globalfreelancepreprocesseddata!A671,worksheet!A:P,9,FALSE)</f>
        <v>DevOps</v>
      </c>
      <c r="H671" s="5">
        <f>VLOOKUP(globalfreelancepreprocesseddata!A671,worksheet!A:P,10,FALSE)</f>
        <v>1</v>
      </c>
      <c r="I671" s="6" t="str">
        <f>VLOOKUP(globalfreelancepreprocesseddata!A671,worksheet!A:P,12,FALSE)</f>
        <v>$ 30</v>
      </c>
      <c r="J671" s="5">
        <f>VLOOKUP(globalfreelancepreprocesseddata!A671,worksheet!A:P,13,FALSE)</f>
        <v>3.2</v>
      </c>
      <c r="K671" s="5">
        <f>VLOOKUP(globalfreelancepreprocesseddata!A671,worksheet!A:P,14,FALSE)</f>
        <v>0</v>
      </c>
      <c r="L671" s="7">
        <f>VLOOKUP(globalfreelancepreprocesseddata!A671,worksheet!A:P,16,FALSE)</f>
        <v>0.87</v>
      </c>
    </row>
    <row r="672" spans="1:12" x14ac:dyDescent="0.35">
      <c r="A672" s="5" t="s">
        <v>1416</v>
      </c>
      <c r="B672" s="5" t="str">
        <f>VLOOKUP(globalfreelancepreprocesseddata!A672,worksheet!A:P,3,FALSE)</f>
        <v>Sandra Williams</v>
      </c>
      <c r="C672" s="5" t="str">
        <f>VLOOKUP(globalfreelancepreprocesseddata!A672,worksheet!A:P,5,FALSE)</f>
        <v>Female</v>
      </c>
      <c r="D672" s="5">
        <f>VLOOKUP(globalfreelancepreprocesseddata!A672,worksheet!A:P,6,FALSE)</f>
        <v>28</v>
      </c>
      <c r="E672" s="5" t="str">
        <f>VLOOKUP(globalfreelancepreprocesseddata!A672,worksheet!A:P,7,FALSE)</f>
        <v>Egypt</v>
      </c>
      <c r="F672" s="5" t="str">
        <f>VLOOKUP(globalfreelancepreprocesseddata!A672,worksheet!A:P,8,FALSE)</f>
        <v>Arabic</v>
      </c>
      <c r="G672" s="5" t="str">
        <f>VLOOKUP(globalfreelancepreprocesseddata!A672,worksheet!A:P,9,FALSE)</f>
        <v>Cybersecurity</v>
      </c>
      <c r="H672" s="5">
        <f>VLOOKUP(globalfreelancepreprocesseddata!A672,worksheet!A:P,10,FALSE)</f>
        <v>10</v>
      </c>
      <c r="I672" s="6">
        <f>VLOOKUP(globalfreelancepreprocesseddata!A672,worksheet!A:P,12,FALSE)</f>
        <v>40</v>
      </c>
      <c r="J672" s="5">
        <f>VLOOKUP(globalfreelancepreprocesseddata!A672,worksheet!A:P,13,FALSE)</f>
        <v>3.8</v>
      </c>
      <c r="K672" s="5">
        <f>VLOOKUP(globalfreelancepreprocesseddata!A672,worksheet!A:P,14,FALSE)</f>
        <v>1</v>
      </c>
      <c r="L672" s="7">
        <f>VLOOKUP(globalfreelancepreprocesseddata!A672,worksheet!A:P,16,FALSE)</f>
        <v>0.98</v>
      </c>
    </row>
    <row r="673" spans="1:12" x14ac:dyDescent="0.35">
      <c r="A673" s="5" t="s">
        <v>1418</v>
      </c>
      <c r="B673" s="5" t="str">
        <f>VLOOKUP(globalfreelancepreprocesseddata!A673,worksheet!A:P,3,FALSE)</f>
        <v>Eric Johnson</v>
      </c>
      <c r="C673" s="5" t="str">
        <f>VLOOKUP(globalfreelancepreprocesseddata!A673,worksheet!A:P,5,FALSE)</f>
        <v>Male</v>
      </c>
      <c r="D673" s="5">
        <f>VLOOKUP(globalfreelancepreprocesseddata!A673,worksheet!A:P,6,FALSE)</f>
        <v>29</v>
      </c>
      <c r="E673" s="5" t="str">
        <f>VLOOKUP(globalfreelancepreprocesseddata!A673,worksheet!A:P,7,FALSE)</f>
        <v>South Korea</v>
      </c>
      <c r="F673" s="5" t="str">
        <f>VLOOKUP(globalfreelancepreprocesseddata!A673,worksheet!A:P,8,FALSE)</f>
        <v>Korean</v>
      </c>
      <c r="G673" s="5" t="str">
        <f>VLOOKUP(globalfreelancepreprocesseddata!A673,worksheet!A:P,9,FALSE)</f>
        <v>Blockchain Development</v>
      </c>
      <c r="H673" s="5">
        <f>VLOOKUP(globalfreelancepreprocesseddata!A673,worksheet!A:P,10,FALSE)</f>
        <v>11</v>
      </c>
      <c r="I673" s="6">
        <f>VLOOKUP(globalfreelancepreprocesseddata!A673,worksheet!A:P,12,FALSE)</f>
        <v>75</v>
      </c>
      <c r="J673" s="5">
        <f>VLOOKUP(globalfreelancepreprocesseddata!A673,worksheet!A:P,13,FALSE)</f>
        <v>1.5</v>
      </c>
      <c r="K673" s="5">
        <f>VLOOKUP(globalfreelancepreprocesseddata!A673,worksheet!A:P,14,FALSE)</f>
        <v>1</v>
      </c>
      <c r="L673" s="7">
        <f>VLOOKUP(globalfreelancepreprocesseddata!A673,worksheet!A:P,16,FALSE)</f>
        <v>0.64</v>
      </c>
    </row>
    <row r="674" spans="1:12" x14ac:dyDescent="0.35">
      <c r="A674" s="5" t="s">
        <v>1420</v>
      </c>
      <c r="B674" s="5" t="str">
        <f>VLOOKUP(globalfreelancepreprocesseddata!A674,worksheet!A:P,3,FALSE)</f>
        <v>Javier Hobbs</v>
      </c>
      <c r="C674" s="5" t="str">
        <f>VLOOKUP(globalfreelancepreprocesseddata!A674,worksheet!A:P,5,FALSE)</f>
        <v>Male</v>
      </c>
      <c r="D674" s="5">
        <f>VLOOKUP(globalfreelancepreprocesseddata!A674,worksheet!A:P,6,FALSE)</f>
        <v>30</v>
      </c>
      <c r="E674" s="5" t="str">
        <f>VLOOKUP(globalfreelancepreprocesseddata!A674,worksheet!A:P,7,FALSE)</f>
        <v>Spain</v>
      </c>
      <c r="F674" s="5" t="str">
        <f>VLOOKUP(globalfreelancepreprocesseddata!A674,worksheet!A:P,8,FALSE)</f>
        <v>Spanish</v>
      </c>
      <c r="G674" s="5" t="str">
        <f>VLOOKUP(globalfreelancepreprocesseddata!A674,worksheet!A:P,9,FALSE)</f>
        <v>Graphic Design</v>
      </c>
      <c r="H674" s="5">
        <f>VLOOKUP(globalfreelancepreprocesseddata!A674,worksheet!A:P,10,FALSE)</f>
        <v>4</v>
      </c>
      <c r="I674" s="6">
        <f>VLOOKUP(globalfreelancepreprocesseddata!A674,worksheet!A:P,12,FALSE)</f>
        <v>40</v>
      </c>
      <c r="J674" s="5">
        <f>VLOOKUP(globalfreelancepreprocesseddata!A674,worksheet!A:P,13,FALSE)</f>
        <v>2.8</v>
      </c>
      <c r="K674" s="5">
        <f>VLOOKUP(globalfreelancepreprocesseddata!A674,worksheet!A:P,14,FALSE)</f>
        <v>1</v>
      </c>
      <c r="L674" s="7">
        <f>VLOOKUP(globalfreelancepreprocesseddata!A674,worksheet!A:P,16,FALSE)</f>
        <v>0.71</v>
      </c>
    </row>
    <row r="675" spans="1:12" x14ac:dyDescent="0.35">
      <c r="A675" s="5" t="s">
        <v>1422</v>
      </c>
      <c r="B675" s="5" t="str">
        <f>VLOOKUP(globalfreelancepreprocesseddata!A675,worksheet!A:P,3,FALSE)</f>
        <v>Jacob Jones</v>
      </c>
      <c r="C675" s="5" t="str">
        <f>VLOOKUP(globalfreelancepreprocesseddata!A675,worksheet!A:P,5,FALSE)</f>
        <v>Male</v>
      </c>
      <c r="D675" s="5">
        <f>VLOOKUP(globalfreelancepreprocesseddata!A675,worksheet!A:P,6,FALSE)</f>
        <v>47</v>
      </c>
      <c r="E675" s="5" t="str">
        <f>VLOOKUP(globalfreelancepreprocesseddata!A675,worksheet!A:P,7,FALSE)</f>
        <v>Egypt</v>
      </c>
      <c r="F675" s="5" t="str">
        <f>VLOOKUP(globalfreelancepreprocesseddata!A675,worksheet!A:P,8,FALSE)</f>
        <v>Arabic</v>
      </c>
      <c r="G675" s="5" t="str">
        <f>VLOOKUP(globalfreelancepreprocesseddata!A675,worksheet!A:P,9,FALSE)</f>
        <v>AI</v>
      </c>
      <c r="H675" s="5">
        <f>VLOOKUP(globalfreelancepreprocesseddata!A675,worksheet!A:P,10,FALSE)</f>
        <v>2</v>
      </c>
      <c r="I675" s="6">
        <f>VLOOKUP(globalfreelancepreprocesseddata!A675,worksheet!A:P,12,FALSE)</f>
        <v>50</v>
      </c>
      <c r="J675" s="5">
        <f>VLOOKUP(globalfreelancepreprocesseddata!A675,worksheet!A:P,13,FALSE)</f>
        <v>2.7</v>
      </c>
      <c r="K675" s="5">
        <f>VLOOKUP(globalfreelancepreprocesseddata!A675,worksheet!A:P,14,FALSE)</f>
        <v>1</v>
      </c>
      <c r="L675" s="7">
        <f>VLOOKUP(globalfreelancepreprocesseddata!A675,worksheet!A:P,16,FALSE)</f>
        <v>0.96</v>
      </c>
    </row>
    <row r="676" spans="1:12" x14ac:dyDescent="0.35">
      <c r="A676" s="5" t="s">
        <v>1424</v>
      </c>
      <c r="B676" s="5" t="str">
        <f>VLOOKUP(globalfreelancepreprocesseddata!A676,worksheet!A:P,3,FALSE)</f>
        <v>Zachary Murphy</v>
      </c>
      <c r="C676" s="5" t="str">
        <f>VLOOKUP(globalfreelancepreprocesseddata!A676,worksheet!A:P,5,FALSE)</f>
        <v>Male</v>
      </c>
      <c r="D676" s="5">
        <f>VLOOKUP(globalfreelancepreprocesseddata!A676,worksheet!A:P,6,FALSE)</f>
        <v>34</v>
      </c>
      <c r="E676" s="5" t="str">
        <f>VLOOKUP(globalfreelancepreprocesseddata!A676,worksheet!A:P,7,FALSE)</f>
        <v>Australia</v>
      </c>
      <c r="F676" s="5" t="str">
        <f>VLOOKUP(globalfreelancepreprocesseddata!A676,worksheet!A:P,8,FALSE)</f>
        <v>English</v>
      </c>
      <c r="G676" s="5" t="str">
        <f>VLOOKUP(globalfreelancepreprocesseddata!A676,worksheet!A:P,9,FALSE)</f>
        <v>Blockchain Development</v>
      </c>
      <c r="H676" s="5">
        <f>VLOOKUP(globalfreelancepreprocesseddata!A676,worksheet!A:P,10,FALSE)</f>
        <v>10</v>
      </c>
      <c r="I676" s="6">
        <f>VLOOKUP(globalfreelancepreprocesseddata!A676,worksheet!A:P,12,FALSE)</f>
        <v>30</v>
      </c>
      <c r="J676" s="5">
        <f>VLOOKUP(globalfreelancepreprocesseddata!A676,worksheet!A:P,13,FALSE)</f>
        <v>3.9</v>
      </c>
      <c r="K676" s="5">
        <f>VLOOKUP(globalfreelancepreprocesseddata!A676,worksheet!A:P,14,FALSE)</f>
        <v>1</v>
      </c>
      <c r="L676" s="7">
        <f>VLOOKUP(globalfreelancepreprocesseddata!A676,worksheet!A:P,16,FALSE)</f>
        <v>0.16</v>
      </c>
    </row>
    <row r="677" spans="1:12" x14ac:dyDescent="0.35">
      <c r="A677" s="5" t="s">
        <v>1426</v>
      </c>
      <c r="B677" s="5" t="str">
        <f>VLOOKUP(globalfreelancepreprocesseddata!A677,worksheet!A:P,3,FALSE)</f>
        <v>Joshua Owens</v>
      </c>
      <c r="C677" s="5" t="str">
        <f>VLOOKUP(globalfreelancepreprocesseddata!A677,worksheet!A:P,5,FALSE)</f>
        <v>Male</v>
      </c>
      <c r="D677" s="5">
        <f>VLOOKUP(globalfreelancepreprocesseddata!A677,worksheet!A:P,6,FALSE)</f>
        <v>45</v>
      </c>
      <c r="E677" s="5" t="str">
        <f>VLOOKUP(globalfreelancepreprocesseddata!A677,worksheet!A:P,7,FALSE)</f>
        <v>United States</v>
      </c>
      <c r="F677" s="5" t="str">
        <f>VLOOKUP(globalfreelancepreprocesseddata!A677,worksheet!A:P,8,FALSE)</f>
        <v>English</v>
      </c>
      <c r="G677" s="5" t="str">
        <f>VLOOKUP(globalfreelancepreprocesseddata!A677,worksheet!A:P,9,FALSE)</f>
        <v>Graphic Design</v>
      </c>
      <c r="H677" s="5">
        <f>VLOOKUP(globalfreelancepreprocesseddata!A677,worksheet!A:P,10,FALSE)</f>
        <v>16</v>
      </c>
      <c r="I677" s="6">
        <f>VLOOKUP(globalfreelancepreprocesseddata!A677,worksheet!A:P,12,FALSE)</f>
        <v>100</v>
      </c>
      <c r="J677" s="5">
        <f>VLOOKUP(globalfreelancepreprocesseddata!A677,worksheet!A:P,13,FALSE)</f>
        <v>4.5999999999999996</v>
      </c>
      <c r="K677" s="5">
        <f>VLOOKUP(globalfreelancepreprocesseddata!A677,worksheet!A:P,14,FALSE)</f>
        <v>0</v>
      </c>
      <c r="L677" s="7">
        <f>VLOOKUP(globalfreelancepreprocesseddata!A677,worksheet!A:P,16,FALSE)</f>
        <v>0.78</v>
      </c>
    </row>
    <row r="678" spans="1:12" x14ac:dyDescent="0.35">
      <c r="A678" s="5" t="s">
        <v>1428</v>
      </c>
      <c r="B678" s="5" t="str">
        <f>VLOOKUP(globalfreelancepreprocesseddata!A678,worksheet!A:P,3,FALSE)</f>
        <v>Dawn Mitchell</v>
      </c>
      <c r="C678" s="5" t="str">
        <f>VLOOKUP(globalfreelancepreprocesseddata!A678,worksheet!A:P,5,FALSE)</f>
        <v>Female</v>
      </c>
      <c r="D678" s="5">
        <f>VLOOKUP(globalfreelancepreprocesseddata!A678,worksheet!A:P,6,FALSE)</f>
        <v>56</v>
      </c>
      <c r="E678" s="5" t="str">
        <f>VLOOKUP(globalfreelancepreprocesseddata!A678,worksheet!A:P,7,FALSE)</f>
        <v>Spain</v>
      </c>
      <c r="F678" s="5" t="str">
        <f>VLOOKUP(globalfreelancepreprocesseddata!A678,worksheet!A:P,8,FALSE)</f>
        <v>Spanish</v>
      </c>
      <c r="G678" s="5" t="str">
        <f>VLOOKUP(globalfreelancepreprocesseddata!A678,worksheet!A:P,9,FALSE)</f>
        <v>Cybersecurity</v>
      </c>
      <c r="H678" s="5">
        <f>VLOOKUP(globalfreelancepreprocesseddata!A678,worksheet!A:P,10,FALSE)</f>
        <v>27</v>
      </c>
      <c r="I678" s="6">
        <f>VLOOKUP(globalfreelancepreprocesseddata!A678,worksheet!A:P,12,FALSE)</f>
        <v>20</v>
      </c>
      <c r="J678" s="5">
        <f>VLOOKUP(globalfreelancepreprocesseddata!A678,worksheet!A:P,13,FALSE)</f>
        <v>2.2000000000000002</v>
      </c>
      <c r="K678" s="5">
        <f>VLOOKUP(globalfreelancepreprocesseddata!A678,worksheet!A:P,14,FALSE)</f>
        <v>0</v>
      </c>
      <c r="L678" s="7">
        <f>VLOOKUP(globalfreelancepreprocesseddata!A678,worksheet!A:P,16,FALSE)</f>
        <v>0.7</v>
      </c>
    </row>
    <row r="679" spans="1:12" x14ac:dyDescent="0.35">
      <c r="A679" s="5" t="s">
        <v>1430</v>
      </c>
      <c r="B679" s="5" t="str">
        <f>VLOOKUP(globalfreelancepreprocesseddata!A679,worksheet!A:P,3,FALSE)</f>
        <v>Regina Dunn</v>
      </c>
      <c r="C679" s="5" t="str">
        <f>VLOOKUP(globalfreelancepreprocesseddata!A679,worksheet!A:P,5,FALSE)</f>
        <v>Female</v>
      </c>
      <c r="D679" s="5">
        <f>VLOOKUP(globalfreelancepreprocesseddata!A679,worksheet!A:P,6,FALSE)</f>
        <v>49</v>
      </c>
      <c r="E679" s="5" t="str">
        <f>VLOOKUP(globalfreelancepreprocesseddata!A679,worksheet!A:P,7,FALSE)</f>
        <v>China</v>
      </c>
      <c r="F679" s="5" t="str">
        <f>VLOOKUP(globalfreelancepreprocesseddata!A679,worksheet!A:P,8,FALSE)</f>
        <v>Mandarin</v>
      </c>
      <c r="G679" s="5" t="str">
        <f>VLOOKUP(globalfreelancepreprocesseddata!A679,worksheet!A:P,9,FALSE)</f>
        <v>DevOps</v>
      </c>
      <c r="H679" s="5">
        <f>VLOOKUP(globalfreelancepreprocesseddata!A679,worksheet!A:P,10,FALSE)</f>
        <v>20</v>
      </c>
      <c r="I679" s="6">
        <f>VLOOKUP(globalfreelancepreprocesseddata!A679,worksheet!A:P,12,FALSE)</f>
        <v>50</v>
      </c>
      <c r="J679" s="5">
        <f>VLOOKUP(globalfreelancepreprocesseddata!A679,worksheet!A:P,13,FALSE)</f>
        <v>2.5</v>
      </c>
      <c r="K679" s="5">
        <f>VLOOKUP(globalfreelancepreprocesseddata!A679,worksheet!A:P,14,FALSE)</f>
        <v>0</v>
      </c>
      <c r="L679" s="7">
        <f>VLOOKUP(globalfreelancepreprocesseddata!A679,worksheet!A:P,16,FALSE)</f>
        <v>0.82</v>
      </c>
    </row>
    <row r="680" spans="1:12" x14ac:dyDescent="0.35">
      <c r="A680" s="5" t="s">
        <v>1432</v>
      </c>
      <c r="B680" s="5" t="str">
        <f>VLOOKUP(globalfreelancepreprocesseddata!A680,worksheet!A:P,3,FALSE)</f>
        <v>Ernest Cole</v>
      </c>
      <c r="C680" s="5" t="str">
        <f>VLOOKUP(globalfreelancepreprocesseddata!A680,worksheet!A:P,5,FALSE)</f>
        <v>Male</v>
      </c>
      <c r="D680" s="5">
        <f>VLOOKUP(globalfreelancepreprocesseddata!A680,worksheet!A:P,6,FALSE)</f>
        <v>48</v>
      </c>
      <c r="E680" s="5" t="str">
        <f>VLOOKUP(globalfreelancepreprocesseddata!A680,worksheet!A:P,7,FALSE)</f>
        <v>France</v>
      </c>
      <c r="F680" s="5" t="str">
        <f>VLOOKUP(globalfreelancepreprocesseddata!A680,worksheet!A:P,8,FALSE)</f>
        <v>French</v>
      </c>
      <c r="G680" s="5" t="str">
        <f>VLOOKUP(globalfreelancepreprocesseddata!A680,worksheet!A:P,9,FALSE)</f>
        <v>AI</v>
      </c>
      <c r="H680" s="5">
        <f>VLOOKUP(globalfreelancepreprocesseddata!A680,worksheet!A:P,10,FALSE)</f>
        <v>10</v>
      </c>
      <c r="I680" s="6">
        <f>VLOOKUP(globalfreelancepreprocesseddata!A680,worksheet!A:P,12,FALSE)</f>
        <v>40</v>
      </c>
      <c r="J680" s="5">
        <f>VLOOKUP(globalfreelancepreprocesseddata!A680,worksheet!A:P,13,FALSE)</f>
        <v>3.1</v>
      </c>
      <c r="K680" s="5">
        <f>VLOOKUP(globalfreelancepreprocesseddata!A680,worksheet!A:P,14,FALSE)</f>
        <v>0</v>
      </c>
      <c r="L680" s="7">
        <f>VLOOKUP(globalfreelancepreprocesseddata!A680,worksheet!A:P,16,FALSE)</f>
        <v>0.16</v>
      </c>
    </row>
    <row r="681" spans="1:12" x14ac:dyDescent="0.35">
      <c r="A681" s="5" t="s">
        <v>1434</v>
      </c>
      <c r="B681" s="5" t="str">
        <f>VLOOKUP(globalfreelancepreprocesseddata!A681,worksheet!A:P,3,FALSE)</f>
        <v>Hannah Sanders</v>
      </c>
      <c r="C681" s="5" t="str">
        <f>VLOOKUP(globalfreelancepreprocesseddata!A681,worksheet!A:P,5,FALSE)</f>
        <v>Female</v>
      </c>
      <c r="D681" s="5">
        <f>VLOOKUP(globalfreelancepreprocesseddata!A681,worksheet!A:P,6,FALSE)</f>
        <v>29</v>
      </c>
      <c r="E681" s="5" t="str">
        <f>VLOOKUP(globalfreelancepreprocesseddata!A681,worksheet!A:P,7,FALSE)</f>
        <v>South Korea</v>
      </c>
      <c r="F681" s="5" t="str">
        <f>VLOOKUP(globalfreelancepreprocesseddata!A681,worksheet!A:P,8,FALSE)</f>
        <v>Korean</v>
      </c>
      <c r="G681" s="5" t="str">
        <f>VLOOKUP(globalfreelancepreprocesseddata!A681,worksheet!A:P,9,FALSE)</f>
        <v>Graphic Design</v>
      </c>
      <c r="H681" s="5">
        <f>VLOOKUP(globalfreelancepreprocesseddata!A681,worksheet!A:P,10,FALSE)</f>
        <v>11</v>
      </c>
      <c r="I681" s="6">
        <f>VLOOKUP(globalfreelancepreprocesseddata!A681,worksheet!A:P,12,FALSE)</f>
        <v>20</v>
      </c>
      <c r="J681" s="5">
        <f>VLOOKUP(globalfreelancepreprocesseddata!A681,worksheet!A:P,13,FALSE)</f>
        <v>3</v>
      </c>
      <c r="K681" s="5">
        <f>VLOOKUP(globalfreelancepreprocesseddata!A681,worksheet!A:P,14,FALSE)</f>
        <v>1</v>
      </c>
      <c r="L681" s="7">
        <f>VLOOKUP(globalfreelancepreprocesseddata!A681,worksheet!A:P,16,FALSE)</f>
        <v>0.99</v>
      </c>
    </row>
    <row r="682" spans="1:12" x14ac:dyDescent="0.35">
      <c r="A682" s="5" t="s">
        <v>1436</v>
      </c>
      <c r="B682" s="5" t="str">
        <f>VLOOKUP(globalfreelancepreprocesseddata!A682,worksheet!A:P,3,FALSE)</f>
        <v>Ellen Bowman</v>
      </c>
      <c r="C682" s="5" t="str">
        <f>VLOOKUP(globalfreelancepreprocesseddata!A682,worksheet!A:P,5,FALSE)</f>
        <v>Female</v>
      </c>
      <c r="D682" s="5">
        <f>VLOOKUP(globalfreelancepreprocesseddata!A682,worksheet!A:P,6,FALSE)</f>
        <v>49</v>
      </c>
      <c r="E682" s="5" t="str">
        <f>VLOOKUP(globalfreelancepreprocesseddata!A682,worksheet!A:P,7,FALSE)</f>
        <v>Netherlands</v>
      </c>
      <c r="F682" s="5" t="str">
        <f>VLOOKUP(globalfreelancepreprocesseddata!A682,worksheet!A:P,8,FALSE)</f>
        <v>Dutch</v>
      </c>
      <c r="G682" s="5" t="str">
        <f>VLOOKUP(globalfreelancepreprocesseddata!A682,worksheet!A:P,9,FALSE)</f>
        <v>Web Development</v>
      </c>
      <c r="H682" s="5">
        <f>VLOOKUP(globalfreelancepreprocesseddata!A682,worksheet!A:P,10,FALSE)</f>
        <v>11</v>
      </c>
      <c r="I682" s="6">
        <f>VLOOKUP(globalfreelancepreprocesseddata!A682,worksheet!A:P,12,FALSE)</f>
        <v>75</v>
      </c>
      <c r="J682" s="5">
        <f>VLOOKUP(globalfreelancepreprocesseddata!A682,worksheet!A:P,13,FALSE)</f>
        <v>3.8</v>
      </c>
      <c r="K682" s="5">
        <f>VLOOKUP(globalfreelancepreprocesseddata!A682,worksheet!A:P,14,FALSE)</f>
        <v>1</v>
      </c>
      <c r="L682" s="7">
        <f>VLOOKUP(globalfreelancepreprocesseddata!A682,worksheet!A:P,16,FALSE)</f>
        <v>0.93</v>
      </c>
    </row>
    <row r="683" spans="1:12" x14ac:dyDescent="0.35">
      <c r="A683" s="5" t="s">
        <v>1438</v>
      </c>
      <c r="B683" s="5" t="str">
        <f>VLOOKUP(globalfreelancepreprocesseddata!A683,worksheet!A:P,3,FALSE)</f>
        <v>Nancy Moore</v>
      </c>
      <c r="C683" s="5" t="str">
        <f>VLOOKUP(globalfreelancepreprocesseddata!A683,worksheet!A:P,5,FALSE)</f>
        <v>Female</v>
      </c>
      <c r="D683" s="5">
        <f>VLOOKUP(globalfreelancepreprocesseddata!A683,worksheet!A:P,6,FALSE)</f>
        <v>22</v>
      </c>
      <c r="E683" s="5" t="str">
        <f>VLOOKUP(globalfreelancepreprocesseddata!A683,worksheet!A:P,7,FALSE)</f>
        <v>China</v>
      </c>
      <c r="F683" s="5" t="str">
        <f>VLOOKUP(globalfreelancepreprocesseddata!A683,worksheet!A:P,8,FALSE)</f>
        <v>Mandarin</v>
      </c>
      <c r="G683" s="5" t="str">
        <f>VLOOKUP(globalfreelancepreprocesseddata!A683,worksheet!A:P,9,FALSE)</f>
        <v>Blockchain Development</v>
      </c>
      <c r="H683" s="5">
        <f>VLOOKUP(globalfreelancepreprocesseddata!A683,worksheet!A:P,10,FALSE)</f>
        <v>1</v>
      </c>
      <c r="I683" s="6">
        <f>VLOOKUP(globalfreelancepreprocesseddata!A683,worksheet!A:P,12,FALSE)</f>
        <v>100</v>
      </c>
      <c r="J683" s="5">
        <f>VLOOKUP(globalfreelancepreprocesseddata!A683,worksheet!A:P,13,FALSE)</f>
        <v>4.8</v>
      </c>
      <c r="K683" s="5">
        <f>VLOOKUP(globalfreelancepreprocesseddata!A683,worksheet!A:P,14,FALSE)</f>
        <v>1</v>
      </c>
      <c r="L683" s="7">
        <f>VLOOKUP(globalfreelancepreprocesseddata!A683,worksheet!A:P,16,FALSE)</f>
        <v>0.75</v>
      </c>
    </row>
    <row r="684" spans="1:12" x14ac:dyDescent="0.35">
      <c r="A684" s="5" t="s">
        <v>1440</v>
      </c>
      <c r="B684" s="5" t="str">
        <f>VLOOKUP(globalfreelancepreprocesseddata!A684,worksheet!A:P,3,FALSE)</f>
        <v>Joseph Wood</v>
      </c>
      <c r="C684" s="5" t="str">
        <f>VLOOKUP(globalfreelancepreprocesseddata!A684,worksheet!A:P,5,FALSE)</f>
        <v>Male</v>
      </c>
      <c r="D684" s="5">
        <f>VLOOKUP(globalfreelancepreprocesseddata!A684,worksheet!A:P,6,FALSE)</f>
        <v>52</v>
      </c>
      <c r="E684" s="5" t="str">
        <f>VLOOKUP(globalfreelancepreprocesseddata!A684,worksheet!A:P,7,FALSE)</f>
        <v>Mexico</v>
      </c>
      <c r="F684" s="5" t="str">
        <f>VLOOKUP(globalfreelancepreprocesseddata!A684,worksheet!A:P,8,FALSE)</f>
        <v>Spanish</v>
      </c>
      <c r="G684" s="5" t="str">
        <f>VLOOKUP(globalfreelancepreprocesseddata!A684,worksheet!A:P,9,FALSE)</f>
        <v>Graphic Design</v>
      </c>
      <c r="H684" s="5">
        <f>VLOOKUP(globalfreelancepreprocesseddata!A684,worksheet!A:P,10,FALSE)</f>
        <v>30</v>
      </c>
      <c r="I684" s="6" t="str">
        <f>VLOOKUP(globalfreelancepreprocesseddata!A684,worksheet!A:P,12,FALSE)</f>
        <v>$ 100</v>
      </c>
      <c r="J684" s="5">
        <f>VLOOKUP(globalfreelancepreprocesseddata!A684,worksheet!A:P,13,FALSE)</f>
        <v>2.5</v>
      </c>
      <c r="K684" s="5">
        <f>VLOOKUP(globalfreelancepreprocesseddata!A684,worksheet!A:P,14,FALSE)</f>
        <v>1</v>
      </c>
      <c r="L684" s="7">
        <f>VLOOKUP(globalfreelancepreprocesseddata!A684,worksheet!A:P,16,FALSE)</f>
        <v>0.61</v>
      </c>
    </row>
    <row r="685" spans="1:12" x14ac:dyDescent="0.35">
      <c r="A685" s="5" t="s">
        <v>1442</v>
      </c>
      <c r="B685" s="5" t="str">
        <f>VLOOKUP(globalfreelancepreprocesseddata!A685,worksheet!A:P,3,FALSE)</f>
        <v>Michael Harrell</v>
      </c>
      <c r="C685" s="5" t="str">
        <f>VLOOKUP(globalfreelancepreprocesseddata!A685,worksheet!A:P,5,FALSE)</f>
        <v>Male</v>
      </c>
      <c r="D685" s="5">
        <f>VLOOKUP(globalfreelancepreprocesseddata!A685,worksheet!A:P,6,FALSE)</f>
        <v>60</v>
      </c>
      <c r="E685" s="5" t="str">
        <f>VLOOKUP(globalfreelancepreprocesseddata!A685,worksheet!A:P,7,FALSE)</f>
        <v>Canada</v>
      </c>
      <c r="F685" s="5" t="str">
        <f>VLOOKUP(globalfreelancepreprocesseddata!A685,worksheet!A:P,8,FALSE)</f>
        <v>English</v>
      </c>
      <c r="G685" s="5" t="str">
        <f>VLOOKUP(globalfreelancepreprocesseddata!A685,worksheet!A:P,9,FALSE)</f>
        <v>Blockchain Development</v>
      </c>
      <c r="H685" s="5">
        <f>VLOOKUP(globalfreelancepreprocesseddata!A685,worksheet!A:P,10,FALSE)</f>
        <v>7</v>
      </c>
      <c r="I685" s="6" t="str">
        <f>VLOOKUP(globalfreelancepreprocesseddata!A685,worksheet!A:P,12,FALSE)</f>
        <v>$ 30</v>
      </c>
      <c r="J685" s="5">
        <f>VLOOKUP(globalfreelancepreprocesseddata!A685,worksheet!A:P,13,FALSE)</f>
        <v>0</v>
      </c>
      <c r="K685" s="5">
        <f>VLOOKUP(globalfreelancepreprocesseddata!A685,worksheet!A:P,14,FALSE)</f>
        <v>1</v>
      </c>
      <c r="L685" s="7">
        <f>VLOOKUP(globalfreelancepreprocesseddata!A685,worksheet!A:P,16,FALSE)</f>
        <v>0.97</v>
      </c>
    </row>
    <row r="686" spans="1:12" x14ac:dyDescent="0.35">
      <c r="A686" s="5" t="s">
        <v>1444</v>
      </c>
      <c r="B686" s="5" t="str">
        <f>VLOOKUP(globalfreelancepreprocesseddata!A686,worksheet!A:P,3,FALSE)</f>
        <v>Connie Mcclain</v>
      </c>
      <c r="C686" s="5" t="str">
        <f>VLOOKUP(globalfreelancepreprocesseddata!A686,worksheet!A:P,5,FALSE)</f>
        <v>Female</v>
      </c>
      <c r="D686" s="5">
        <f>VLOOKUP(globalfreelancepreprocesseddata!A686,worksheet!A:P,6,FALSE)</f>
        <v>33</v>
      </c>
      <c r="E686" s="5" t="str">
        <f>VLOOKUP(globalfreelancepreprocesseddata!A686,worksheet!A:P,7,FALSE)</f>
        <v>Japan</v>
      </c>
      <c r="F686" s="5" t="str">
        <f>VLOOKUP(globalfreelancepreprocesseddata!A686,worksheet!A:P,8,FALSE)</f>
        <v>Japanese</v>
      </c>
      <c r="G686" s="5" t="str">
        <f>VLOOKUP(globalfreelancepreprocesseddata!A686,worksheet!A:P,9,FALSE)</f>
        <v>UI/UX Design</v>
      </c>
      <c r="H686" s="5">
        <f>VLOOKUP(globalfreelancepreprocesseddata!A686,worksheet!A:P,10,FALSE)</f>
        <v>11</v>
      </c>
      <c r="I686" s="6">
        <f>VLOOKUP(globalfreelancepreprocesseddata!A686,worksheet!A:P,12,FALSE)</f>
        <v>100</v>
      </c>
      <c r="J686" s="5">
        <f>VLOOKUP(globalfreelancepreprocesseddata!A686,worksheet!A:P,13,FALSE)</f>
        <v>1.7</v>
      </c>
      <c r="K686" s="5">
        <f>VLOOKUP(globalfreelancepreprocesseddata!A686,worksheet!A:P,14,FALSE)</f>
        <v>1</v>
      </c>
      <c r="L686" s="7">
        <f>VLOOKUP(globalfreelancepreprocesseddata!A686,worksheet!A:P,16,FALSE)</f>
        <v>0.95</v>
      </c>
    </row>
    <row r="687" spans="1:12" x14ac:dyDescent="0.35">
      <c r="A687" s="5" t="s">
        <v>1446</v>
      </c>
      <c r="B687" s="5" t="str">
        <f>VLOOKUP(globalfreelancepreprocesseddata!A687,worksheet!A:P,3,FALSE)</f>
        <v>Matthew Baldwin</v>
      </c>
      <c r="C687" s="5" t="str">
        <f>VLOOKUP(globalfreelancepreprocesseddata!A687,worksheet!A:P,5,FALSE)</f>
        <v>Male</v>
      </c>
      <c r="D687" s="5">
        <f>VLOOKUP(globalfreelancepreprocesseddata!A687,worksheet!A:P,6,FALSE)</f>
        <v>52</v>
      </c>
      <c r="E687" s="5" t="str">
        <f>VLOOKUP(globalfreelancepreprocesseddata!A687,worksheet!A:P,7,FALSE)</f>
        <v>South Korea</v>
      </c>
      <c r="F687" s="5" t="str">
        <f>VLOOKUP(globalfreelancepreprocesseddata!A687,worksheet!A:P,8,FALSE)</f>
        <v>Korean</v>
      </c>
      <c r="G687" s="5" t="str">
        <f>VLOOKUP(globalfreelancepreprocesseddata!A687,worksheet!A:P,9,FALSE)</f>
        <v>Graphic Design</v>
      </c>
      <c r="H687" s="5">
        <f>VLOOKUP(globalfreelancepreprocesseddata!A687,worksheet!A:P,10,FALSE)</f>
        <v>21</v>
      </c>
      <c r="I687" s="6" t="str">
        <f>VLOOKUP(globalfreelancepreprocesseddata!A687,worksheet!A:P,12,FALSE)</f>
        <v>$ 40</v>
      </c>
      <c r="J687" s="5">
        <f>VLOOKUP(globalfreelancepreprocesseddata!A687,worksheet!A:P,13,FALSE)</f>
        <v>4</v>
      </c>
      <c r="K687" s="5">
        <f>VLOOKUP(globalfreelancepreprocesseddata!A687,worksheet!A:P,14,FALSE)</f>
        <v>1</v>
      </c>
      <c r="L687" s="7">
        <f>VLOOKUP(globalfreelancepreprocesseddata!A687,worksheet!A:P,16,FALSE)</f>
        <v>0.69</v>
      </c>
    </row>
    <row r="688" spans="1:12" x14ac:dyDescent="0.35">
      <c r="A688" s="5" t="s">
        <v>1448</v>
      </c>
      <c r="B688" s="5" t="str">
        <f>VLOOKUP(globalfreelancepreprocesseddata!A688,worksheet!A:P,3,FALSE)</f>
        <v>Danielle Nelson</v>
      </c>
      <c r="C688" s="5" t="str">
        <f>VLOOKUP(globalfreelancepreprocesseddata!A688,worksheet!A:P,5,FALSE)</f>
        <v>Female</v>
      </c>
      <c r="D688" s="5">
        <f>VLOOKUP(globalfreelancepreprocesseddata!A688,worksheet!A:P,6,FALSE)</f>
        <v>25</v>
      </c>
      <c r="E688" s="5" t="str">
        <f>VLOOKUP(globalfreelancepreprocesseddata!A688,worksheet!A:P,7,FALSE)</f>
        <v>Germany</v>
      </c>
      <c r="F688" s="5" t="str">
        <f>VLOOKUP(globalfreelancepreprocesseddata!A688,worksheet!A:P,8,FALSE)</f>
        <v>German</v>
      </c>
      <c r="G688" s="5" t="str">
        <f>VLOOKUP(globalfreelancepreprocesseddata!A688,worksheet!A:P,9,FALSE)</f>
        <v>DevOps</v>
      </c>
      <c r="H688" s="5">
        <f>VLOOKUP(globalfreelancepreprocesseddata!A688,worksheet!A:P,10,FALSE)</f>
        <v>7</v>
      </c>
      <c r="I688" s="6" t="str">
        <f>VLOOKUP(globalfreelancepreprocesseddata!A688,worksheet!A:P,12,FALSE)</f>
        <v>$ 100</v>
      </c>
      <c r="J688" s="5">
        <f>VLOOKUP(globalfreelancepreprocesseddata!A688,worksheet!A:P,13,FALSE)</f>
        <v>1.9</v>
      </c>
      <c r="K688" s="5">
        <f>VLOOKUP(globalfreelancepreprocesseddata!A688,worksheet!A:P,14,FALSE)</f>
        <v>0</v>
      </c>
      <c r="L688" s="7">
        <f>VLOOKUP(globalfreelancepreprocesseddata!A688,worksheet!A:P,16,FALSE)</f>
        <v>0.63</v>
      </c>
    </row>
    <row r="689" spans="1:12" x14ac:dyDescent="0.35">
      <c r="A689" s="5" t="s">
        <v>1450</v>
      </c>
      <c r="B689" s="5" t="str">
        <f>VLOOKUP(globalfreelancepreprocesseddata!A689,worksheet!A:P,3,FALSE)</f>
        <v>Steven Moore</v>
      </c>
      <c r="C689" s="5" t="str">
        <f>VLOOKUP(globalfreelancepreprocesseddata!A689,worksheet!A:P,5,FALSE)</f>
        <v>Male</v>
      </c>
      <c r="D689" s="5">
        <f>VLOOKUP(globalfreelancepreprocesseddata!A689,worksheet!A:P,6,FALSE)</f>
        <v>33</v>
      </c>
      <c r="E689" s="5" t="str">
        <f>VLOOKUP(globalfreelancepreprocesseddata!A689,worksheet!A:P,7,FALSE)</f>
        <v>Japan</v>
      </c>
      <c r="F689" s="5" t="str">
        <f>VLOOKUP(globalfreelancepreprocesseddata!A689,worksheet!A:P,8,FALSE)</f>
        <v>Japanese</v>
      </c>
      <c r="G689" s="5" t="str">
        <f>VLOOKUP(globalfreelancepreprocesseddata!A689,worksheet!A:P,9,FALSE)</f>
        <v>Cybersecurity</v>
      </c>
      <c r="H689" s="5">
        <f>VLOOKUP(globalfreelancepreprocesseddata!A689,worksheet!A:P,10,FALSE)</f>
        <v>11</v>
      </c>
      <c r="I689" s="6" t="str">
        <f>VLOOKUP(globalfreelancepreprocesseddata!A689,worksheet!A:P,12,FALSE)</f>
        <v>$ 30</v>
      </c>
      <c r="J689" s="5">
        <f>VLOOKUP(globalfreelancepreprocesseddata!A689,worksheet!A:P,13,FALSE)</f>
        <v>4.4000000000000004</v>
      </c>
      <c r="K689" s="5">
        <f>VLOOKUP(globalfreelancepreprocesseddata!A689,worksheet!A:P,14,FALSE)</f>
        <v>1</v>
      </c>
      <c r="L689" s="7">
        <f>VLOOKUP(globalfreelancepreprocesseddata!A689,worksheet!A:P,16,FALSE)</f>
        <v>0.65</v>
      </c>
    </row>
    <row r="690" spans="1:12" x14ac:dyDescent="0.35">
      <c r="A690" s="5" t="s">
        <v>1452</v>
      </c>
      <c r="B690" s="5" t="str">
        <f>VLOOKUP(globalfreelancepreprocesseddata!A690,worksheet!A:P,3,FALSE)</f>
        <v>Megan Hudson</v>
      </c>
      <c r="C690" s="5" t="str">
        <f>VLOOKUP(globalfreelancepreprocesseddata!A690,worksheet!A:P,5,FALSE)</f>
        <v>Female</v>
      </c>
      <c r="D690" s="5">
        <f>VLOOKUP(globalfreelancepreprocesseddata!A690,worksheet!A:P,6,FALSE)</f>
        <v>33</v>
      </c>
      <c r="E690" s="5" t="str">
        <f>VLOOKUP(globalfreelancepreprocesseddata!A690,worksheet!A:P,7,FALSE)</f>
        <v>China</v>
      </c>
      <c r="F690" s="5" t="str">
        <f>VLOOKUP(globalfreelancepreprocesseddata!A690,worksheet!A:P,8,FALSE)</f>
        <v>Mandarin</v>
      </c>
      <c r="G690" s="5" t="str">
        <f>VLOOKUP(globalfreelancepreprocesseddata!A690,worksheet!A:P,9,FALSE)</f>
        <v>Mobile Apps</v>
      </c>
      <c r="H690" s="5">
        <f>VLOOKUP(globalfreelancepreprocesseddata!A690,worksheet!A:P,10,FALSE)</f>
        <v>11</v>
      </c>
      <c r="I690" s="6">
        <f>VLOOKUP(globalfreelancepreprocesseddata!A690,worksheet!A:P,12,FALSE)</f>
        <v>40</v>
      </c>
      <c r="J690" s="5">
        <f>VLOOKUP(globalfreelancepreprocesseddata!A690,worksheet!A:P,13,FALSE)</f>
        <v>4.2</v>
      </c>
      <c r="K690" s="5">
        <f>VLOOKUP(globalfreelancepreprocesseddata!A690,worksheet!A:P,14,FALSE)</f>
        <v>1</v>
      </c>
      <c r="L690" s="7">
        <f>VLOOKUP(globalfreelancepreprocesseddata!A690,worksheet!A:P,16,FALSE)</f>
        <v>0.9</v>
      </c>
    </row>
    <row r="691" spans="1:12" x14ac:dyDescent="0.35">
      <c r="A691" s="5" t="s">
        <v>1454</v>
      </c>
      <c r="B691" s="5" t="str">
        <f>VLOOKUP(globalfreelancepreprocesseddata!A691,worksheet!A:P,3,FALSE)</f>
        <v>Lisa Johnson</v>
      </c>
      <c r="C691" s="5" t="str">
        <f>VLOOKUP(globalfreelancepreprocesseddata!A691,worksheet!A:P,5,FALSE)</f>
        <v>Female</v>
      </c>
      <c r="D691" s="5">
        <f>VLOOKUP(globalfreelancepreprocesseddata!A691,worksheet!A:P,6,FALSE)</f>
        <v>52</v>
      </c>
      <c r="E691" s="5" t="str">
        <f>VLOOKUP(globalfreelancepreprocesseddata!A691,worksheet!A:P,7,FALSE)</f>
        <v>Canada</v>
      </c>
      <c r="F691" s="5" t="str">
        <f>VLOOKUP(globalfreelancepreprocesseddata!A691,worksheet!A:P,8,FALSE)</f>
        <v>English</v>
      </c>
      <c r="G691" s="5" t="str">
        <f>VLOOKUP(globalfreelancepreprocesseddata!A691,worksheet!A:P,9,FALSE)</f>
        <v>UI/UX Design</v>
      </c>
      <c r="H691" s="5">
        <f>VLOOKUP(globalfreelancepreprocesseddata!A691,worksheet!A:P,10,FALSE)</f>
        <v>25</v>
      </c>
      <c r="I691" s="6">
        <f>VLOOKUP(globalfreelancepreprocesseddata!A691,worksheet!A:P,12,FALSE)</f>
        <v>100</v>
      </c>
      <c r="J691" s="5">
        <f>VLOOKUP(globalfreelancepreprocesseddata!A691,worksheet!A:P,13,FALSE)</f>
        <v>4.8</v>
      </c>
      <c r="K691" s="5">
        <f>VLOOKUP(globalfreelancepreprocesseddata!A691,worksheet!A:P,14,FALSE)</f>
        <v>0</v>
      </c>
      <c r="L691" s="7">
        <f>VLOOKUP(globalfreelancepreprocesseddata!A691,worksheet!A:P,16,FALSE)</f>
        <v>0.16</v>
      </c>
    </row>
    <row r="692" spans="1:12" x14ac:dyDescent="0.35">
      <c r="A692" s="5" t="s">
        <v>1455</v>
      </c>
      <c r="B692" s="5" t="str">
        <f>VLOOKUP(globalfreelancepreprocesseddata!A692,worksheet!A:P,3,FALSE)</f>
        <v>Tracy White</v>
      </c>
      <c r="C692" s="5" t="str">
        <f>VLOOKUP(globalfreelancepreprocesseddata!A692,worksheet!A:P,5,FALSE)</f>
        <v>Female</v>
      </c>
      <c r="D692" s="5">
        <f>VLOOKUP(globalfreelancepreprocesseddata!A692,worksheet!A:P,6,FALSE)</f>
        <v>20</v>
      </c>
      <c r="E692" s="5" t="str">
        <f>VLOOKUP(globalfreelancepreprocesseddata!A692,worksheet!A:P,7,FALSE)</f>
        <v>Indonesia</v>
      </c>
      <c r="F692" s="5" t="str">
        <f>VLOOKUP(globalfreelancepreprocesseddata!A692,worksheet!A:P,8,FALSE)</f>
        <v>Indonesian</v>
      </c>
      <c r="G692" s="5" t="str">
        <f>VLOOKUP(globalfreelancepreprocesseddata!A692,worksheet!A:P,9,FALSE)</f>
        <v>Web Development</v>
      </c>
      <c r="H692" s="5">
        <f>VLOOKUP(globalfreelancepreprocesseddata!A692,worksheet!A:P,10,FALSE)</f>
        <v>1</v>
      </c>
      <c r="I692" s="6" t="str">
        <f>VLOOKUP(globalfreelancepreprocesseddata!A692,worksheet!A:P,12,FALSE)</f>
        <v>$ 30</v>
      </c>
      <c r="J692" s="5">
        <f>VLOOKUP(globalfreelancepreprocesseddata!A692,worksheet!A:P,13,FALSE)</f>
        <v>2</v>
      </c>
      <c r="K692" s="5">
        <f>VLOOKUP(globalfreelancepreprocesseddata!A692,worksheet!A:P,14,FALSE)</f>
        <v>1</v>
      </c>
      <c r="L692" s="7">
        <f>VLOOKUP(globalfreelancepreprocesseddata!A692,worksheet!A:P,16,FALSE)</f>
        <v>0.89</v>
      </c>
    </row>
    <row r="693" spans="1:12" x14ac:dyDescent="0.35">
      <c r="A693" s="5" t="s">
        <v>1457</v>
      </c>
      <c r="B693" s="5" t="str">
        <f>VLOOKUP(globalfreelancepreprocesseddata!A693,worksheet!A:P,3,FALSE)</f>
        <v>Natalie Diaz</v>
      </c>
      <c r="C693" s="5" t="str">
        <f>VLOOKUP(globalfreelancepreprocesseddata!A693,worksheet!A:P,5,FALSE)</f>
        <v>Female</v>
      </c>
      <c r="D693" s="5">
        <f>VLOOKUP(globalfreelancepreprocesseddata!A693,worksheet!A:P,6,FALSE)</f>
        <v>43</v>
      </c>
      <c r="E693" s="5" t="str">
        <f>VLOOKUP(globalfreelancepreprocesseddata!A693,worksheet!A:P,7,FALSE)</f>
        <v>Russia</v>
      </c>
      <c r="F693" s="5" t="str">
        <f>VLOOKUP(globalfreelancepreprocesseddata!A693,worksheet!A:P,8,FALSE)</f>
        <v>Russian</v>
      </c>
      <c r="G693" s="5" t="str">
        <f>VLOOKUP(globalfreelancepreprocesseddata!A693,worksheet!A:P,9,FALSE)</f>
        <v>Data Analysis</v>
      </c>
      <c r="H693" s="5">
        <f>VLOOKUP(globalfreelancepreprocesseddata!A693,worksheet!A:P,10,FALSE)</f>
        <v>7</v>
      </c>
      <c r="I693" s="6" t="str">
        <f>VLOOKUP(globalfreelancepreprocesseddata!A693,worksheet!A:P,12,FALSE)</f>
        <v>$ 50</v>
      </c>
      <c r="J693" s="5">
        <f>VLOOKUP(globalfreelancepreprocesseddata!A693,worksheet!A:P,13,FALSE)</f>
        <v>3</v>
      </c>
      <c r="K693" s="5">
        <f>VLOOKUP(globalfreelancepreprocesseddata!A693,worksheet!A:P,14,FALSE)</f>
        <v>1</v>
      </c>
      <c r="L693" s="7">
        <f>VLOOKUP(globalfreelancepreprocesseddata!A693,worksheet!A:P,16,FALSE)</f>
        <v>0.8</v>
      </c>
    </row>
    <row r="694" spans="1:12" x14ac:dyDescent="0.35">
      <c r="A694" s="5" t="s">
        <v>1459</v>
      </c>
      <c r="B694" s="5" t="str">
        <f>VLOOKUP(globalfreelancepreprocesseddata!A694,worksheet!A:P,3,FALSE)</f>
        <v>Amanda Mitchell</v>
      </c>
      <c r="C694" s="5" t="str">
        <f>VLOOKUP(globalfreelancepreprocesseddata!A694,worksheet!A:P,5,FALSE)</f>
        <v>Female</v>
      </c>
      <c r="D694" s="5">
        <f>VLOOKUP(globalfreelancepreprocesseddata!A694,worksheet!A:P,6,FALSE)</f>
        <v>31</v>
      </c>
      <c r="E694" s="5" t="str">
        <f>VLOOKUP(globalfreelancepreprocesseddata!A694,worksheet!A:P,7,FALSE)</f>
        <v>France</v>
      </c>
      <c r="F694" s="5" t="str">
        <f>VLOOKUP(globalfreelancepreprocesseddata!A694,worksheet!A:P,8,FALSE)</f>
        <v>French</v>
      </c>
      <c r="G694" s="5" t="str">
        <f>VLOOKUP(globalfreelancepreprocesseddata!A694,worksheet!A:P,9,FALSE)</f>
        <v>Mobile Apps</v>
      </c>
      <c r="H694" s="5">
        <f>VLOOKUP(globalfreelancepreprocesseddata!A694,worksheet!A:P,10,FALSE)</f>
        <v>11</v>
      </c>
      <c r="I694" s="6">
        <f>VLOOKUP(globalfreelancepreprocesseddata!A694,worksheet!A:P,12,FALSE)</f>
        <v>50</v>
      </c>
      <c r="J694" s="5">
        <f>VLOOKUP(globalfreelancepreprocesseddata!A694,worksheet!A:P,13,FALSE)</f>
        <v>1.4</v>
      </c>
      <c r="K694" s="5">
        <f>VLOOKUP(globalfreelancepreprocesseddata!A694,worksheet!A:P,14,FALSE)</f>
        <v>1</v>
      </c>
      <c r="L694" s="7">
        <f>VLOOKUP(globalfreelancepreprocesseddata!A694,worksheet!A:P,16,FALSE)</f>
        <v>0.8</v>
      </c>
    </row>
    <row r="695" spans="1:12" x14ac:dyDescent="0.35">
      <c r="A695" s="5" t="s">
        <v>1460</v>
      </c>
      <c r="B695" s="5" t="str">
        <f>VLOOKUP(globalfreelancepreprocesseddata!A695,worksheet!A:P,3,FALSE)</f>
        <v>Karen Scott</v>
      </c>
      <c r="C695" s="5" t="str">
        <f>VLOOKUP(globalfreelancepreprocesseddata!A695,worksheet!A:P,5,FALSE)</f>
        <v>Female</v>
      </c>
      <c r="D695" s="5">
        <f>VLOOKUP(globalfreelancepreprocesseddata!A695,worksheet!A:P,6,FALSE)</f>
        <v>29</v>
      </c>
      <c r="E695" s="5" t="str">
        <f>VLOOKUP(globalfreelancepreprocesseddata!A695,worksheet!A:P,7,FALSE)</f>
        <v>Germany</v>
      </c>
      <c r="F695" s="5" t="str">
        <f>VLOOKUP(globalfreelancepreprocesseddata!A695,worksheet!A:P,8,FALSE)</f>
        <v>German</v>
      </c>
      <c r="G695" s="5" t="str">
        <f>VLOOKUP(globalfreelancepreprocesseddata!A695,worksheet!A:P,9,FALSE)</f>
        <v>Data Analysis</v>
      </c>
      <c r="H695" s="5">
        <f>VLOOKUP(globalfreelancepreprocesseddata!A695,worksheet!A:P,10,FALSE)</f>
        <v>6</v>
      </c>
      <c r="I695" s="6">
        <f>VLOOKUP(globalfreelancepreprocesseddata!A695,worksheet!A:P,12,FALSE)</f>
        <v>100</v>
      </c>
      <c r="J695" s="5">
        <f>VLOOKUP(globalfreelancepreprocesseddata!A695,worksheet!A:P,13,FALSE)</f>
        <v>1.8</v>
      </c>
      <c r="K695" s="5">
        <f>VLOOKUP(globalfreelancepreprocesseddata!A695,worksheet!A:P,14,FALSE)</f>
        <v>0</v>
      </c>
      <c r="L695" s="7">
        <f>VLOOKUP(globalfreelancepreprocesseddata!A695,worksheet!A:P,16,FALSE)</f>
        <v>0.16</v>
      </c>
    </row>
    <row r="696" spans="1:12" x14ac:dyDescent="0.35">
      <c r="A696" s="5" t="s">
        <v>1462</v>
      </c>
      <c r="B696" s="5" t="str">
        <f>VLOOKUP(globalfreelancepreprocesseddata!A696,worksheet!A:P,3,FALSE)</f>
        <v>Mary Brown</v>
      </c>
      <c r="C696" s="5" t="str">
        <f>VLOOKUP(globalfreelancepreprocesseddata!A696,worksheet!A:P,5,FALSE)</f>
        <v>Female</v>
      </c>
      <c r="D696" s="5">
        <f>VLOOKUP(globalfreelancepreprocesseddata!A696,worksheet!A:P,6,FALSE)</f>
        <v>53</v>
      </c>
      <c r="E696" s="5" t="str">
        <f>VLOOKUP(globalfreelancepreprocesseddata!A696,worksheet!A:P,7,FALSE)</f>
        <v>South Africa</v>
      </c>
      <c r="F696" s="5" t="str">
        <f>VLOOKUP(globalfreelancepreprocesseddata!A696,worksheet!A:P,8,FALSE)</f>
        <v>Afrikaans</v>
      </c>
      <c r="G696" s="5" t="str">
        <f>VLOOKUP(globalfreelancepreprocesseddata!A696,worksheet!A:P,9,FALSE)</f>
        <v>Graphic Design</v>
      </c>
      <c r="H696" s="5">
        <f>VLOOKUP(globalfreelancepreprocesseddata!A696,worksheet!A:P,10,FALSE)</f>
        <v>35</v>
      </c>
      <c r="I696" s="6">
        <f>VLOOKUP(globalfreelancepreprocesseddata!A696,worksheet!A:P,12,FALSE)</f>
        <v>40</v>
      </c>
      <c r="J696" s="5">
        <f>VLOOKUP(globalfreelancepreprocesseddata!A696,worksheet!A:P,13,FALSE)</f>
        <v>0</v>
      </c>
      <c r="K696" s="5">
        <f>VLOOKUP(globalfreelancepreprocesseddata!A696,worksheet!A:P,14,FALSE)</f>
        <v>1</v>
      </c>
      <c r="L696" s="7">
        <f>VLOOKUP(globalfreelancepreprocesseddata!A696,worksheet!A:P,16,FALSE)</f>
        <v>0.67</v>
      </c>
    </row>
    <row r="697" spans="1:12" x14ac:dyDescent="0.35">
      <c r="A697" s="5" t="s">
        <v>1463</v>
      </c>
      <c r="B697" s="5" t="str">
        <f>VLOOKUP(globalfreelancepreprocesseddata!A697,worksheet!A:P,3,FALSE)</f>
        <v>Jon Jones</v>
      </c>
      <c r="C697" s="5" t="str">
        <f>VLOOKUP(globalfreelancepreprocesseddata!A697,worksheet!A:P,5,FALSE)</f>
        <v>Male</v>
      </c>
      <c r="D697" s="5">
        <f>VLOOKUP(globalfreelancepreprocesseddata!A697,worksheet!A:P,6,FALSE)</f>
        <v>38</v>
      </c>
      <c r="E697" s="5" t="str">
        <f>VLOOKUP(globalfreelancepreprocesseddata!A697,worksheet!A:P,7,FALSE)</f>
        <v>India</v>
      </c>
      <c r="F697" s="5" t="str">
        <f>VLOOKUP(globalfreelancepreprocesseddata!A697,worksheet!A:P,8,FALSE)</f>
        <v>Hindi</v>
      </c>
      <c r="G697" s="5" t="str">
        <f>VLOOKUP(globalfreelancepreprocesseddata!A697,worksheet!A:P,9,FALSE)</f>
        <v>Mobile Apps</v>
      </c>
      <c r="H697" s="5">
        <f>VLOOKUP(globalfreelancepreprocesseddata!A697,worksheet!A:P,10,FALSE)</f>
        <v>1</v>
      </c>
      <c r="I697" s="6" t="str">
        <f>VLOOKUP(globalfreelancepreprocesseddata!A697,worksheet!A:P,12,FALSE)</f>
        <v>$ 40</v>
      </c>
      <c r="J697" s="5">
        <f>VLOOKUP(globalfreelancepreprocesseddata!A697,worksheet!A:P,13,FALSE)</f>
        <v>0</v>
      </c>
      <c r="K697" s="5">
        <f>VLOOKUP(globalfreelancepreprocesseddata!A697,worksheet!A:P,14,FALSE)</f>
        <v>0</v>
      </c>
      <c r="L697" s="7">
        <f>VLOOKUP(globalfreelancepreprocesseddata!A697,worksheet!A:P,16,FALSE)</f>
        <v>0.96</v>
      </c>
    </row>
    <row r="698" spans="1:12" x14ac:dyDescent="0.35">
      <c r="A698" s="5" t="s">
        <v>1465</v>
      </c>
      <c r="B698" s="5" t="str">
        <f>VLOOKUP(globalfreelancepreprocesseddata!A698,worksheet!A:P,3,FALSE)</f>
        <v>Jason Phillips</v>
      </c>
      <c r="C698" s="5" t="str">
        <f>VLOOKUP(globalfreelancepreprocesseddata!A698,worksheet!A:P,5,FALSE)</f>
        <v>Male</v>
      </c>
      <c r="D698" s="5">
        <f>VLOOKUP(globalfreelancepreprocesseddata!A698,worksheet!A:P,6,FALSE)</f>
        <v>29</v>
      </c>
      <c r="E698" s="5" t="str">
        <f>VLOOKUP(globalfreelancepreprocesseddata!A698,worksheet!A:P,7,FALSE)</f>
        <v>Spain</v>
      </c>
      <c r="F698" s="5" t="str">
        <f>VLOOKUP(globalfreelancepreprocesseddata!A698,worksheet!A:P,8,FALSE)</f>
        <v>Spanish</v>
      </c>
      <c r="G698" s="5" t="str">
        <f>VLOOKUP(globalfreelancepreprocesseddata!A698,worksheet!A:P,9,FALSE)</f>
        <v>Graphic Design</v>
      </c>
      <c r="H698" s="5">
        <f>VLOOKUP(globalfreelancepreprocesseddata!A698,worksheet!A:P,10,FALSE)</f>
        <v>11</v>
      </c>
      <c r="I698" s="6">
        <f>VLOOKUP(globalfreelancepreprocesseddata!A698,worksheet!A:P,12,FALSE)</f>
        <v>20</v>
      </c>
      <c r="J698" s="5">
        <f>VLOOKUP(globalfreelancepreprocesseddata!A698,worksheet!A:P,13,FALSE)</f>
        <v>0</v>
      </c>
      <c r="K698" s="5">
        <f>VLOOKUP(globalfreelancepreprocesseddata!A698,worksheet!A:P,14,FALSE)</f>
        <v>0</v>
      </c>
      <c r="L698" s="7">
        <f>VLOOKUP(globalfreelancepreprocesseddata!A698,worksheet!A:P,16,FALSE)</f>
        <v>0.9</v>
      </c>
    </row>
    <row r="699" spans="1:12" x14ac:dyDescent="0.35">
      <c r="A699" s="5" t="s">
        <v>1467</v>
      </c>
      <c r="B699" s="5" t="str">
        <f>VLOOKUP(globalfreelancepreprocesseddata!A699,worksheet!A:P,3,FALSE)</f>
        <v>Eric Walsh</v>
      </c>
      <c r="C699" s="5" t="str">
        <f>VLOOKUP(globalfreelancepreprocesseddata!A699,worksheet!A:P,5,FALSE)</f>
        <v>Male</v>
      </c>
      <c r="D699" s="5">
        <f>VLOOKUP(globalfreelancepreprocesseddata!A699,worksheet!A:P,6,FALSE)</f>
        <v>42</v>
      </c>
      <c r="E699" s="5" t="str">
        <f>VLOOKUP(globalfreelancepreprocesseddata!A699,worksheet!A:P,7,FALSE)</f>
        <v>South Korea</v>
      </c>
      <c r="F699" s="5" t="str">
        <f>VLOOKUP(globalfreelancepreprocesseddata!A699,worksheet!A:P,8,FALSE)</f>
        <v>Korean</v>
      </c>
      <c r="G699" s="5" t="str">
        <f>VLOOKUP(globalfreelancepreprocesseddata!A699,worksheet!A:P,9,FALSE)</f>
        <v>UI/UX Design</v>
      </c>
      <c r="H699" s="5">
        <f>VLOOKUP(globalfreelancepreprocesseddata!A699,worksheet!A:P,10,FALSE)</f>
        <v>11</v>
      </c>
      <c r="I699" s="6">
        <f>VLOOKUP(globalfreelancepreprocesseddata!A699,worksheet!A:P,12,FALSE)</f>
        <v>40</v>
      </c>
      <c r="J699" s="5">
        <f>VLOOKUP(globalfreelancepreprocesseddata!A699,worksheet!A:P,13,FALSE)</f>
        <v>3.9</v>
      </c>
      <c r="K699" s="5">
        <f>VLOOKUP(globalfreelancepreprocesseddata!A699,worksheet!A:P,14,FALSE)</f>
        <v>0</v>
      </c>
      <c r="L699" s="7">
        <f>VLOOKUP(globalfreelancepreprocesseddata!A699,worksheet!A:P,16,FALSE)</f>
        <v>0.62</v>
      </c>
    </row>
    <row r="700" spans="1:12" x14ac:dyDescent="0.35">
      <c r="A700" s="5" t="s">
        <v>1469</v>
      </c>
      <c r="B700" s="5" t="str">
        <f>VLOOKUP(globalfreelancepreprocesseddata!A700,worksheet!A:P,3,FALSE)</f>
        <v>Carol Schneider</v>
      </c>
      <c r="C700" s="5" t="str">
        <f>VLOOKUP(globalfreelancepreprocesseddata!A700,worksheet!A:P,5,FALSE)</f>
        <v>Female</v>
      </c>
      <c r="D700" s="5">
        <f>VLOOKUP(globalfreelancepreprocesseddata!A700,worksheet!A:P,6,FALSE)</f>
        <v>54</v>
      </c>
      <c r="E700" s="5" t="str">
        <f>VLOOKUP(globalfreelancepreprocesseddata!A700,worksheet!A:P,7,FALSE)</f>
        <v>United States</v>
      </c>
      <c r="F700" s="5" t="str">
        <f>VLOOKUP(globalfreelancepreprocesseddata!A700,worksheet!A:P,8,FALSE)</f>
        <v>English</v>
      </c>
      <c r="G700" s="5" t="str">
        <f>VLOOKUP(globalfreelancepreprocesseddata!A700,worksheet!A:P,9,FALSE)</f>
        <v>Machine Learning</v>
      </c>
      <c r="H700" s="5">
        <f>VLOOKUP(globalfreelancepreprocesseddata!A700,worksheet!A:P,10,FALSE)</f>
        <v>9</v>
      </c>
      <c r="I700" s="6">
        <f>VLOOKUP(globalfreelancepreprocesseddata!A700,worksheet!A:P,12,FALSE)</f>
        <v>100</v>
      </c>
      <c r="J700" s="5">
        <f>VLOOKUP(globalfreelancepreprocesseddata!A700,worksheet!A:P,13,FALSE)</f>
        <v>3</v>
      </c>
      <c r="K700" s="5">
        <f>VLOOKUP(globalfreelancepreprocesseddata!A700,worksheet!A:P,14,FALSE)</f>
        <v>0</v>
      </c>
      <c r="L700" s="7">
        <f>VLOOKUP(globalfreelancepreprocesseddata!A700,worksheet!A:P,16,FALSE)</f>
        <v>0.72</v>
      </c>
    </row>
    <row r="701" spans="1:12" x14ac:dyDescent="0.35">
      <c r="A701" s="5" t="s">
        <v>1471</v>
      </c>
      <c r="B701" s="5" t="str">
        <f>VLOOKUP(globalfreelancepreprocesseddata!A701,worksheet!A:P,3,FALSE)</f>
        <v>Juan Hines</v>
      </c>
      <c r="C701" s="5" t="str">
        <f>VLOOKUP(globalfreelancepreprocesseddata!A701,worksheet!A:P,5,FALSE)</f>
        <v>Male</v>
      </c>
      <c r="D701" s="5">
        <f>VLOOKUP(globalfreelancepreprocesseddata!A701,worksheet!A:P,6,FALSE)</f>
        <v>56</v>
      </c>
      <c r="E701" s="5" t="str">
        <f>VLOOKUP(globalfreelancepreprocesseddata!A701,worksheet!A:P,7,FALSE)</f>
        <v>China</v>
      </c>
      <c r="F701" s="5" t="str">
        <f>VLOOKUP(globalfreelancepreprocesseddata!A701,worksheet!A:P,8,FALSE)</f>
        <v>Mandarin</v>
      </c>
      <c r="G701" s="5" t="str">
        <f>VLOOKUP(globalfreelancepreprocesseddata!A701,worksheet!A:P,9,FALSE)</f>
        <v>UI/UX Design</v>
      </c>
      <c r="H701" s="5">
        <f>VLOOKUP(globalfreelancepreprocesseddata!A701,worksheet!A:P,10,FALSE)</f>
        <v>18</v>
      </c>
      <c r="I701" s="6" t="str">
        <f>VLOOKUP(globalfreelancepreprocesseddata!A701,worksheet!A:P,12,FALSE)</f>
        <v>$ 50</v>
      </c>
      <c r="J701" s="5">
        <f>VLOOKUP(globalfreelancepreprocesseddata!A701,worksheet!A:P,13,FALSE)</f>
        <v>4.4000000000000004</v>
      </c>
      <c r="K701" s="5">
        <f>VLOOKUP(globalfreelancepreprocesseddata!A701,worksheet!A:P,14,FALSE)</f>
        <v>1</v>
      </c>
      <c r="L701" s="7">
        <f>VLOOKUP(globalfreelancepreprocesseddata!A701,worksheet!A:P,16,FALSE)</f>
        <v>0.83</v>
      </c>
    </row>
    <row r="702" spans="1:12" x14ac:dyDescent="0.35">
      <c r="A702" s="5" t="s">
        <v>1473</v>
      </c>
      <c r="B702" s="5" t="str">
        <f>VLOOKUP(globalfreelancepreprocesseddata!A702,worksheet!A:P,3,FALSE)</f>
        <v>Martha Sweeney</v>
      </c>
      <c r="C702" s="5" t="str">
        <f>VLOOKUP(globalfreelancepreprocesseddata!A702,worksheet!A:P,5,FALSE)</f>
        <v>Female</v>
      </c>
      <c r="D702" s="5">
        <f>VLOOKUP(globalfreelancepreprocesseddata!A702,worksheet!A:P,6,FALSE)</f>
        <v>47</v>
      </c>
      <c r="E702" s="5" t="str">
        <f>VLOOKUP(globalfreelancepreprocesseddata!A702,worksheet!A:P,7,FALSE)</f>
        <v>Turkey</v>
      </c>
      <c r="F702" s="5" t="str">
        <f>VLOOKUP(globalfreelancepreprocesseddata!A702,worksheet!A:P,8,FALSE)</f>
        <v>Turkish</v>
      </c>
      <c r="G702" s="5" t="str">
        <f>VLOOKUP(globalfreelancepreprocesseddata!A702,worksheet!A:P,9,FALSE)</f>
        <v>Graphic Design</v>
      </c>
      <c r="H702" s="5">
        <f>VLOOKUP(globalfreelancepreprocesseddata!A702,worksheet!A:P,10,FALSE)</f>
        <v>22</v>
      </c>
      <c r="I702" s="6">
        <f>VLOOKUP(globalfreelancepreprocesseddata!A702,worksheet!A:P,12,FALSE)</f>
        <v>100</v>
      </c>
      <c r="J702" s="5">
        <f>VLOOKUP(globalfreelancepreprocesseddata!A702,worksheet!A:P,13,FALSE)</f>
        <v>4.4000000000000004</v>
      </c>
      <c r="K702" s="5">
        <f>VLOOKUP(globalfreelancepreprocesseddata!A702,worksheet!A:P,14,FALSE)</f>
        <v>1</v>
      </c>
      <c r="L702" s="7">
        <f>VLOOKUP(globalfreelancepreprocesseddata!A702,worksheet!A:P,16,FALSE)</f>
        <v>0.7</v>
      </c>
    </row>
    <row r="703" spans="1:12" x14ac:dyDescent="0.35">
      <c r="A703" s="5" t="s">
        <v>1475</v>
      </c>
      <c r="B703" s="5" t="str">
        <f>VLOOKUP(globalfreelancepreprocesseddata!A703,worksheet!A:P,3,FALSE)</f>
        <v>Jason Weaver</v>
      </c>
      <c r="C703" s="5" t="str">
        <f>VLOOKUP(globalfreelancepreprocesseddata!A703,worksheet!A:P,5,FALSE)</f>
        <v>Male</v>
      </c>
      <c r="D703" s="5">
        <f>VLOOKUP(globalfreelancepreprocesseddata!A703,worksheet!A:P,6,FALSE)</f>
        <v>45</v>
      </c>
      <c r="E703" s="5" t="str">
        <f>VLOOKUP(globalfreelancepreprocesseddata!A703,worksheet!A:P,7,FALSE)</f>
        <v>Russia</v>
      </c>
      <c r="F703" s="5" t="str">
        <f>VLOOKUP(globalfreelancepreprocesseddata!A703,worksheet!A:P,8,FALSE)</f>
        <v>Russian</v>
      </c>
      <c r="G703" s="5" t="str">
        <f>VLOOKUP(globalfreelancepreprocesseddata!A703,worksheet!A:P,9,FALSE)</f>
        <v>Blockchain Development</v>
      </c>
      <c r="H703" s="5">
        <f>VLOOKUP(globalfreelancepreprocesseddata!A703,worksheet!A:P,10,FALSE)</f>
        <v>25</v>
      </c>
      <c r="I703" s="6">
        <f>VLOOKUP(globalfreelancepreprocesseddata!A703,worksheet!A:P,12,FALSE)</f>
        <v>50</v>
      </c>
      <c r="J703" s="5">
        <f>VLOOKUP(globalfreelancepreprocesseddata!A703,worksheet!A:P,13,FALSE)</f>
        <v>0</v>
      </c>
      <c r="K703" s="5">
        <f>VLOOKUP(globalfreelancepreprocesseddata!A703,worksheet!A:P,14,FALSE)</f>
        <v>1</v>
      </c>
      <c r="L703" s="7">
        <f>VLOOKUP(globalfreelancepreprocesseddata!A703,worksheet!A:P,16,FALSE)</f>
        <v>0.99</v>
      </c>
    </row>
    <row r="704" spans="1:12" x14ac:dyDescent="0.35">
      <c r="A704" s="5" t="s">
        <v>1477</v>
      </c>
      <c r="B704" s="5" t="str">
        <f>VLOOKUP(globalfreelancepreprocesseddata!A704,worksheet!A:P,3,FALSE)</f>
        <v>Benjamin Stevens</v>
      </c>
      <c r="C704" s="5" t="str">
        <f>VLOOKUP(globalfreelancepreprocesseddata!A704,worksheet!A:P,5,FALSE)</f>
        <v>Male</v>
      </c>
      <c r="D704" s="5">
        <f>VLOOKUP(globalfreelancepreprocesseddata!A704,worksheet!A:P,6,FALSE)</f>
        <v>45</v>
      </c>
      <c r="E704" s="5" t="str">
        <f>VLOOKUP(globalfreelancepreprocesseddata!A704,worksheet!A:P,7,FALSE)</f>
        <v>China</v>
      </c>
      <c r="F704" s="5" t="str">
        <f>VLOOKUP(globalfreelancepreprocesseddata!A704,worksheet!A:P,8,FALSE)</f>
        <v>Mandarin</v>
      </c>
      <c r="G704" s="5" t="str">
        <f>VLOOKUP(globalfreelancepreprocesseddata!A704,worksheet!A:P,9,FALSE)</f>
        <v>Data Analysis</v>
      </c>
      <c r="H704" s="5">
        <f>VLOOKUP(globalfreelancepreprocesseddata!A704,worksheet!A:P,10,FALSE)</f>
        <v>6</v>
      </c>
      <c r="I704" s="6">
        <f>VLOOKUP(globalfreelancepreprocesseddata!A704,worksheet!A:P,12,FALSE)</f>
        <v>50</v>
      </c>
      <c r="J704" s="5">
        <f>VLOOKUP(globalfreelancepreprocesseddata!A704,worksheet!A:P,13,FALSE)</f>
        <v>1.4</v>
      </c>
      <c r="K704" s="5">
        <f>VLOOKUP(globalfreelancepreprocesseddata!A704,worksheet!A:P,14,FALSE)</f>
        <v>1</v>
      </c>
      <c r="L704" s="7">
        <f>VLOOKUP(globalfreelancepreprocesseddata!A704,worksheet!A:P,16,FALSE)</f>
        <v>0.97</v>
      </c>
    </row>
    <row r="705" spans="1:12" x14ac:dyDescent="0.35">
      <c r="A705" s="5" t="s">
        <v>1479</v>
      </c>
      <c r="B705" s="5" t="str">
        <f>VLOOKUP(globalfreelancepreprocesseddata!A705,worksheet!A:P,3,FALSE)</f>
        <v>Daniel Lopez</v>
      </c>
      <c r="C705" s="5" t="str">
        <f>VLOOKUP(globalfreelancepreprocesseddata!A705,worksheet!A:P,5,FALSE)</f>
        <v>Male</v>
      </c>
      <c r="D705" s="5">
        <f>VLOOKUP(globalfreelancepreprocesseddata!A705,worksheet!A:P,6,FALSE)</f>
        <v>35</v>
      </c>
      <c r="E705" s="5" t="str">
        <f>VLOOKUP(globalfreelancepreprocesseddata!A705,worksheet!A:P,7,FALSE)</f>
        <v>Canada</v>
      </c>
      <c r="F705" s="5" t="str">
        <f>VLOOKUP(globalfreelancepreprocesseddata!A705,worksheet!A:P,8,FALSE)</f>
        <v>English</v>
      </c>
      <c r="G705" s="5" t="str">
        <f>VLOOKUP(globalfreelancepreprocesseddata!A705,worksheet!A:P,9,FALSE)</f>
        <v>Machine Learning</v>
      </c>
      <c r="H705" s="5">
        <f>VLOOKUP(globalfreelancepreprocesseddata!A705,worksheet!A:P,10,FALSE)</f>
        <v>10</v>
      </c>
      <c r="I705" s="6">
        <f>VLOOKUP(globalfreelancepreprocesseddata!A705,worksheet!A:P,12,FALSE)</f>
        <v>20</v>
      </c>
      <c r="J705" s="5">
        <f>VLOOKUP(globalfreelancepreprocesseddata!A705,worksheet!A:P,13,FALSE)</f>
        <v>3.2</v>
      </c>
      <c r="K705" s="5">
        <f>VLOOKUP(globalfreelancepreprocesseddata!A705,worksheet!A:P,14,FALSE)</f>
        <v>1</v>
      </c>
      <c r="L705" s="7">
        <f>VLOOKUP(globalfreelancepreprocesseddata!A705,worksheet!A:P,16,FALSE)</f>
        <v>0.77</v>
      </c>
    </row>
    <row r="706" spans="1:12" x14ac:dyDescent="0.35">
      <c r="A706" s="5" t="s">
        <v>1481</v>
      </c>
      <c r="B706" s="5" t="str">
        <f>VLOOKUP(globalfreelancepreprocesseddata!A706,worksheet!A:P,3,FALSE)</f>
        <v>John Simpson</v>
      </c>
      <c r="C706" s="5" t="str">
        <f>VLOOKUP(globalfreelancepreprocesseddata!A706,worksheet!A:P,5,FALSE)</f>
        <v>Male</v>
      </c>
      <c r="D706" s="5">
        <f>VLOOKUP(globalfreelancepreprocesseddata!A706,worksheet!A:P,6,FALSE)</f>
        <v>51</v>
      </c>
      <c r="E706" s="5" t="str">
        <f>VLOOKUP(globalfreelancepreprocesseddata!A706,worksheet!A:P,7,FALSE)</f>
        <v>Canada</v>
      </c>
      <c r="F706" s="5" t="str">
        <f>VLOOKUP(globalfreelancepreprocesseddata!A706,worksheet!A:P,8,FALSE)</f>
        <v>English</v>
      </c>
      <c r="G706" s="5" t="str">
        <f>VLOOKUP(globalfreelancepreprocesseddata!A706,worksheet!A:P,9,FALSE)</f>
        <v>DevOps</v>
      </c>
      <c r="H706" s="5">
        <f>VLOOKUP(globalfreelancepreprocesseddata!A706,worksheet!A:P,10,FALSE)</f>
        <v>4</v>
      </c>
      <c r="I706" s="6" t="str">
        <f>VLOOKUP(globalfreelancepreprocesseddata!A706,worksheet!A:P,12,FALSE)</f>
        <v>$ 50</v>
      </c>
      <c r="J706" s="5">
        <f>VLOOKUP(globalfreelancepreprocesseddata!A706,worksheet!A:P,13,FALSE)</f>
        <v>2</v>
      </c>
      <c r="K706" s="5">
        <f>VLOOKUP(globalfreelancepreprocesseddata!A706,worksheet!A:P,14,FALSE)</f>
        <v>1</v>
      </c>
      <c r="L706" s="7">
        <f>VLOOKUP(globalfreelancepreprocesseddata!A706,worksheet!A:P,16,FALSE)</f>
        <v>0.92</v>
      </c>
    </row>
    <row r="707" spans="1:12" x14ac:dyDescent="0.35">
      <c r="A707" s="5" t="s">
        <v>1483</v>
      </c>
      <c r="B707" s="5" t="str">
        <f>VLOOKUP(globalfreelancepreprocesseddata!A707,worksheet!A:P,3,FALSE)</f>
        <v>Katrina Schultz</v>
      </c>
      <c r="C707" s="5" t="str">
        <f>VLOOKUP(globalfreelancepreprocesseddata!A707,worksheet!A:P,5,FALSE)</f>
        <v>Female</v>
      </c>
      <c r="D707" s="5">
        <f>VLOOKUP(globalfreelancepreprocesseddata!A707,worksheet!A:P,6,FALSE)</f>
        <v>34</v>
      </c>
      <c r="E707" s="5" t="str">
        <f>VLOOKUP(globalfreelancepreprocesseddata!A707,worksheet!A:P,7,FALSE)</f>
        <v>Spain</v>
      </c>
      <c r="F707" s="5" t="str">
        <f>VLOOKUP(globalfreelancepreprocesseddata!A707,worksheet!A:P,8,FALSE)</f>
        <v>Spanish</v>
      </c>
      <c r="G707" s="5" t="str">
        <f>VLOOKUP(globalfreelancepreprocesseddata!A707,worksheet!A:P,9,FALSE)</f>
        <v>Mobile Apps</v>
      </c>
      <c r="H707" s="5">
        <f>VLOOKUP(globalfreelancepreprocesseddata!A707,worksheet!A:P,10,FALSE)</f>
        <v>11</v>
      </c>
      <c r="I707" s="6">
        <f>VLOOKUP(globalfreelancepreprocesseddata!A707,worksheet!A:P,12,FALSE)</f>
        <v>50</v>
      </c>
      <c r="J707" s="5">
        <f>VLOOKUP(globalfreelancepreprocesseddata!A707,worksheet!A:P,13,FALSE)</f>
        <v>3.3</v>
      </c>
      <c r="K707" s="5">
        <f>VLOOKUP(globalfreelancepreprocesseddata!A707,worksheet!A:P,14,FALSE)</f>
        <v>1</v>
      </c>
      <c r="L707" s="7">
        <f>VLOOKUP(globalfreelancepreprocesseddata!A707,worksheet!A:P,16,FALSE)</f>
        <v>0.76</v>
      </c>
    </row>
    <row r="708" spans="1:12" x14ac:dyDescent="0.35">
      <c r="A708" s="5" t="s">
        <v>1485</v>
      </c>
      <c r="B708" s="5" t="str">
        <f>VLOOKUP(globalfreelancepreprocesseddata!A708,worksheet!A:P,3,FALSE)</f>
        <v>Danielle Bell</v>
      </c>
      <c r="C708" s="5" t="str">
        <f>VLOOKUP(globalfreelancepreprocesseddata!A708,worksheet!A:P,5,FALSE)</f>
        <v>Female</v>
      </c>
      <c r="D708" s="5">
        <f>VLOOKUP(globalfreelancepreprocesseddata!A708,worksheet!A:P,6,FALSE)</f>
        <v>51</v>
      </c>
      <c r="E708" s="5" t="str">
        <f>VLOOKUP(globalfreelancepreprocesseddata!A708,worksheet!A:P,7,FALSE)</f>
        <v>Indonesia</v>
      </c>
      <c r="F708" s="5" t="str">
        <f>VLOOKUP(globalfreelancepreprocesseddata!A708,worksheet!A:P,8,FALSE)</f>
        <v>Indonesian</v>
      </c>
      <c r="G708" s="5" t="str">
        <f>VLOOKUP(globalfreelancepreprocesseddata!A708,worksheet!A:P,9,FALSE)</f>
        <v>Graphic Design</v>
      </c>
      <c r="H708" s="5">
        <f>VLOOKUP(globalfreelancepreprocesseddata!A708,worksheet!A:P,10,FALSE)</f>
        <v>1</v>
      </c>
      <c r="I708" s="6">
        <f>VLOOKUP(globalfreelancepreprocesseddata!A708,worksheet!A:P,12,FALSE)</f>
        <v>50</v>
      </c>
      <c r="J708" s="5">
        <f>VLOOKUP(globalfreelancepreprocesseddata!A708,worksheet!A:P,13,FALSE)</f>
        <v>0</v>
      </c>
      <c r="K708" s="5">
        <f>VLOOKUP(globalfreelancepreprocesseddata!A708,worksheet!A:P,14,FALSE)</f>
        <v>1</v>
      </c>
      <c r="L708" s="7">
        <f>VLOOKUP(globalfreelancepreprocesseddata!A708,worksheet!A:P,16,FALSE)</f>
        <v>0.97</v>
      </c>
    </row>
    <row r="709" spans="1:12" x14ac:dyDescent="0.35">
      <c r="A709" s="5" t="s">
        <v>1487</v>
      </c>
      <c r="B709" s="5" t="str">
        <f>VLOOKUP(globalfreelancepreprocesseddata!A709,worksheet!A:P,3,FALSE)</f>
        <v>Jason Brady</v>
      </c>
      <c r="C709" s="5" t="str">
        <f>VLOOKUP(globalfreelancepreprocesseddata!A709,worksheet!A:P,5,FALSE)</f>
        <v>Male</v>
      </c>
      <c r="D709" s="5">
        <f>VLOOKUP(globalfreelancepreprocesseddata!A709,worksheet!A:P,6,FALSE)</f>
        <v>58</v>
      </c>
      <c r="E709" s="5" t="str">
        <f>VLOOKUP(globalfreelancepreprocesseddata!A709,worksheet!A:P,7,FALSE)</f>
        <v>Egypt</v>
      </c>
      <c r="F709" s="5" t="str">
        <f>VLOOKUP(globalfreelancepreprocesseddata!A709,worksheet!A:P,8,FALSE)</f>
        <v>Arabic</v>
      </c>
      <c r="G709" s="5" t="str">
        <f>VLOOKUP(globalfreelancepreprocesseddata!A709,worksheet!A:P,9,FALSE)</f>
        <v>Graphic Design</v>
      </c>
      <c r="H709" s="5">
        <f>VLOOKUP(globalfreelancepreprocesseddata!A709,worksheet!A:P,10,FALSE)</f>
        <v>35</v>
      </c>
      <c r="I709" s="6" t="str">
        <f>VLOOKUP(globalfreelancepreprocesseddata!A709,worksheet!A:P,12,FALSE)</f>
        <v>$ 100</v>
      </c>
      <c r="J709" s="5">
        <f>VLOOKUP(globalfreelancepreprocesseddata!A709,worksheet!A:P,13,FALSE)</f>
        <v>2.2999999999999998</v>
      </c>
      <c r="K709" s="5">
        <f>VLOOKUP(globalfreelancepreprocesseddata!A709,worksheet!A:P,14,FALSE)</f>
        <v>1</v>
      </c>
      <c r="L709" s="7">
        <f>VLOOKUP(globalfreelancepreprocesseddata!A709,worksheet!A:P,16,FALSE)</f>
        <v>0.16</v>
      </c>
    </row>
    <row r="710" spans="1:12" x14ac:dyDescent="0.35">
      <c r="A710" s="5" t="s">
        <v>1489</v>
      </c>
      <c r="B710" s="5" t="str">
        <f>VLOOKUP(globalfreelancepreprocesseddata!A710,worksheet!A:P,3,FALSE)</f>
        <v>Megan Bright</v>
      </c>
      <c r="C710" s="5" t="str">
        <f>VLOOKUP(globalfreelancepreprocesseddata!A710,worksheet!A:P,5,FALSE)</f>
        <v>Female</v>
      </c>
      <c r="D710" s="5">
        <f>VLOOKUP(globalfreelancepreprocesseddata!A710,worksheet!A:P,6,FALSE)</f>
        <v>36</v>
      </c>
      <c r="E710" s="5" t="str">
        <f>VLOOKUP(globalfreelancepreprocesseddata!A710,worksheet!A:P,7,FALSE)</f>
        <v>Netherlands</v>
      </c>
      <c r="F710" s="5" t="str">
        <f>VLOOKUP(globalfreelancepreprocesseddata!A710,worksheet!A:P,8,FALSE)</f>
        <v>Dutch</v>
      </c>
      <c r="G710" s="5" t="str">
        <f>VLOOKUP(globalfreelancepreprocesseddata!A710,worksheet!A:P,9,FALSE)</f>
        <v>Web Development</v>
      </c>
      <c r="H710" s="5">
        <f>VLOOKUP(globalfreelancepreprocesseddata!A710,worksheet!A:P,10,FALSE)</f>
        <v>17</v>
      </c>
      <c r="I710" s="6">
        <f>VLOOKUP(globalfreelancepreprocesseddata!A710,worksheet!A:P,12,FALSE)</f>
        <v>20</v>
      </c>
      <c r="J710" s="5">
        <f>VLOOKUP(globalfreelancepreprocesseddata!A710,worksheet!A:P,13,FALSE)</f>
        <v>0</v>
      </c>
      <c r="K710" s="5">
        <f>VLOOKUP(globalfreelancepreprocesseddata!A710,worksheet!A:P,14,FALSE)</f>
        <v>1</v>
      </c>
      <c r="L710" s="7">
        <f>VLOOKUP(globalfreelancepreprocesseddata!A710,worksheet!A:P,16,FALSE)</f>
        <v>0.99</v>
      </c>
    </row>
    <row r="711" spans="1:12" x14ac:dyDescent="0.35">
      <c r="A711" s="5" t="s">
        <v>1491</v>
      </c>
      <c r="B711" s="5" t="str">
        <f>VLOOKUP(globalfreelancepreprocesseddata!A711,worksheet!A:P,3,FALSE)</f>
        <v>David Griffin</v>
      </c>
      <c r="C711" s="5" t="str">
        <f>VLOOKUP(globalfreelancepreprocesseddata!A711,worksheet!A:P,5,FALSE)</f>
        <v>Male</v>
      </c>
      <c r="D711" s="5">
        <f>VLOOKUP(globalfreelancepreprocesseddata!A711,worksheet!A:P,6,FALSE)</f>
        <v>41</v>
      </c>
      <c r="E711" s="5" t="str">
        <f>VLOOKUP(globalfreelancepreprocesseddata!A711,worksheet!A:P,7,FALSE)</f>
        <v>Russia</v>
      </c>
      <c r="F711" s="5" t="str">
        <f>VLOOKUP(globalfreelancepreprocesseddata!A711,worksheet!A:P,8,FALSE)</f>
        <v>Russian</v>
      </c>
      <c r="G711" s="5" t="str">
        <f>VLOOKUP(globalfreelancepreprocesseddata!A711,worksheet!A:P,9,FALSE)</f>
        <v>AI</v>
      </c>
      <c r="H711" s="5">
        <f>VLOOKUP(globalfreelancepreprocesseddata!A711,worksheet!A:P,10,FALSE)</f>
        <v>12</v>
      </c>
      <c r="I711" s="6">
        <f>VLOOKUP(globalfreelancepreprocesseddata!A711,worksheet!A:P,12,FALSE)</f>
        <v>30</v>
      </c>
      <c r="J711" s="5">
        <f>VLOOKUP(globalfreelancepreprocesseddata!A711,worksheet!A:P,13,FALSE)</f>
        <v>2.6</v>
      </c>
      <c r="K711" s="5">
        <f>VLOOKUP(globalfreelancepreprocesseddata!A711,worksheet!A:P,14,FALSE)</f>
        <v>1</v>
      </c>
      <c r="L711" s="7">
        <f>VLOOKUP(globalfreelancepreprocesseddata!A711,worksheet!A:P,16,FALSE)</f>
        <v>0.16</v>
      </c>
    </row>
    <row r="712" spans="1:12" x14ac:dyDescent="0.35">
      <c r="A712" s="5" t="s">
        <v>1493</v>
      </c>
      <c r="B712" s="5" t="str">
        <f>VLOOKUP(globalfreelancepreprocesseddata!A712,worksheet!A:P,3,FALSE)</f>
        <v>Michael Clark</v>
      </c>
      <c r="C712" s="5" t="str">
        <f>VLOOKUP(globalfreelancepreprocesseddata!A712,worksheet!A:P,5,FALSE)</f>
        <v>Male</v>
      </c>
      <c r="D712" s="5">
        <f>VLOOKUP(globalfreelancepreprocesseddata!A712,worksheet!A:P,6,FALSE)</f>
        <v>56</v>
      </c>
      <c r="E712" s="5" t="str">
        <f>VLOOKUP(globalfreelancepreprocesseddata!A712,worksheet!A:P,7,FALSE)</f>
        <v>South Africa</v>
      </c>
      <c r="F712" s="5" t="str">
        <f>VLOOKUP(globalfreelancepreprocesseddata!A712,worksheet!A:P,8,FALSE)</f>
        <v>Afrikaans</v>
      </c>
      <c r="G712" s="5" t="str">
        <f>VLOOKUP(globalfreelancepreprocesseddata!A712,worksheet!A:P,9,FALSE)</f>
        <v>Machine Learning</v>
      </c>
      <c r="H712" s="5">
        <f>VLOOKUP(globalfreelancepreprocesseddata!A712,worksheet!A:P,10,FALSE)</f>
        <v>30</v>
      </c>
      <c r="I712" s="6">
        <f>VLOOKUP(globalfreelancepreprocesseddata!A712,worksheet!A:P,12,FALSE)</f>
        <v>40</v>
      </c>
      <c r="J712" s="5">
        <f>VLOOKUP(globalfreelancepreprocesseddata!A712,worksheet!A:P,13,FALSE)</f>
        <v>3.3</v>
      </c>
      <c r="K712" s="5">
        <f>VLOOKUP(globalfreelancepreprocesseddata!A712,worksheet!A:P,14,FALSE)</f>
        <v>1</v>
      </c>
      <c r="L712" s="7">
        <f>VLOOKUP(globalfreelancepreprocesseddata!A712,worksheet!A:P,16,FALSE)</f>
        <v>0.82</v>
      </c>
    </row>
    <row r="713" spans="1:12" x14ac:dyDescent="0.35">
      <c r="A713" s="5" t="s">
        <v>1495</v>
      </c>
      <c r="B713" s="5" t="str">
        <f>VLOOKUP(globalfreelancepreprocesseddata!A713,worksheet!A:P,3,FALSE)</f>
        <v>Rebecca Barker</v>
      </c>
      <c r="C713" s="5" t="str">
        <f>VLOOKUP(globalfreelancepreprocesseddata!A713,worksheet!A:P,5,FALSE)</f>
        <v>Female</v>
      </c>
      <c r="D713" s="5">
        <f>VLOOKUP(globalfreelancepreprocesseddata!A713,worksheet!A:P,6,FALSE)</f>
        <v>58</v>
      </c>
      <c r="E713" s="5" t="str">
        <f>VLOOKUP(globalfreelancepreprocesseddata!A713,worksheet!A:P,7,FALSE)</f>
        <v>Canada</v>
      </c>
      <c r="F713" s="5" t="str">
        <f>VLOOKUP(globalfreelancepreprocesseddata!A713,worksheet!A:P,8,FALSE)</f>
        <v>English</v>
      </c>
      <c r="G713" s="5" t="str">
        <f>VLOOKUP(globalfreelancepreprocesseddata!A713,worksheet!A:P,9,FALSE)</f>
        <v>Cybersecurity</v>
      </c>
      <c r="H713" s="5">
        <f>VLOOKUP(globalfreelancepreprocesseddata!A713,worksheet!A:P,10,FALSE)</f>
        <v>20</v>
      </c>
      <c r="I713" s="6">
        <f>VLOOKUP(globalfreelancepreprocesseddata!A713,worksheet!A:P,12,FALSE)</f>
        <v>75</v>
      </c>
      <c r="J713" s="5">
        <f>VLOOKUP(globalfreelancepreprocesseddata!A713,worksheet!A:P,13,FALSE)</f>
        <v>3.6</v>
      </c>
      <c r="K713" s="5">
        <f>VLOOKUP(globalfreelancepreprocesseddata!A713,worksheet!A:P,14,FALSE)</f>
        <v>1</v>
      </c>
      <c r="L713" s="7">
        <f>VLOOKUP(globalfreelancepreprocesseddata!A713,worksheet!A:P,16,FALSE)</f>
        <v>0.78</v>
      </c>
    </row>
    <row r="714" spans="1:12" x14ac:dyDescent="0.35">
      <c r="A714" s="5" t="s">
        <v>1497</v>
      </c>
      <c r="B714" s="5" t="str">
        <f>VLOOKUP(globalfreelancepreprocesseddata!A714,worksheet!A:P,3,FALSE)</f>
        <v>Angela Smith</v>
      </c>
      <c r="C714" s="5" t="str">
        <f>VLOOKUP(globalfreelancepreprocesseddata!A714,worksheet!A:P,5,FALSE)</f>
        <v>Female</v>
      </c>
      <c r="D714" s="5">
        <f>VLOOKUP(globalfreelancepreprocesseddata!A714,worksheet!A:P,6,FALSE)</f>
        <v>58</v>
      </c>
      <c r="E714" s="5" t="str">
        <f>VLOOKUP(globalfreelancepreprocesseddata!A714,worksheet!A:P,7,FALSE)</f>
        <v>United States</v>
      </c>
      <c r="F714" s="5" t="str">
        <f>VLOOKUP(globalfreelancepreprocesseddata!A714,worksheet!A:P,8,FALSE)</f>
        <v>English</v>
      </c>
      <c r="G714" s="5" t="str">
        <f>VLOOKUP(globalfreelancepreprocesseddata!A714,worksheet!A:P,9,FALSE)</f>
        <v>Cybersecurity</v>
      </c>
      <c r="H714" s="5">
        <f>VLOOKUP(globalfreelancepreprocesseddata!A714,worksheet!A:P,10,FALSE)</f>
        <v>22</v>
      </c>
      <c r="I714" s="6">
        <f>VLOOKUP(globalfreelancepreprocesseddata!A714,worksheet!A:P,12,FALSE)</f>
        <v>100</v>
      </c>
      <c r="J714" s="5">
        <f>VLOOKUP(globalfreelancepreprocesseddata!A714,worksheet!A:P,13,FALSE)</f>
        <v>3.7</v>
      </c>
      <c r="K714" s="5">
        <f>VLOOKUP(globalfreelancepreprocesseddata!A714,worksheet!A:P,14,FALSE)</f>
        <v>0</v>
      </c>
      <c r="L714" s="7">
        <f>VLOOKUP(globalfreelancepreprocesseddata!A714,worksheet!A:P,16,FALSE)</f>
        <v>0.16</v>
      </c>
    </row>
    <row r="715" spans="1:12" x14ac:dyDescent="0.35">
      <c r="A715" s="5" t="s">
        <v>1499</v>
      </c>
      <c r="B715" s="5" t="str">
        <f>VLOOKUP(globalfreelancepreprocesseddata!A715,worksheet!A:P,3,FALSE)</f>
        <v>Christina Wright</v>
      </c>
      <c r="C715" s="5" t="str">
        <f>VLOOKUP(globalfreelancepreprocesseddata!A715,worksheet!A:P,5,FALSE)</f>
        <v>Female</v>
      </c>
      <c r="D715" s="5">
        <f>VLOOKUP(globalfreelancepreprocesseddata!A715,worksheet!A:P,6,FALSE)</f>
        <v>54</v>
      </c>
      <c r="E715" s="5" t="str">
        <f>VLOOKUP(globalfreelancepreprocesseddata!A715,worksheet!A:P,7,FALSE)</f>
        <v>United Kingdom</v>
      </c>
      <c r="F715" s="5" t="str">
        <f>VLOOKUP(globalfreelancepreprocesseddata!A715,worksheet!A:P,8,FALSE)</f>
        <v>English</v>
      </c>
      <c r="G715" s="5" t="str">
        <f>VLOOKUP(globalfreelancepreprocesseddata!A715,worksheet!A:P,9,FALSE)</f>
        <v>AI</v>
      </c>
      <c r="H715" s="5">
        <f>VLOOKUP(globalfreelancepreprocesseddata!A715,worksheet!A:P,10,FALSE)</f>
        <v>32</v>
      </c>
      <c r="I715" s="6">
        <f>VLOOKUP(globalfreelancepreprocesseddata!A715,worksheet!A:P,12,FALSE)</f>
        <v>20</v>
      </c>
      <c r="J715" s="5">
        <f>VLOOKUP(globalfreelancepreprocesseddata!A715,worksheet!A:P,13,FALSE)</f>
        <v>3.4</v>
      </c>
      <c r="K715" s="5">
        <f>VLOOKUP(globalfreelancepreprocesseddata!A715,worksheet!A:P,14,FALSE)</f>
        <v>1</v>
      </c>
      <c r="L715" s="7">
        <f>VLOOKUP(globalfreelancepreprocesseddata!A715,worksheet!A:P,16,FALSE)</f>
        <v>0.16</v>
      </c>
    </row>
    <row r="716" spans="1:12" x14ac:dyDescent="0.35">
      <c r="A716" s="5" t="s">
        <v>1501</v>
      </c>
      <c r="B716" s="5" t="str">
        <f>VLOOKUP(globalfreelancepreprocesseddata!A716,worksheet!A:P,3,FALSE)</f>
        <v>Todd Turner</v>
      </c>
      <c r="C716" s="5" t="str">
        <f>VLOOKUP(globalfreelancepreprocesseddata!A716,worksheet!A:P,5,FALSE)</f>
        <v>Male</v>
      </c>
      <c r="D716" s="5">
        <f>VLOOKUP(globalfreelancepreprocesseddata!A716,worksheet!A:P,6,FALSE)</f>
        <v>53</v>
      </c>
      <c r="E716" s="5" t="str">
        <f>VLOOKUP(globalfreelancepreprocesseddata!A716,worksheet!A:P,7,FALSE)</f>
        <v>Australia</v>
      </c>
      <c r="F716" s="5" t="str">
        <f>VLOOKUP(globalfreelancepreprocesseddata!A716,worksheet!A:P,8,FALSE)</f>
        <v>English</v>
      </c>
      <c r="G716" s="5" t="str">
        <f>VLOOKUP(globalfreelancepreprocesseddata!A716,worksheet!A:P,9,FALSE)</f>
        <v>UI/UX Design</v>
      </c>
      <c r="H716" s="5">
        <f>VLOOKUP(globalfreelancepreprocesseddata!A716,worksheet!A:P,10,FALSE)</f>
        <v>9</v>
      </c>
      <c r="I716" s="6">
        <f>VLOOKUP(globalfreelancepreprocesseddata!A716,worksheet!A:P,12,FALSE)</f>
        <v>50</v>
      </c>
      <c r="J716" s="5">
        <f>VLOOKUP(globalfreelancepreprocesseddata!A716,worksheet!A:P,13,FALSE)</f>
        <v>4</v>
      </c>
      <c r="K716" s="5">
        <f>VLOOKUP(globalfreelancepreprocesseddata!A716,worksheet!A:P,14,FALSE)</f>
        <v>1</v>
      </c>
      <c r="L716" s="7">
        <f>VLOOKUP(globalfreelancepreprocesseddata!A716,worksheet!A:P,16,FALSE)</f>
        <v>0.72</v>
      </c>
    </row>
    <row r="717" spans="1:12" x14ac:dyDescent="0.35">
      <c r="A717" s="5" t="s">
        <v>1503</v>
      </c>
      <c r="B717" s="5" t="str">
        <f>VLOOKUP(globalfreelancepreprocesseddata!A717,worksheet!A:P,3,FALSE)</f>
        <v>Elizabeth Green</v>
      </c>
      <c r="C717" s="5" t="str">
        <f>VLOOKUP(globalfreelancepreprocesseddata!A717,worksheet!A:P,5,FALSE)</f>
        <v>Female</v>
      </c>
      <c r="D717" s="5">
        <f>VLOOKUP(globalfreelancepreprocesseddata!A717,worksheet!A:P,6,FALSE)</f>
        <v>43</v>
      </c>
      <c r="E717" s="5" t="str">
        <f>VLOOKUP(globalfreelancepreprocesseddata!A717,worksheet!A:P,7,FALSE)</f>
        <v>Australia</v>
      </c>
      <c r="F717" s="5" t="str">
        <f>VLOOKUP(globalfreelancepreprocesseddata!A717,worksheet!A:P,8,FALSE)</f>
        <v>English</v>
      </c>
      <c r="G717" s="5" t="str">
        <f>VLOOKUP(globalfreelancepreprocesseddata!A717,worksheet!A:P,9,FALSE)</f>
        <v>Web Development</v>
      </c>
      <c r="H717" s="5">
        <f>VLOOKUP(globalfreelancepreprocesseddata!A717,worksheet!A:P,10,FALSE)</f>
        <v>22</v>
      </c>
      <c r="I717" s="6">
        <f>VLOOKUP(globalfreelancepreprocesseddata!A717,worksheet!A:P,12,FALSE)</f>
        <v>40</v>
      </c>
      <c r="J717" s="5">
        <f>VLOOKUP(globalfreelancepreprocesseddata!A717,worksheet!A:P,13,FALSE)</f>
        <v>4.5</v>
      </c>
      <c r="K717" s="5">
        <f>VLOOKUP(globalfreelancepreprocesseddata!A717,worksheet!A:P,14,FALSE)</f>
        <v>1</v>
      </c>
      <c r="L717" s="7">
        <f>VLOOKUP(globalfreelancepreprocesseddata!A717,worksheet!A:P,16,FALSE)</f>
        <v>0.16</v>
      </c>
    </row>
    <row r="718" spans="1:12" x14ac:dyDescent="0.35">
      <c r="A718" s="5" t="s">
        <v>1505</v>
      </c>
      <c r="B718" s="5" t="str">
        <f>VLOOKUP(globalfreelancepreprocesseddata!A718,worksheet!A:P,3,FALSE)</f>
        <v>Alex Smith</v>
      </c>
      <c r="C718" s="5" t="str">
        <f>VLOOKUP(globalfreelancepreprocesseddata!A718,worksheet!A:P,5,FALSE)</f>
        <v>Male</v>
      </c>
      <c r="D718" s="5">
        <f>VLOOKUP(globalfreelancepreprocesseddata!A718,worksheet!A:P,6,FALSE)</f>
        <v>44</v>
      </c>
      <c r="E718" s="5" t="str">
        <f>VLOOKUP(globalfreelancepreprocesseddata!A718,worksheet!A:P,7,FALSE)</f>
        <v>South Korea</v>
      </c>
      <c r="F718" s="5" t="str">
        <f>VLOOKUP(globalfreelancepreprocesseddata!A718,worksheet!A:P,8,FALSE)</f>
        <v>Korean</v>
      </c>
      <c r="G718" s="5" t="str">
        <f>VLOOKUP(globalfreelancepreprocesseddata!A718,worksheet!A:P,9,FALSE)</f>
        <v>Machine Learning</v>
      </c>
      <c r="H718" s="5">
        <f>VLOOKUP(globalfreelancepreprocesseddata!A718,worksheet!A:P,10,FALSE)</f>
        <v>1</v>
      </c>
      <c r="I718" s="6">
        <f>VLOOKUP(globalfreelancepreprocesseddata!A718,worksheet!A:P,12,FALSE)</f>
        <v>75</v>
      </c>
      <c r="J718" s="5">
        <f>VLOOKUP(globalfreelancepreprocesseddata!A718,worksheet!A:P,13,FALSE)</f>
        <v>4.3</v>
      </c>
      <c r="K718" s="5">
        <f>VLOOKUP(globalfreelancepreprocesseddata!A718,worksheet!A:P,14,FALSE)</f>
        <v>1</v>
      </c>
      <c r="L718" s="7">
        <f>VLOOKUP(globalfreelancepreprocesseddata!A718,worksheet!A:P,16,FALSE)</f>
        <v>0.16</v>
      </c>
    </row>
    <row r="719" spans="1:12" x14ac:dyDescent="0.35">
      <c r="A719" s="5" t="s">
        <v>1507</v>
      </c>
      <c r="B719" s="5" t="str">
        <f>VLOOKUP(globalfreelancepreprocesseddata!A719,worksheet!A:P,3,FALSE)</f>
        <v>Shane Hale</v>
      </c>
      <c r="C719" s="5" t="str">
        <f>VLOOKUP(globalfreelancepreprocesseddata!A719,worksheet!A:P,5,FALSE)</f>
        <v>Male</v>
      </c>
      <c r="D719" s="5">
        <f>VLOOKUP(globalfreelancepreprocesseddata!A719,worksheet!A:P,6,FALSE)</f>
        <v>34</v>
      </c>
      <c r="E719" s="5" t="str">
        <f>VLOOKUP(globalfreelancepreprocesseddata!A719,worksheet!A:P,7,FALSE)</f>
        <v>Canada</v>
      </c>
      <c r="F719" s="5" t="str">
        <f>VLOOKUP(globalfreelancepreprocesseddata!A719,worksheet!A:P,8,FALSE)</f>
        <v>English</v>
      </c>
      <c r="G719" s="5" t="str">
        <f>VLOOKUP(globalfreelancepreprocesseddata!A719,worksheet!A:P,9,FALSE)</f>
        <v>Cybersecurity</v>
      </c>
      <c r="H719" s="5">
        <f>VLOOKUP(globalfreelancepreprocesseddata!A719,worksheet!A:P,10,FALSE)</f>
        <v>4</v>
      </c>
      <c r="I719" s="6">
        <f>VLOOKUP(globalfreelancepreprocesseddata!A719,worksheet!A:P,12,FALSE)</f>
        <v>75</v>
      </c>
      <c r="J719" s="5">
        <f>VLOOKUP(globalfreelancepreprocesseddata!A719,worksheet!A:P,13,FALSE)</f>
        <v>4</v>
      </c>
      <c r="K719" s="5">
        <f>VLOOKUP(globalfreelancepreprocesseddata!A719,worksheet!A:P,14,FALSE)</f>
        <v>1</v>
      </c>
      <c r="L719" s="7">
        <f>VLOOKUP(globalfreelancepreprocesseddata!A719,worksheet!A:P,16,FALSE)</f>
        <v>0.16</v>
      </c>
    </row>
    <row r="720" spans="1:12" x14ac:dyDescent="0.35">
      <c r="A720" s="5" t="s">
        <v>1509</v>
      </c>
      <c r="B720" s="5" t="str">
        <f>VLOOKUP(globalfreelancepreprocesseddata!A720,worksheet!A:P,3,FALSE)</f>
        <v>Kathy Grimes</v>
      </c>
      <c r="C720" s="5" t="str">
        <f>VLOOKUP(globalfreelancepreprocesseddata!A720,worksheet!A:P,5,FALSE)</f>
        <v>Female</v>
      </c>
      <c r="D720" s="5">
        <f>VLOOKUP(globalfreelancepreprocesseddata!A720,worksheet!A:P,6,FALSE)</f>
        <v>27</v>
      </c>
      <c r="E720" s="5" t="str">
        <f>VLOOKUP(globalfreelancepreprocesseddata!A720,worksheet!A:P,7,FALSE)</f>
        <v>Brazil</v>
      </c>
      <c r="F720" s="5" t="str">
        <f>VLOOKUP(globalfreelancepreprocesseddata!A720,worksheet!A:P,8,FALSE)</f>
        <v>Portuguese</v>
      </c>
      <c r="G720" s="5" t="str">
        <f>VLOOKUP(globalfreelancepreprocesseddata!A720,worksheet!A:P,9,FALSE)</f>
        <v>Mobile Apps</v>
      </c>
      <c r="H720" s="5">
        <f>VLOOKUP(globalfreelancepreprocesseddata!A720,worksheet!A:P,10,FALSE)</f>
        <v>8</v>
      </c>
      <c r="I720" s="6">
        <f>VLOOKUP(globalfreelancepreprocesseddata!A720,worksheet!A:P,12,FALSE)</f>
        <v>50</v>
      </c>
      <c r="J720" s="5">
        <f>VLOOKUP(globalfreelancepreprocesseddata!A720,worksheet!A:P,13,FALSE)</f>
        <v>1.6</v>
      </c>
      <c r="K720" s="5">
        <f>VLOOKUP(globalfreelancepreprocesseddata!A720,worksheet!A:P,14,FALSE)</f>
        <v>1</v>
      </c>
      <c r="L720" s="7">
        <f>VLOOKUP(globalfreelancepreprocesseddata!A720,worksheet!A:P,16,FALSE)</f>
        <v>0.16</v>
      </c>
    </row>
    <row r="721" spans="1:12" x14ac:dyDescent="0.35">
      <c r="A721" s="5" t="s">
        <v>1511</v>
      </c>
      <c r="B721" s="5" t="str">
        <f>VLOOKUP(globalfreelancepreprocesseddata!A721,worksheet!A:P,3,FALSE)</f>
        <v>David Cherry</v>
      </c>
      <c r="C721" s="5" t="str">
        <f>VLOOKUP(globalfreelancepreprocesseddata!A721,worksheet!A:P,5,FALSE)</f>
        <v>Male</v>
      </c>
      <c r="D721" s="5">
        <f>VLOOKUP(globalfreelancepreprocesseddata!A721,worksheet!A:P,6,FALSE)</f>
        <v>50</v>
      </c>
      <c r="E721" s="5" t="str">
        <f>VLOOKUP(globalfreelancepreprocesseddata!A721,worksheet!A:P,7,FALSE)</f>
        <v>Japan</v>
      </c>
      <c r="F721" s="5" t="str">
        <f>VLOOKUP(globalfreelancepreprocesseddata!A721,worksheet!A:P,8,FALSE)</f>
        <v>Japanese</v>
      </c>
      <c r="G721" s="5" t="str">
        <f>VLOOKUP(globalfreelancepreprocesseddata!A721,worksheet!A:P,9,FALSE)</f>
        <v>Data Analysis</v>
      </c>
      <c r="H721" s="5">
        <f>VLOOKUP(globalfreelancepreprocesseddata!A721,worksheet!A:P,10,FALSE)</f>
        <v>3</v>
      </c>
      <c r="I721" s="6">
        <f>VLOOKUP(globalfreelancepreprocesseddata!A721,worksheet!A:P,12,FALSE)</f>
        <v>100</v>
      </c>
      <c r="J721" s="5">
        <f>VLOOKUP(globalfreelancepreprocesseddata!A721,worksheet!A:P,13,FALSE)</f>
        <v>0</v>
      </c>
      <c r="K721" s="5">
        <f>VLOOKUP(globalfreelancepreprocesseddata!A721,worksheet!A:P,14,FALSE)</f>
        <v>1</v>
      </c>
      <c r="L721" s="7">
        <f>VLOOKUP(globalfreelancepreprocesseddata!A721,worksheet!A:P,16,FALSE)</f>
        <v>0.16</v>
      </c>
    </row>
    <row r="722" spans="1:12" x14ac:dyDescent="0.35">
      <c r="A722" s="5" t="s">
        <v>1513</v>
      </c>
      <c r="B722" s="5" t="str">
        <f>VLOOKUP(globalfreelancepreprocesseddata!A722,worksheet!A:P,3,FALSE)</f>
        <v>Rachel Rogers</v>
      </c>
      <c r="C722" s="5" t="str">
        <f>VLOOKUP(globalfreelancepreprocesseddata!A722,worksheet!A:P,5,FALSE)</f>
        <v>Female</v>
      </c>
      <c r="D722" s="5">
        <f>VLOOKUP(globalfreelancepreprocesseddata!A722,worksheet!A:P,6,FALSE)</f>
        <v>52</v>
      </c>
      <c r="E722" s="5" t="str">
        <f>VLOOKUP(globalfreelancepreprocesseddata!A722,worksheet!A:P,7,FALSE)</f>
        <v>South Korea</v>
      </c>
      <c r="F722" s="5" t="str">
        <f>VLOOKUP(globalfreelancepreprocesseddata!A722,worksheet!A:P,8,FALSE)</f>
        <v>Korean</v>
      </c>
      <c r="G722" s="5" t="str">
        <f>VLOOKUP(globalfreelancepreprocesseddata!A722,worksheet!A:P,9,FALSE)</f>
        <v>UI/UX Design</v>
      </c>
      <c r="H722" s="5">
        <f>VLOOKUP(globalfreelancepreprocesseddata!A722,worksheet!A:P,10,FALSE)</f>
        <v>30</v>
      </c>
      <c r="I722" s="6">
        <f>VLOOKUP(globalfreelancepreprocesseddata!A722,worksheet!A:P,12,FALSE)</f>
        <v>75</v>
      </c>
      <c r="J722" s="5">
        <f>VLOOKUP(globalfreelancepreprocesseddata!A722,worksheet!A:P,13,FALSE)</f>
        <v>3</v>
      </c>
      <c r="K722" s="5">
        <f>VLOOKUP(globalfreelancepreprocesseddata!A722,worksheet!A:P,14,FALSE)</f>
        <v>1</v>
      </c>
      <c r="L722" s="7">
        <f>VLOOKUP(globalfreelancepreprocesseddata!A722,worksheet!A:P,16,FALSE)</f>
        <v>0.94</v>
      </c>
    </row>
    <row r="723" spans="1:12" x14ac:dyDescent="0.35">
      <c r="A723" s="5" t="s">
        <v>1515</v>
      </c>
      <c r="B723" s="5" t="str">
        <f>VLOOKUP(globalfreelancepreprocesseddata!A723,worksheet!A:P,3,FALSE)</f>
        <v>Travis Braun</v>
      </c>
      <c r="C723" s="5" t="str">
        <f>VLOOKUP(globalfreelancepreprocesseddata!A723,worksheet!A:P,5,FALSE)</f>
        <v>Male</v>
      </c>
      <c r="D723" s="5">
        <f>VLOOKUP(globalfreelancepreprocesseddata!A723,worksheet!A:P,6,FALSE)</f>
        <v>57</v>
      </c>
      <c r="E723" s="5" t="str">
        <f>VLOOKUP(globalfreelancepreprocesseddata!A723,worksheet!A:P,7,FALSE)</f>
        <v>Spain</v>
      </c>
      <c r="F723" s="5" t="str">
        <f>VLOOKUP(globalfreelancepreprocesseddata!A723,worksheet!A:P,8,FALSE)</f>
        <v>Spanish</v>
      </c>
      <c r="G723" s="5" t="str">
        <f>VLOOKUP(globalfreelancepreprocesseddata!A723,worksheet!A:P,9,FALSE)</f>
        <v>Blockchain Development</v>
      </c>
      <c r="H723" s="5">
        <f>VLOOKUP(globalfreelancepreprocesseddata!A723,worksheet!A:P,10,FALSE)</f>
        <v>11</v>
      </c>
      <c r="I723" s="6" t="str">
        <f>VLOOKUP(globalfreelancepreprocesseddata!A723,worksheet!A:P,12,FALSE)</f>
        <v>$ 20</v>
      </c>
      <c r="J723" s="5">
        <f>VLOOKUP(globalfreelancepreprocesseddata!A723,worksheet!A:P,13,FALSE)</f>
        <v>4.9000000000000004</v>
      </c>
      <c r="K723" s="5">
        <f>VLOOKUP(globalfreelancepreprocesseddata!A723,worksheet!A:P,14,FALSE)</f>
        <v>1</v>
      </c>
      <c r="L723" s="7">
        <f>VLOOKUP(globalfreelancepreprocesseddata!A723,worksheet!A:P,16,FALSE)</f>
        <v>0.16</v>
      </c>
    </row>
    <row r="724" spans="1:12" x14ac:dyDescent="0.35">
      <c r="A724" s="5" t="s">
        <v>1517</v>
      </c>
      <c r="B724" s="5" t="str">
        <f>VLOOKUP(globalfreelancepreprocesseddata!A724,worksheet!A:P,3,FALSE)</f>
        <v>Shawna Palmer</v>
      </c>
      <c r="C724" s="5" t="str">
        <f>VLOOKUP(globalfreelancepreprocesseddata!A724,worksheet!A:P,5,FALSE)</f>
        <v>Female</v>
      </c>
      <c r="D724" s="5">
        <f>VLOOKUP(globalfreelancepreprocesseddata!A724,worksheet!A:P,6,FALSE)</f>
        <v>53</v>
      </c>
      <c r="E724" s="5" t="str">
        <f>VLOOKUP(globalfreelancepreprocesseddata!A724,worksheet!A:P,7,FALSE)</f>
        <v>Mexico</v>
      </c>
      <c r="F724" s="5" t="str">
        <f>VLOOKUP(globalfreelancepreprocesseddata!A724,worksheet!A:P,8,FALSE)</f>
        <v>Spanish</v>
      </c>
      <c r="G724" s="5" t="str">
        <f>VLOOKUP(globalfreelancepreprocesseddata!A724,worksheet!A:P,9,FALSE)</f>
        <v>DevOps</v>
      </c>
      <c r="H724" s="5">
        <f>VLOOKUP(globalfreelancepreprocesseddata!A724,worksheet!A:P,10,FALSE)</f>
        <v>8</v>
      </c>
      <c r="I724" s="6">
        <f>VLOOKUP(globalfreelancepreprocesseddata!A724,worksheet!A:P,12,FALSE)</f>
        <v>20</v>
      </c>
      <c r="J724" s="5">
        <f>VLOOKUP(globalfreelancepreprocesseddata!A724,worksheet!A:P,13,FALSE)</f>
        <v>2.8</v>
      </c>
      <c r="K724" s="5">
        <f>VLOOKUP(globalfreelancepreprocesseddata!A724,worksheet!A:P,14,FALSE)</f>
        <v>1</v>
      </c>
      <c r="L724" s="7">
        <f>VLOOKUP(globalfreelancepreprocesseddata!A724,worksheet!A:P,16,FALSE)</f>
        <v>0.16</v>
      </c>
    </row>
    <row r="725" spans="1:12" x14ac:dyDescent="0.35">
      <c r="A725" s="5" t="s">
        <v>1519</v>
      </c>
      <c r="B725" s="5" t="str">
        <f>VLOOKUP(globalfreelancepreprocesseddata!A725,worksheet!A:P,3,FALSE)</f>
        <v>Bradley Gaines</v>
      </c>
      <c r="C725" s="5" t="str">
        <f>VLOOKUP(globalfreelancepreprocesseddata!A725,worksheet!A:P,5,FALSE)</f>
        <v>Male</v>
      </c>
      <c r="D725" s="5">
        <f>VLOOKUP(globalfreelancepreprocesseddata!A725,worksheet!A:P,6,FALSE)</f>
        <v>51</v>
      </c>
      <c r="E725" s="5" t="str">
        <f>VLOOKUP(globalfreelancepreprocesseddata!A725,worksheet!A:P,7,FALSE)</f>
        <v>Turkey</v>
      </c>
      <c r="F725" s="5" t="str">
        <f>VLOOKUP(globalfreelancepreprocesseddata!A725,worksheet!A:P,8,FALSE)</f>
        <v>Turkish</v>
      </c>
      <c r="G725" s="5" t="str">
        <f>VLOOKUP(globalfreelancepreprocesseddata!A725,worksheet!A:P,9,FALSE)</f>
        <v>UI/UX Design</v>
      </c>
      <c r="H725" s="5">
        <f>VLOOKUP(globalfreelancepreprocesseddata!A725,worksheet!A:P,10,FALSE)</f>
        <v>11</v>
      </c>
      <c r="I725" s="6" t="str">
        <f>VLOOKUP(globalfreelancepreprocesseddata!A725,worksheet!A:P,12,FALSE)</f>
        <v>$ 30</v>
      </c>
      <c r="J725" s="5">
        <f>VLOOKUP(globalfreelancepreprocesseddata!A725,worksheet!A:P,13,FALSE)</f>
        <v>3.6</v>
      </c>
      <c r="K725" s="5">
        <f>VLOOKUP(globalfreelancepreprocesseddata!A725,worksheet!A:P,14,FALSE)</f>
        <v>1</v>
      </c>
      <c r="L725" s="7">
        <f>VLOOKUP(globalfreelancepreprocesseddata!A725,worksheet!A:P,16,FALSE)</f>
        <v>0.77</v>
      </c>
    </row>
    <row r="726" spans="1:12" x14ac:dyDescent="0.35">
      <c r="A726" s="5" t="s">
        <v>1521</v>
      </c>
      <c r="B726" s="5" t="str">
        <f>VLOOKUP(globalfreelancepreprocesseddata!A726,worksheet!A:P,3,FALSE)</f>
        <v>April Ford</v>
      </c>
      <c r="C726" s="5" t="str">
        <f>VLOOKUP(globalfreelancepreprocesseddata!A726,worksheet!A:P,5,FALSE)</f>
        <v>Female</v>
      </c>
      <c r="D726" s="5">
        <f>VLOOKUP(globalfreelancepreprocesseddata!A726,worksheet!A:P,6,FALSE)</f>
        <v>37</v>
      </c>
      <c r="E726" s="5" t="str">
        <f>VLOOKUP(globalfreelancepreprocesseddata!A726,worksheet!A:P,7,FALSE)</f>
        <v>Canada</v>
      </c>
      <c r="F726" s="5" t="str">
        <f>VLOOKUP(globalfreelancepreprocesseddata!A726,worksheet!A:P,8,FALSE)</f>
        <v>English</v>
      </c>
      <c r="G726" s="5" t="str">
        <f>VLOOKUP(globalfreelancepreprocesseddata!A726,worksheet!A:P,9,FALSE)</f>
        <v>Cybersecurity</v>
      </c>
      <c r="H726" s="5">
        <f>VLOOKUP(globalfreelancepreprocesseddata!A726,worksheet!A:P,10,FALSE)</f>
        <v>9</v>
      </c>
      <c r="I726" s="6">
        <f>VLOOKUP(globalfreelancepreprocesseddata!A726,worksheet!A:P,12,FALSE)</f>
        <v>50</v>
      </c>
      <c r="J726" s="5">
        <f>VLOOKUP(globalfreelancepreprocesseddata!A726,worksheet!A:P,13,FALSE)</f>
        <v>3</v>
      </c>
      <c r="K726" s="5">
        <f>VLOOKUP(globalfreelancepreprocesseddata!A726,worksheet!A:P,14,FALSE)</f>
        <v>1</v>
      </c>
      <c r="L726" s="7">
        <f>VLOOKUP(globalfreelancepreprocesseddata!A726,worksheet!A:P,16,FALSE)</f>
        <v>0.84</v>
      </c>
    </row>
    <row r="727" spans="1:12" x14ac:dyDescent="0.35">
      <c r="A727" s="5" t="s">
        <v>1523</v>
      </c>
      <c r="B727" s="5" t="str">
        <f>VLOOKUP(globalfreelancepreprocesseddata!A727,worksheet!A:P,3,FALSE)</f>
        <v>James Gonzalez</v>
      </c>
      <c r="C727" s="5" t="str">
        <f>VLOOKUP(globalfreelancepreprocesseddata!A727,worksheet!A:P,5,FALSE)</f>
        <v>Male</v>
      </c>
      <c r="D727" s="5">
        <f>VLOOKUP(globalfreelancepreprocesseddata!A727,worksheet!A:P,6,FALSE)</f>
        <v>40</v>
      </c>
      <c r="E727" s="5" t="str">
        <f>VLOOKUP(globalfreelancepreprocesseddata!A727,worksheet!A:P,7,FALSE)</f>
        <v>Spain</v>
      </c>
      <c r="F727" s="5" t="str">
        <f>VLOOKUP(globalfreelancepreprocesseddata!A727,worksheet!A:P,8,FALSE)</f>
        <v>Spanish</v>
      </c>
      <c r="G727" s="5" t="str">
        <f>VLOOKUP(globalfreelancepreprocesseddata!A727,worksheet!A:P,9,FALSE)</f>
        <v>Web Development</v>
      </c>
      <c r="H727" s="5">
        <f>VLOOKUP(globalfreelancepreprocesseddata!A727,worksheet!A:P,10,FALSE)</f>
        <v>7</v>
      </c>
      <c r="I727" s="6">
        <f>VLOOKUP(globalfreelancepreprocesseddata!A727,worksheet!A:P,12,FALSE)</f>
        <v>40</v>
      </c>
      <c r="J727" s="5">
        <f>VLOOKUP(globalfreelancepreprocesseddata!A727,worksheet!A:P,13,FALSE)</f>
        <v>4.5</v>
      </c>
      <c r="K727" s="5">
        <f>VLOOKUP(globalfreelancepreprocesseddata!A727,worksheet!A:P,14,FALSE)</f>
        <v>1</v>
      </c>
      <c r="L727" s="7">
        <f>VLOOKUP(globalfreelancepreprocesseddata!A727,worksheet!A:P,16,FALSE)</f>
        <v>0.79</v>
      </c>
    </row>
    <row r="728" spans="1:12" x14ac:dyDescent="0.35">
      <c r="A728" s="5" t="s">
        <v>1525</v>
      </c>
      <c r="B728" s="5" t="str">
        <f>VLOOKUP(globalfreelancepreprocesseddata!A728,worksheet!A:P,3,FALSE)</f>
        <v>John Castillo</v>
      </c>
      <c r="C728" s="5" t="str">
        <f>VLOOKUP(globalfreelancepreprocesseddata!A728,worksheet!A:P,5,FALSE)</f>
        <v>Male</v>
      </c>
      <c r="D728" s="5">
        <f>VLOOKUP(globalfreelancepreprocesseddata!A728,worksheet!A:P,6,FALSE)</f>
        <v>60</v>
      </c>
      <c r="E728" s="5" t="str">
        <f>VLOOKUP(globalfreelancepreprocesseddata!A728,worksheet!A:P,7,FALSE)</f>
        <v>Japan</v>
      </c>
      <c r="F728" s="5" t="str">
        <f>VLOOKUP(globalfreelancepreprocesseddata!A728,worksheet!A:P,8,FALSE)</f>
        <v>Japanese</v>
      </c>
      <c r="G728" s="5" t="str">
        <f>VLOOKUP(globalfreelancepreprocesseddata!A728,worksheet!A:P,9,FALSE)</f>
        <v>Data Analysis</v>
      </c>
      <c r="H728" s="5">
        <f>VLOOKUP(globalfreelancepreprocesseddata!A728,worksheet!A:P,10,FALSE)</f>
        <v>24</v>
      </c>
      <c r="I728" s="6" t="str">
        <f>VLOOKUP(globalfreelancepreprocesseddata!A728,worksheet!A:P,12,FALSE)</f>
        <v>$ 40</v>
      </c>
      <c r="J728" s="5">
        <f>VLOOKUP(globalfreelancepreprocesseddata!A728,worksheet!A:P,13,FALSE)</f>
        <v>3.1</v>
      </c>
      <c r="K728" s="5">
        <f>VLOOKUP(globalfreelancepreprocesseddata!A728,worksheet!A:P,14,FALSE)</f>
        <v>0</v>
      </c>
      <c r="L728" s="7">
        <f>VLOOKUP(globalfreelancepreprocesseddata!A728,worksheet!A:P,16,FALSE)</f>
        <v>0.69</v>
      </c>
    </row>
    <row r="729" spans="1:12" x14ac:dyDescent="0.35">
      <c r="A729" s="5" t="s">
        <v>1527</v>
      </c>
      <c r="B729" s="5" t="str">
        <f>VLOOKUP(globalfreelancepreprocesseddata!A729,worksheet!A:P,3,FALSE)</f>
        <v>Ian Hayes</v>
      </c>
      <c r="C729" s="5" t="str">
        <f>VLOOKUP(globalfreelancepreprocesseddata!A729,worksheet!A:P,5,FALSE)</f>
        <v>Male</v>
      </c>
      <c r="D729" s="5">
        <f>VLOOKUP(globalfreelancepreprocesseddata!A729,worksheet!A:P,6,FALSE)</f>
        <v>60</v>
      </c>
      <c r="E729" s="5" t="str">
        <f>VLOOKUP(globalfreelancepreprocesseddata!A729,worksheet!A:P,7,FALSE)</f>
        <v>France</v>
      </c>
      <c r="F729" s="5" t="str">
        <f>VLOOKUP(globalfreelancepreprocesseddata!A729,worksheet!A:P,8,FALSE)</f>
        <v>French</v>
      </c>
      <c r="G729" s="5" t="str">
        <f>VLOOKUP(globalfreelancepreprocesseddata!A729,worksheet!A:P,9,FALSE)</f>
        <v>UI/UX Design</v>
      </c>
      <c r="H729" s="5">
        <f>VLOOKUP(globalfreelancepreprocesseddata!A729,worksheet!A:P,10,FALSE)</f>
        <v>11</v>
      </c>
      <c r="I729" s="6">
        <f>VLOOKUP(globalfreelancepreprocesseddata!A729,worksheet!A:P,12,FALSE)</f>
        <v>40</v>
      </c>
      <c r="J729" s="5">
        <f>VLOOKUP(globalfreelancepreprocesseddata!A729,worksheet!A:P,13,FALSE)</f>
        <v>4.9000000000000004</v>
      </c>
      <c r="K729" s="5">
        <f>VLOOKUP(globalfreelancepreprocesseddata!A729,worksheet!A:P,14,FALSE)</f>
        <v>1</v>
      </c>
      <c r="L729" s="7">
        <f>VLOOKUP(globalfreelancepreprocesseddata!A729,worksheet!A:P,16,FALSE)</f>
        <v>0.68</v>
      </c>
    </row>
    <row r="730" spans="1:12" x14ac:dyDescent="0.35">
      <c r="A730" s="5" t="s">
        <v>1529</v>
      </c>
      <c r="B730" s="5" t="str">
        <f>VLOOKUP(globalfreelancepreprocesseddata!A730,worksheet!A:P,3,FALSE)</f>
        <v>Christine Castro</v>
      </c>
      <c r="C730" s="5" t="str">
        <f>VLOOKUP(globalfreelancepreprocesseddata!A730,worksheet!A:P,5,FALSE)</f>
        <v>Female</v>
      </c>
      <c r="D730" s="5">
        <f>VLOOKUP(globalfreelancepreprocesseddata!A730,worksheet!A:P,6,FALSE)</f>
        <v>53</v>
      </c>
      <c r="E730" s="5" t="str">
        <f>VLOOKUP(globalfreelancepreprocesseddata!A730,worksheet!A:P,7,FALSE)</f>
        <v>South Korea</v>
      </c>
      <c r="F730" s="5" t="str">
        <f>VLOOKUP(globalfreelancepreprocesseddata!A730,worksheet!A:P,8,FALSE)</f>
        <v>Korean</v>
      </c>
      <c r="G730" s="5" t="str">
        <f>VLOOKUP(globalfreelancepreprocesseddata!A730,worksheet!A:P,9,FALSE)</f>
        <v>UI/UX Design</v>
      </c>
      <c r="H730" s="5">
        <f>VLOOKUP(globalfreelancepreprocesseddata!A730,worksheet!A:P,10,FALSE)</f>
        <v>21</v>
      </c>
      <c r="I730" s="6">
        <f>VLOOKUP(globalfreelancepreprocesseddata!A730,worksheet!A:P,12,FALSE)</f>
        <v>30</v>
      </c>
      <c r="J730" s="5">
        <f>VLOOKUP(globalfreelancepreprocesseddata!A730,worksheet!A:P,13,FALSE)</f>
        <v>4.2</v>
      </c>
      <c r="K730" s="5">
        <f>VLOOKUP(globalfreelancepreprocesseddata!A730,worksheet!A:P,14,FALSE)</f>
        <v>1</v>
      </c>
      <c r="L730" s="7">
        <f>VLOOKUP(globalfreelancepreprocesseddata!A730,worksheet!A:P,16,FALSE)</f>
        <v>0.73</v>
      </c>
    </row>
    <row r="731" spans="1:12" x14ac:dyDescent="0.35">
      <c r="A731" s="5" t="s">
        <v>1531</v>
      </c>
      <c r="B731" s="5" t="str">
        <f>VLOOKUP(globalfreelancepreprocesseddata!A731,worksheet!A:P,3,FALSE)</f>
        <v>Jessica Chaney</v>
      </c>
      <c r="C731" s="5" t="str">
        <f>VLOOKUP(globalfreelancepreprocesseddata!A731,worksheet!A:P,5,FALSE)</f>
        <v>Female</v>
      </c>
      <c r="D731" s="5">
        <f>VLOOKUP(globalfreelancepreprocesseddata!A731,worksheet!A:P,6,FALSE)</f>
        <v>20</v>
      </c>
      <c r="E731" s="5" t="str">
        <f>VLOOKUP(globalfreelancepreprocesseddata!A731,worksheet!A:P,7,FALSE)</f>
        <v>Mexico</v>
      </c>
      <c r="F731" s="5" t="str">
        <f>VLOOKUP(globalfreelancepreprocesseddata!A731,worksheet!A:P,8,FALSE)</f>
        <v>Spanish</v>
      </c>
      <c r="G731" s="5" t="str">
        <f>VLOOKUP(globalfreelancepreprocesseddata!A731,worksheet!A:P,9,FALSE)</f>
        <v>Blockchain Development</v>
      </c>
      <c r="H731" s="5">
        <f>VLOOKUP(globalfreelancepreprocesseddata!A731,worksheet!A:P,10,FALSE)</f>
        <v>11</v>
      </c>
      <c r="I731" s="6">
        <f>VLOOKUP(globalfreelancepreprocesseddata!A731,worksheet!A:P,12,FALSE)</f>
        <v>75</v>
      </c>
      <c r="J731" s="5">
        <f>VLOOKUP(globalfreelancepreprocesseddata!A731,worksheet!A:P,13,FALSE)</f>
        <v>3.2</v>
      </c>
      <c r="K731" s="5">
        <f>VLOOKUP(globalfreelancepreprocesseddata!A731,worksheet!A:P,14,FALSE)</f>
        <v>1</v>
      </c>
      <c r="L731" s="7">
        <f>VLOOKUP(globalfreelancepreprocesseddata!A731,worksheet!A:P,16,FALSE)</f>
        <v>0.74</v>
      </c>
    </row>
    <row r="732" spans="1:12" x14ac:dyDescent="0.35">
      <c r="A732" s="5" t="s">
        <v>1533</v>
      </c>
      <c r="B732" s="5" t="str">
        <f>VLOOKUP(globalfreelancepreprocesseddata!A732,worksheet!A:P,3,FALSE)</f>
        <v>John Gray</v>
      </c>
      <c r="C732" s="5" t="str">
        <f>VLOOKUP(globalfreelancepreprocesseddata!A732,worksheet!A:P,5,FALSE)</f>
        <v>Male</v>
      </c>
      <c r="D732" s="5">
        <f>VLOOKUP(globalfreelancepreprocesseddata!A732,worksheet!A:P,6,FALSE)</f>
        <v>42</v>
      </c>
      <c r="E732" s="5" t="str">
        <f>VLOOKUP(globalfreelancepreprocesseddata!A732,worksheet!A:P,7,FALSE)</f>
        <v>Russia</v>
      </c>
      <c r="F732" s="5" t="str">
        <f>VLOOKUP(globalfreelancepreprocesseddata!A732,worksheet!A:P,8,FALSE)</f>
        <v>Russian</v>
      </c>
      <c r="G732" s="5" t="str">
        <f>VLOOKUP(globalfreelancepreprocesseddata!A732,worksheet!A:P,9,FALSE)</f>
        <v>Web Development</v>
      </c>
      <c r="H732" s="5">
        <f>VLOOKUP(globalfreelancepreprocesseddata!A732,worksheet!A:P,10,FALSE)</f>
        <v>7</v>
      </c>
      <c r="I732" s="6" t="str">
        <f>VLOOKUP(globalfreelancepreprocesseddata!A732,worksheet!A:P,12,FALSE)</f>
        <v>$ 20</v>
      </c>
      <c r="J732" s="5">
        <f>VLOOKUP(globalfreelancepreprocesseddata!A732,worksheet!A:P,13,FALSE)</f>
        <v>3</v>
      </c>
      <c r="K732" s="5">
        <f>VLOOKUP(globalfreelancepreprocesseddata!A732,worksheet!A:P,14,FALSE)</f>
        <v>0</v>
      </c>
      <c r="L732" s="7">
        <f>VLOOKUP(globalfreelancepreprocesseddata!A732,worksheet!A:P,16,FALSE)</f>
        <v>0.01</v>
      </c>
    </row>
    <row r="733" spans="1:12" x14ac:dyDescent="0.35">
      <c r="A733" s="5" t="s">
        <v>1535</v>
      </c>
      <c r="B733" s="5" t="str">
        <f>VLOOKUP(globalfreelancepreprocesseddata!A733,worksheet!A:P,3,FALSE)</f>
        <v>Shane Booker</v>
      </c>
      <c r="C733" s="5" t="str">
        <f>VLOOKUP(globalfreelancepreprocesseddata!A733,worksheet!A:P,5,FALSE)</f>
        <v>Male</v>
      </c>
      <c r="D733" s="5">
        <f>VLOOKUP(globalfreelancepreprocesseddata!A733,worksheet!A:P,6,FALSE)</f>
        <v>21</v>
      </c>
      <c r="E733" s="5" t="str">
        <f>VLOOKUP(globalfreelancepreprocesseddata!A733,worksheet!A:P,7,FALSE)</f>
        <v>United Kingdom</v>
      </c>
      <c r="F733" s="5" t="str">
        <f>VLOOKUP(globalfreelancepreprocesseddata!A733,worksheet!A:P,8,FALSE)</f>
        <v>English</v>
      </c>
      <c r="G733" s="5" t="str">
        <f>VLOOKUP(globalfreelancepreprocesseddata!A733,worksheet!A:P,9,FALSE)</f>
        <v>Mobile Apps</v>
      </c>
      <c r="H733" s="5">
        <f>VLOOKUP(globalfreelancepreprocesseddata!A733,worksheet!A:P,10,FALSE)</f>
        <v>3</v>
      </c>
      <c r="I733" s="6">
        <f>VLOOKUP(globalfreelancepreprocesseddata!A733,worksheet!A:P,12,FALSE)</f>
        <v>40</v>
      </c>
      <c r="J733" s="5">
        <f>VLOOKUP(globalfreelancepreprocesseddata!A733,worksheet!A:P,13,FALSE)</f>
        <v>0</v>
      </c>
      <c r="K733" s="5">
        <f>VLOOKUP(globalfreelancepreprocesseddata!A733,worksheet!A:P,14,FALSE)</f>
        <v>0</v>
      </c>
      <c r="L733" s="7">
        <f>VLOOKUP(globalfreelancepreprocesseddata!A733,worksheet!A:P,16,FALSE)</f>
        <v>0.87</v>
      </c>
    </row>
    <row r="734" spans="1:12" x14ac:dyDescent="0.35">
      <c r="A734" s="5" t="s">
        <v>1537</v>
      </c>
      <c r="B734" s="5" t="str">
        <f>VLOOKUP(globalfreelancepreprocesseddata!A734,worksheet!A:P,3,FALSE)</f>
        <v>Kyle Hall</v>
      </c>
      <c r="C734" s="5" t="str">
        <f>VLOOKUP(globalfreelancepreprocesseddata!A734,worksheet!A:P,5,FALSE)</f>
        <v>Male</v>
      </c>
      <c r="D734" s="5">
        <f>VLOOKUP(globalfreelancepreprocesseddata!A734,worksheet!A:P,6,FALSE)</f>
        <v>39</v>
      </c>
      <c r="E734" s="5" t="str">
        <f>VLOOKUP(globalfreelancepreprocesseddata!A734,worksheet!A:P,7,FALSE)</f>
        <v>Germany</v>
      </c>
      <c r="F734" s="5" t="str">
        <f>VLOOKUP(globalfreelancepreprocesseddata!A734,worksheet!A:P,8,FALSE)</f>
        <v>German</v>
      </c>
      <c r="G734" s="5" t="str">
        <f>VLOOKUP(globalfreelancepreprocesseddata!A734,worksheet!A:P,9,FALSE)</f>
        <v>Web Development</v>
      </c>
      <c r="H734" s="5">
        <f>VLOOKUP(globalfreelancepreprocesseddata!A734,worksheet!A:P,10,FALSE)</f>
        <v>21</v>
      </c>
      <c r="I734" s="6">
        <f>VLOOKUP(globalfreelancepreprocesseddata!A734,worksheet!A:P,12,FALSE)</f>
        <v>100</v>
      </c>
      <c r="J734" s="5">
        <f>VLOOKUP(globalfreelancepreprocesseddata!A734,worksheet!A:P,13,FALSE)</f>
        <v>2.2000000000000002</v>
      </c>
      <c r="K734" s="5">
        <f>VLOOKUP(globalfreelancepreprocesseddata!A734,worksheet!A:P,14,FALSE)</f>
        <v>0</v>
      </c>
      <c r="L734" s="7">
        <f>VLOOKUP(globalfreelancepreprocesseddata!A734,worksheet!A:P,16,FALSE)</f>
        <v>0.79</v>
      </c>
    </row>
    <row r="735" spans="1:12" x14ac:dyDescent="0.35">
      <c r="A735" s="5" t="s">
        <v>1539</v>
      </c>
      <c r="B735" s="5" t="str">
        <f>VLOOKUP(globalfreelancepreprocesseddata!A735,worksheet!A:P,3,FALSE)</f>
        <v>Ronald Munoz</v>
      </c>
      <c r="C735" s="5" t="str">
        <f>VLOOKUP(globalfreelancepreprocesseddata!A735,worksheet!A:P,5,FALSE)</f>
        <v>Male</v>
      </c>
      <c r="D735" s="5">
        <f>VLOOKUP(globalfreelancepreprocesseddata!A735,worksheet!A:P,6,FALSE)</f>
        <v>32</v>
      </c>
      <c r="E735" s="5" t="str">
        <f>VLOOKUP(globalfreelancepreprocesseddata!A735,worksheet!A:P,7,FALSE)</f>
        <v>India</v>
      </c>
      <c r="F735" s="5" t="str">
        <f>VLOOKUP(globalfreelancepreprocesseddata!A735,worksheet!A:P,8,FALSE)</f>
        <v>Hindi</v>
      </c>
      <c r="G735" s="5" t="str">
        <f>VLOOKUP(globalfreelancepreprocesseddata!A735,worksheet!A:P,9,FALSE)</f>
        <v>Blockchain Development</v>
      </c>
      <c r="H735" s="5">
        <f>VLOOKUP(globalfreelancepreprocesseddata!A735,worksheet!A:P,10,FALSE)</f>
        <v>11</v>
      </c>
      <c r="I735" s="6">
        <f>VLOOKUP(globalfreelancepreprocesseddata!A735,worksheet!A:P,12,FALSE)</f>
        <v>30</v>
      </c>
      <c r="J735" s="5">
        <f>VLOOKUP(globalfreelancepreprocesseddata!A735,worksheet!A:P,13,FALSE)</f>
        <v>1.5</v>
      </c>
      <c r="K735" s="5">
        <f>VLOOKUP(globalfreelancepreprocesseddata!A735,worksheet!A:P,14,FALSE)</f>
        <v>0</v>
      </c>
      <c r="L735" s="7">
        <f>VLOOKUP(globalfreelancepreprocesseddata!A735,worksheet!A:P,16,FALSE)</f>
        <v>0.68</v>
      </c>
    </row>
    <row r="736" spans="1:12" x14ac:dyDescent="0.35">
      <c r="A736" s="5" t="s">
        <v>1541</v>
      </c>
      <c r="B736" s="5" t="str">
        <f>VLOOKUP(globalfreelancepreprocesseddata!A736,worksheet!A:P,3,FALSE)</f>
        <v>Christopher Long</v>
      </c>
      <c r="C736" s="5" t="str">
        <f>VLOOKUP(globalfreelancepreprocesseddata!A736,worksheet!A:P,5,FALSE)</f>
        <v>Male</v>
      </c>
      <c r="D736" s="5">
        <f>VLOOKUP(globalfreelancepreprocesseddata!A736,worksheet!A:P,6,FALSE)</f>
        <v>35</v>
      </c>
      <c r="E736" s="5" t="str">
        <f>VLOOKUP(globalfreelancepreprocesseddata!A736,worksheet!A:P,7,FALSE)</f>
        <v>Germany</v>
      </c>
      <c r="F736" s="5" t="str">
        <f>VLOOKUP(globalfreelancepreprocesseddata!A736,worksheet!A:P,8,FALSE)</f>
        <v>German</v>
      </c>
      <c r="G736" s="5" t="str">
        <f>VLOOKUP(globalfreelancepreprocesseddata!A736,worksheet!A:P,9,FALSE)</f>
        <v>Data Analysis</v>
      </c>
      <c r="H736" s="5">
        <f>VLOOKUP(globalfreelancepreprocesseddata!A736,worksheet!A:P,10,FALSE)</f>
        <v>11</v>
      </c>
      <c r="I736" s="6" t="str">
        <f>VLOOKUP(globalfreelancepreprocesseddata!A736,worksheet!A:P,12,FALSE)</f>
        <v>$ 100</v>
      </c>
      <c r="J736" s="5">
        <f>VLOOKUP(globalfreelancepreprocesseddata!A736,worksheet!A:P,13,FALSE)</f>
        <v>3</v>
      </c>
      <c r="K736" s="5">
        <f>VLOOKUP(globalfreelancepreprocesseddata!A736,worksheet!A:P,14,FALSE)</f>
        <v>0</v>
      </c>
      <c r="L736" s="7">
        <f>VLOOKUP(globalfreelancepreprocesseddata!A736,worksheet!A:P,16,FALSE)</f>
        <v>0.84</v>
      </c>
    </row>
    <row r="737" spans="1:12" x14ac:dyDescent="0.35">
      <c r="A737" s="5" t="s">
        <v>1543</v>
      </c>
      <c r="B737" s="5" t="str">
        <f>VLOOKUP(globalfreelancepreprocesseddata!A737,worksheet!A:P,3,FALSE)</f>
        <v>Sandra Ali</v>
      </c>
      <c r="C737" s="5" t="str">
        <f>VLOOKUP(globalfreelancepreprocesseddata!A737,worksheet!A:P,5,FALSE)</f>
        <v>Female</v>
      </c>
      <c r="D737" s="5">
        <f>VLOOKUP(globalfreelancepreprocesseddata!A737,worksheet!A:P,6,FALSE)</f>
        <v>35</v>
      </c>
      <c r="E737" s="5" t="str">
        <f>VLOOKUP(globalfreelancepreprocesseddata!A737,worksheet!A:P,7,FALSE)</f>
        <v>France</v>
      </c>
      <c r="F737" s="5" t="str">
        <f>VLOOKUP(globalfreelancepreprocesseddata!A737,worksheet!A:P,8,FALSE)</f>
        <v>French</v>
      </c>
      <c r="G737" s="5" t="str">
        <f>VLOOKUP(globalfreelancepreprocesseddata!A737,worksheet!A:P,9,FALSE)</f>
        <v>UI/UX Design</v>
      </c>
      <c r="H737" s="5">
        <f>VLOOKUP(globalfreelancepreprocesseddata!A737,worksheet!A:P,10,FALSE)</f>
        <v>17</v>
      </c>
      <c r="I737" s="6">
        <f>VLOOKUP(globalfreelancepreprocesseddata!A737,worksheet!A:P,12,FALSE)</f>
        <v>50</v>
      </c>
      <c r="J737" s="5">
        <f>VLOOKUP(globalfreelancepreprocesseddata!A737,worksheet!A:P,13,FALSE)</f>
        <v>3.1</v>
      </c>
      <c r="K737" s="5">
        <f>VLOOKUP(globalfreelancepreprocesseddata!A737,worksheet!A:P,14,FALSE)</f>
        <v>0</v>
      </c>
      <c r="L737" s="7">
        <f>VLOOKUP(globalfreelancepreprocesseddata!A737,worksheet!A:P,16,FALSE)</f>
        <v>0.71</v>
      </c>
    </row>
    <row r="738" spans="1:12" x14ac:dyDescent="0.35">
      <c r="A738" s="5" t="s">
        <v>1545</v>
      </c>
      <c r="B738" s="5" t="str">
        <f>VLOOKUP(globalfreelancepreprocesseddata!A738,worksheet!A:P,3,FALSE)</f>
        <v>Jessica Garza</v>
      </c>
      <c r="C738" s="5" t="str">
        <f>VLOOKUP(globalfreelancepreprocesseddata!A738,worksheet!A:P,5,FALSE)</f>
        <v>Female</v>
      </c>
      <c r="D738" s="5">
        <f>VLOOKUP(globalfreelancepreprocesseddata!A738,worksheet!A:P,6,FALSE)</f>
        <v>23</v>
      </c>
      <c r="E738" s="5" t="str">
        <f>VLOOKUP(globalfreelancepreprocesseddata!A738,worksheet!A:P,7,FALSE)</f>
        <v>Argentina</v>
      </c>
      <c r="F738" s="5" t="str">
        <f>VLOOKUP(globalfreelancepreprocesseddata!A738,worksheet!A:P,8,FALSE)</f>
        <v>Spanish</v>
      </c>
      <c r="G738" s="5" t="str">
        <f>VLOOKUP(globalfreelancepreprocesseddata!A738,worksheet!A:P,9,FALSE)</f>
        <v>UI/UX Design</v>
      </c>
      <c r="H738" s="5">
        <f>VLOOKUP(globalfreelancepreprocesseddata!A738,worksheet!A:P,10,FALSE)</f>
        <v>11</v>
      </c>
      <c r="I738" s="6">
        <f>VLOOKUP(globalfreelancepreprocesseddata!A738,worksheet!A:P,12,FALSE)</f>
        <v>75</v>
      </c>
      <c r="J738" s="5">
        <f>VLOOKUP(globalfreelancepreprocesseddata!A738,worksheet!A:P,13,FALSE)</f>
        <v>0</v>
      </c>
      <c r="K738" s="5">
        <f>VLOOKUP(globalfreelancepreprocesseddata!A738,worksheet!A:P,14,FALSE)</f>
        <v>1</v>
      </c>
      <c r="L738" s="7">
        <f>VLOOKUP(globalfreelancepreprocesseddata!A738,worksheet!A:P,16,FALSE)</f>
        <v>0.92</v>
      </c>
    </row>
    <row r="739" spans="1:12" x14ac:dyDescent="0.35">
      <c r="A739" s="5" t="s">
        <v>1547</v>
      </c>
      <c r="B739" s="5" t="str">
        <f>VLOOKUP(globalfreelancepreprocesseddata!A739,worksheet!A:P,3,FALSE)</f>
        <v>Gregory Waters</v>
      </c>
      <c r="C739" s="5" t="str">
        <f>VLOOKUP(globalfreelancepreprocesseddata!A739,worksheet!A:P,5,FALSE)</f>
        <v>Male</v>
      </c>
      <c r="D739" s="5">
        <f>VLOOKUP(globalfreelancepreprocesseddata!A739,worksheet!A:P,6,FALSE)</f>
        <v>26</v>
      </c>
      <c r="E739" s="5" t="str">
        <f>VLOOKUP(globalfreelancepreprocesseddata!A739,worksheet!A:P,7,FALSE)</f>
        <v>Netherlands</v>
      </c>
      <c r="F739" s="5" t="str">
        <f>VLOOKUP(globalfreelancepreprocesseddata!A739,worksheet!A:P,8,FALSE)</f>
        <v>Dutch</v>
      </c>
      <c r="G739" s="5" t="str">
        <f>VLOOKUP(globalfreelancepreprocesseddata!A739,worksheet!A:P,9,FALSE)</f>
        <v>AI</v>
      </c>
      <c r="H739" s="5">
        <f>VLOOKUP(globalfreelancepreprocesseddata!A739,worksheet!A:P,10,FALSE)</f>
        <v>6</v>
      </c>
      <c r="I739" s="6" t="str">
        <f>VLOOKUP(globalfreelancepreprocesseddata!A739,worksheet!A:P,12,FALSE)</f>
        <v>$ 100</v>
      </c>
      <c r="J739" s="5">
        <f>VLOOKUP(globalfreelancepreprocesseddata!A739,worksheet!A:P,13,FALSE)</f>
        <v>3</v>
      </c>
      <c r="K739" s="5">
        <f>VLOOKUP(globalfreelancepreprocesseddata!A739,worksheet!A:P,14,FALSE)</f>
        <v>1</v>
      </c>
      <c r="L739" s="7">
        <f>VLOOKUP(globalfreelancepreprocesseddata!A739,worksheet!A:P,16,FALSE)</f>
        <v>0.69</v>
      </c>
    </row>
    <row r="740" spans="1:12" x14ac:dyDescent="0.35">
      <c r="A740" s="5" t="s">
        <v>1549</v>
      </c>
      <c r="B740" s="5" t="str">
        <f>VLOOKUP(globalfreelancepreprocesseddata!A740,worksheet!A:P,3,FALSE)</f>
        <v>Misty Adams</v>
      </c>
      <c r="C740" s="5" t="str">
        <f>VLOOKUP(globalfreelancepreprocesseddata!A740,worksheet!A:P,5,FALSE)</f>
        <v>Female</v>
      </c>
      <c r="D740" s="5">
        <f>VLOOKUP(globalfreelancepreprocesseddata!A740,worksheet!A:P,6,FALSE)</f>
        <v>34</v>
      </c>
      <c r="E740" s="5" t="str">
        <f>VLOOKUP(globalfreelancepreprocesseddata!A740,worksheet!A:P,7,FALSE)</f>
        <v>Canada</v>
      </c>
      <c r="F740" s="5" t="str">
        <f>VLOOKUP(globalfreelancepreprocesseddata!A740,worksheet!A:P,8,FALSE)</f>
        <v>English</v>
      </c>
      <c r="G740" s="5" t="str">
        <f>VLOOKUP(globalfreelancepreprocesseddata!A740,worksheet!A:P,9,FALSE)</f>
        <v>Machine Learning</v>
      </c>
      <c r="H740" s="5">
        <f>VLOOKUP(globalfreelancepreprocesseddata!A740,worksheet!A:P,10,FALSE)</f>
        <v>3</v>
      </c>
      <c r="I740" s="6">
        <f>VLOOKUP(globalfreelancepreprocesseddata!A740,worksheet!A:P,12,FALSE)</f>
        <v>40</v>
      </c>
      <c r="J740" s="5">
        <f>VLOOKUP(globalfreelancepreprocesseddata!A740,worksheet!A:P,13,FALSE)</f>
        <v>0</v>
      </c>
      <c r="K740" s="5">
        <f>VLOOKUP(globalfreelancepreprocesseddata!A740,worksheet!A:P,14,FALSE)</f>
        <v>1</v>
      </c>
      <c r="L740" s="7">
        <f>VLOOKUP(globalfreelancepreprocesseddata!A740,worksheet!A:P,16,FALSE)</f>
        <v>0.71</v>
      </c>
    </row>
    <row r="741" spans="1:12" x14ac:dyDescent="0.35">
      <c r="A741" s="5" t="s">
        <v>1551</v>
      </c>
      <c r="B741" s="5" t="str">
        <f>VLOOKUP(globalfreelancepreprocesseddata!A741,worksheet!A:P,3,FALSE)</f>
        <v>Megan Brown</v>
      </c>
      <c r="C741" s="5" t="str">
        <f>VLOOKUP(globalfreelancepreprocesseddata!A741,worksheet!A:P,5,FALSE)</f>
        <v>Female</v>
      </c>
      <c r="D741" s="5">
        <f>VLOOKUP(globalfreelancepreprocesseddata!A741,worksheet!A:P,6,FALSE)</f>
        <v>34</v>
      </c>
      <c r="E741" s="5" t="str">
        <f>VLOOKUP(globalfreelancepreprocesseddata!A741,worksheet!A:P,7,FALSE)</f>
        <v>Germany</v>
      </c>
      <c r="F741" s="5" t="str">
        <f>VLOOKUP(globalfreelancepreprocesseddata!A741,worksheet!A:P,8,FALSE)</f>
        <v>German</v>
      </c>
      <c r="G741" s="5" t="str">
        <f>VLOOKUP(globalfreelancepreprocesseddata!A741,worksheet!A:P,9,FALSE)</f>
        <v>Blockchain Development</v>
      </c>
      <c r="H741" s="5">
        <f>VLOOKUP(globalfreelancepreprocesseddata!A741,worksheet!A:P,10,FALSE)</f>
        <v>3</v>
      </c>
      <c r="I741" s="6">
        <f>VLOOKUP(globalfreelancepreprocesseddata!A741,worksheet!A:P,12,FALSE)</f>
        <v>40</v>
      </c>
      <c r="J741" s="5">
        <f>VLOOKUP(globalfreelancepreprocesseddata!A741,worksheet!A:P,13,FALSE)</f>
        <v>3</v>
      </c>
      <c r="K741" s="5">
        <f>VLOOKUP(globalfreelancepreprocesseddata!A741,worksheet!A:P,14,FALSE)</f>
        <v>0</v>
      </c>
      <c r="L741" s="7">
        <f>VLOOKUP(globalfreelancepreprocesseddata!A741,worksheet!A:P,16,FALSE)</f>
        <v>0.77</v>
      </c>
    </row>
    <row r="742" spans="1:12" x14ac:dyDescent="0.35">
      <c r="A742" s="5" t="s">
        <v>1553</v>
      </c>
      <c r="B742" s="5" t="str">
        <f>VLOOKUP(globalfreelancepreprocesseddata!A742,worksheet!A:P,3,FALSE)</f>
        <v>Gregory Brown</v>
      </c>
      <c r="C742" s="5" t="str">
        <f>VLOOKUP(globalfreelancepreprocesseddata!A742,worksheet!A:P,5,FALSE)</f>
        <v>Male</v>
      </c>
      <c r="D742" s="5">
        <f>VLOOKUP(globalfreelancepreprocesseddata!A742,worksheet!A:P,6,FALSE)</f>
        <v>57</v>
      </c>
      <c r="E742" s="5" t="str">
        <f>VLOOKUP(globalfreelancepreprocesseddata!A742,worksheet!A:P,7,FALSE)</f>
        <v>Italy</v>
      </c>
      <c r="F742" s="5" t="str">
        <f>VLOOKUP(globalfreelancepreprocesseddata!A742,worksheet!A:P,8,FALSE)</f>
        <v>Italian</v>
      </c>
      <c r="G742" s="5" t="str">
        <f>VLOOKUP(globalfreelancepreprocesseddata!A742,worksheet!A:P,9,FALSE)</f>
        <v>Web Development</v>
      </c>
      <c r="H742" s="5">
        <f>VLOOKUP(globalfreelancepreprocesseddata!A742,worksheet!A:P,10,FALSE)</f>
        <v>31</v>
      </c>
      <c r="I742" s="6">
        <f>VLOOKUP(globalfreelancepreprocesseddata!A742,worksheet!A:P,12,FALSE)</f>
        <v>50</v>
      </c>
      <c r="J742" s="5">
        <f>VLOOKUP(globalfreelancepreprocesseddata!A742,worksheet!A:P,13,FALSE)</f>
        <v>3</v>
      </c>
      <c r="K742" s="5">
        <f>VLOOKUP(globalfreelancepreprocesseddata!A742,worksheet!A:P,14,FALSE)</f>
        <v>1</v>
      </c>
      <c r="L742" s="7">
        <f>VLOOKUP(globalfreelancepreprocesseddata!A742,worksheet!A:P,16,FALSE)</f>
        <v>0.87</v>
      </c>
    </row>
    <row r="743" spans="1:12" x14ac:dyDescent="0.35">
      <c r="A743" s="5" t="s">
        <v>1555</v>
      </c>
      <c r="B743" s="5" t="str">
        <f>VLOOKUP(globalfreelancepreprocesseddata!A743,worksheet!A:P,3,FALSE)</f>
        <v>Scott Alexander Md</v>
      </c>
      <c r="C743" s="5" t="str">
        <f>VLOOKUP(globalfreelancepreprocesseddata!A743,worksheet!A:P,5,FALSE)</f>
        <v>Male</v>
      </c>
      <c r="D743" s="5">
        <f>VLOOKUP(globalfreelancepreprocesseddata!A743,worksheet!A:P,6,FALSE)</f>
        <v>46</v>
      </c>
      <c r="E743" s="5" t="str">
        <f>VLOOKUP(globalfreelancepreprocesseddata!A743,worksheet!A:P,7,FALSE)</f>
        <v>Canada</v>
      </c>
      <c r="F743" s="5" t="str">
        <f>VLOOKUP(globalfreelancepreprocesseddata!A743,worksheet!A:P,8,FALSE)</f>
        <v>English</v>
      </c>
      <c r="G743" s="5" t="str">
        <f>VLOOKUP(globalfreelancepreprocesseddata!A743,worksheet!A:P,9,FALSE)</f>
        <v>Web Development</v>
      </c>
      <c r="H743" s="5">
        <f>VLOOKUP(globalfreelancepreprocesseddata!A743,worksheet!A:P,10,FALSE)</f>
        <v>5</v>
      </c>
      <c r="I743" s="6">
        <f>VLOOKUP(globalfreelancepreprocesseddata!A743,worksheet!A:P,12,FALSE)</f>
        <v>30</v>
      </c>
      <c r="J743" s="5">
        <f>VLOOKUP(globalfreelancepreprocesseddata!A743,worksheet!A:P,13,FALSE)</f>
        <v>2.6</v>
      </c>
      <c r="K743" s="5">
        <f>VLOOKUP(globalfreelancepreprocesseddata!A743,worksheet!A:P,14,FALSE)</f>
        <v>1</v>
      </c>
      <c r="L743" s="7">
        <f>VLOOKUP(globalfreelancepreprocesseddata!A743,worksheet!A:P,16,FALSE)</f>
        <v>0.76</v>
      </c>
    </row>
    <row r="744" spans="1:12" x14ac:dyDescent="0.35">
      <c r="A744" s="5" t="s">
        <v>1557</v>
      </c>
      <c r="B744" s="5" t="str">
        <f>VLOOKUP(globalfreelancepreprocesseddata!A744,worksheet!A:P,3,FALSE)</f>
        <v>Eric Nguyen</v>
      </c>
      <c r="C744" s="5" t="str">
        <f>VLOOKUP(globalfreelancepreprocesseddata!A744,worksheet!A:P,5,FALSE)</f>
        <v>Male</v>
      </c>
      <c r="D744" s="5">
        <f>VLOOKUP(globalfreelancepreprocesseddata!A744,worksheet!A:P,6,FALSE)</f>
        <v>55</v>
      </c>
      <c r="E744" s="5" t="str">
        <f>VLOOKUP(globalfreelancepreprocesseddata!A744,worksheet!A:P,7,FALSE)</f>
        <v>India</v>
      </c>
      <c r="F744" s="5" t="str">
        <f>VLOOKUP(globalfreelancepreprocesseddata!A744,worksheet!A:P,8,FALSE)</f>
        <v>Hindi</v>
      </c>
      <c r="G744" s="5" t="str">
        <f>VLOOKUP(globalfreelancepreprocesseddata!A744,worksheet!A:P,9,FALSE)</f>
        <v>AI</v>
      </c>
      <c r="H744" s="5">
        <f>VLOOKUP(globalfreelancepreprocesseddata!A744,worksheet!A:P,10,FALSE)</f>
        <v>37</v>
      </c>
      <c r="I744" s="6" t="str">
        <f>VLOOKUP(globalfreelancepreprocesseddata!A744,worksheet!A:P,12,FALSE)</f>
        <v>$ 75</v>
      </c>
      <c r="J744" s="5">
        <f>VLOOKUP(globalfreelancepreprocesseddata!A744,worksheet!A:P,13,FALSE)</f>
        <v>4.0999999999999996</v>
      </c>
      <c r="K744" s="5">
        <f>VLOOKUP(globalfreelancepreprocesseddata!A744,worksheet!A:P,14,FALSE)</f>
        <v>1</v>
      </c>
      <c r="L744" s="7">
        <f>VLOOKUP(globalfreelancepreprocesseddata!A744,worksheet!A:P,16,FALSE)</f>
        <v>0.16</v>
      </c>
    </row>
    <row r="745" spans="1:12" x14ac:dyDescent="0.35">
      <c r="A745" s="5" t="s">
        <v>1559</v>
      </c>
      <c r="B745" s="5" t="str">
        <f>VLOOKUP(globalfreelancepreprocesseddata!A745,worksheet!A:P,3,FALSE)</f>
        <v>Wendy Boyer</v>
      </c>
      <c r="C745" s="5" t="str">
        <f>VLOOKUP(globalfreelancepreprocesseddata!A745,worksheet!A:P,5,FALSE)</f>
        <v>Female</v>
      </c>
      <c r="D745" s="5">
        <f>VLOOKUP(globalfreelancepreprocesseddata!A745,worksheet!A:P,6,FALSE)</f>
        <v>32</v>
      </c>
      <c r="E745" s="5" t="str">
        <f>VLOOKUP(globalfreelancepreprocesseddata!A745,worksheet!A:P,7,FALSE)</f>
        <v>Australia</v>
      </c>
      <c r="F745" s="5" t="str">
        <f>VLOOKUP(globalfreelancepreprocesseddata!A745,worksheet!A:P,8,FALSE)</f>
        <v>English</v>
      </c>
      <c r="G745" s="5" t="str">
        <f>VLOOKUP(globalfreelancepreprocesseddata!A745,worksheet!A:P,9,FALSE)</f>
        <v>DevOps</v>
      </c>
      <c r="H745" s="5">
        <f>VLOOKUP(globalfreelancepreprocesseddata!A745,worksheet!A:P,10,FALSE)</f>
        <v>10</v>
      </c>
      <c r="I745" s="6" t="str">
        <f>VLOOKUP(globalfreelancepreprocesseddata!A745,worksheet!A:P,12,FALSE)</f>
        <v>$ 50</v>
      </c>
      <c r="J745" s="5">
        <f>VLOOKUP(globalfreelancepreprocesseddata!A745,worksheet!A:P,13,FALSE)</f>
        <v>1.5</v>
      </c>
      <c r="K745" s="5">
        <f>VLOOKUP(globalfreelancepreprocesseddata!A745,worksheet!A:P,14,FALSE)</f>
        <v>0</v>
      </c>
      <c r="L745" s="7">
        <f>VLOOKUP(globalfreelancepreprocesseddata!A745,worksheet!A:P,16,FALSE)</f>
        <v>0.65</v>
      </c>
    </row>
    <row r="746" spans="1:12" x14ac:dyDescent="0.35">
      <c r="A746" s="5" t="s">
        <v>1561</v>
      </c>
      <c r="B746" s="5" t="str">
        <f>VLOOKUP(globalfreelancepreprocesseddata!A746,worksheet!A:P,3,FALSE)</f>
        <v>Mark Clark</v>
      </c>
      <c r="C746" s="5" t="str">
        <f>VLOOKUP(globalfreelancepreprocesseddata!A746,worksheet!A:P,5,FALSE)</f>
        <v>Male</v>
      </c>
      <c r="D746" s="5">
        <f>VLOOKUP(globalfreelancepreprocesseddata!A746,worksheet!A:P,6,FALSE)</f>
        <v>53</v>
      </c>
      <c r="E746" s="5" t="str">
        <f>VLOOKUP(globalfreelancepreprocesseddata!A746,worksheet!A:P,7,FALSE)</f>
        <v>Indonesia</v>
      </c>
      <c r="F746" s="5" t="str">
        <f>VLOOKUP(globalfreelancepreprocesseddata!A746,worksheet!A:P,8,FALSE)</f>
        <v>Indonesian</v>
      </c>
      <c r="G746" s="5" t="str">
        <f>VLOOKUP(globalfreelancepreprocesseddata!A746,worksheet!A:P,9,FALSE)</f>
        <v>AI</v>
      </c>
      <c r="H746" s="5">
        <f>VLOOKUP(globalfreelancepreprocesseddata!A746,worksheet!A:P,10,FALSE)</f>
        <v>28</v>
      </c>
      <c r="I746" s="6" t="str">
        <f>VLOOKUP(globalfreelancepreprocesseddata!A746,worksheet!A:P,12,FALSE)</f>
        <v>$ 50</v>
      </c>
      <c r="J746" s="5">
        <f>VLOOKUP(globalfreelancepreprocesseddata!A746,worksheet!A:P,13,FALSE)</f>
        <v>2.9</v>
      </c>
      <c r="K746" s="5">
        <f>VLOOKUP(globalfreelancepreprocesseddata!A746,worksheet!A:P,14,FALSE)</f>
        <v>1</v>
      </c>
      <c r="L746" s="7">
        <f>VLOOKUP(globalfreelancepreprocesseddata!A746,worksheet!A:P,16,FALSE)</f>
        <v>0.82</v>
      </c>
    </row>
    <row r="747" spans="1:12" x14ac:dyDescent="0.35">
      <c r="A747" s="5" t="s">
        <v>1563</v>
      </c>
      <c r="B747" s="5" t="str">
        <f>VLOOKUP(globalfreelancepreprocesseddata!A747,worksheet!A:P,3,FALSE)</f>
        <v>Carl Kline</v>
      </c>
      <c r="C747" s="5" t="str">
        <f>VLOOKUP(globalfreelancepreprocesseddata!A747,worksheet!A:P,5,FALSE)</f>
        <v>Male</v>
      </c>
      <c r="D747" s="5">
        <f>VLOOKUP(globalfreelancepreprocesseddata!A747,worksheet!A:P,6,FALSE)</f>
        <v>59</v>
      </c>
      <c r="E747" s="5" t="str">
        <f>VLOOKUP(globalfreelancepreprocesseddata!A747,worksheet!A:P,7,FALSE)</f>
        <v>Mexico</v>
      </c>
      <c r="F747" s="5" t="str">
        <f>VLOOKUP(globalfreelancepreprocesseddata!A747,worksheet!A:P,8,FALSE)</f>
        <v>Spanish</v>
      </c>
      <c r="G747" s="5" t="str">
        <f>VLOOKUP(globalfreelancepreprocesseddata!A747,worksheet!A:P,9,FALSE)</f>
        <v>AI</v>
      </c>
      <c r="H747" s="5">
        <f>VLOOKUP(globalfreelancepreprocesseddata!A747,worksheet!A:P,10,FALSE)</f>
        <v>11</v>
      </c>
      <c r="I747" s="6">
        <f>VLOOKUP(globalfreelancepreprocesseddata!A747,worksheet!A:P,12,FALSE)</f>
        <v>100</v>
      </c>
      <c r="J747" s="5">
        <f>VLOOKUP(globalfreelancepreprocesseddata!A747,worksheet!A:P,13,FALSE)</f>
        <v>0</v>
      </c>
      <c r="K747" s="5">
        <f>VLOOKUP(globalfreelancepreprocesseddata!A747,worksheet!A:P,14,FALSE)</f>
        <v>1</v>
      </c>
      <c r="L747" s="7">
        <f>VLOOKUP(globalfreelancepreprocesseddata!A747,worksheet!A:P,16,FALSE)</f>
        <v>0.87</v>
      </c>
    </row>
    <row r="748" spans="1:12" x14ac:dyDescent="0.35">
      <c r="A748" s="5" t="s">
        <v>1565</v>
      </c>
      <c r="B748" s="5" t="str">
        <f>VLOOKUP(globalfreelancepreprocesseddata!A748,worksheet!A:P,3,FALSE)</f>
        <v>Linda Williams</v>
      </c>
      <c r="C748" s="5" t="str">
        <f>VLOOKUP(globalfreelancepreprocesseddata!A748,worksheet!A:P,5,FALSE)</f>
        <v>Female</v>
      </c>
      <c r="D748" s="5">
        <f>VLOOKUP(globalfreelancepreprocesseddata!A748,worksheet!A:P,6,FALSE)</f>
        <v>44</v>
      </c>
      <c r="E748" s="5" t="str">
        <f>VLOOKUP(globalfreelancepreprocesseddata!A748,worksheet!A:P,7,FALSE)</f>
        <v>Netherlands</v>
      </c>
      <c r="F748" s="5" t="str">
        <f>VLOOKUP(globalfreelancepreprocesseddata!A748,worksheet!A:P,8,FALSE)</f>
        <v>Dutch</v>
      </c>
      <c r="G748" s="5" t="str">
        <f>VLOOKUP(globalfreelancepreprocesseddata!A748,worksheet!A:P,9,FALSE)</f>
        <v>Machine Learning</v>
      </c>
      <c r="H748" s="5">
        <f>VLOOKUP(globalfreelancepreprocesseddata!A748,worksheet!A:P,10,FALSE)</f>
        <v>19</v>
      </c>
      <c r="I748" s="6">
        <f>VLOOKUP(globalfreelancepreprocesseddata!A748,worksheet!A:P,12,FALSE)</f>
        <v>40</v>
      </c>
      <c r="J748" s="5">
        <f>VLOOKUP(globalfreelancepreprocesseddata!A748,worksheet!A:P,13,FALSE)</f>
        <v>4.9000000000000004</v>
      </c>
      <c r="K748" s="5">
        <f>VLOOKUP(globalfreelancepreprocesseddata!A748,worksheet!A:P,14,FALSE)</f>
        <v>0</v>
      </c>
      <c r="L748" s="7">
        <f>VLOOKUP(globalfreelancepreprocesseddata!A748,worksheet!A:P,16,FALSE)</f>
        <v>0.01</v>
      </c>
    </row>
    <row r="749" spans="1:12" x14ac:dyDescent="0.35">
      <c r="A749" s="5" t="s">
        <v>1567</v>
      </c>
      <c r="B749" s="5" t="str">
        <f>VLOOKUP(globalfreelancepreprocesseddata!A749,worksheet!A:P,3,FALSE)</f>
        <v>Jason Edwards</v>
      </c>
      <c r="C749" s="5" t="str">
        <f>VLOOKUP(globalfreelancepreprocesseddata!A749,worksheet!A:P,5,FALSE)</f>
        <v>Male</v>
      </c>
      <c r="D749" s="5">
        <f>VLOOKUP(globalfreelancepreprocesseddata!A749,worksheet!A:P,6,FALSE)</f>
        <v>35</v>
      </c>
      <c r="E749" s="5" t="str">
        <f>VLOOKUP(globalfreelancepreprocesseddata!A749,worksheet!A:P,7,FALSE)</f>
        <v>Egypt</v>
      </c>
      <c r="F749" s="5" t="str">
        <f>VLOOKUP(globalfreelancepreprocesseddata!A749,worksheet!A:P,8,FALSE)</f>
        <v>Arabic</v>
      </c>
      <c r="G749" s="5" t="str">
        <f>VLOOKUP(globalfreelancepreprocesseddata!A749,worksheet!A:P,9,FALSE)</f>
        <v>Blockchain Development</v>
      </c>
      <c r="H749" s="5">
        <f>VLOOKUP(globalfreelancepreprocesseddata!A749,worksheet!A:P,10,FALSE)</f>
        <v>9</v>
      </c>
      <c r="I749" s="6" t="str">
        <f>VLOOKUP(globalfreelancepreprocesseddata!A749,worksheet!A:P,12,FALSE)</f>
        <v>$ 50</v>
      </c>
      <c r="J749" s="5">
        <f>VLOOKUP(globalfreelancepreprocesseddata!A749,worksheet!A:P,13,FALSE)</f>
        <v>3</v>
      </c>
      <c r="K749" s="5">
        <f>VLOOKUP(globalfreelancepreprocesseddata!A749,worksheet!A:P,14,FALSE)</f>
        <v>0</v>
      </c>
      <c r="L749" s="7">
        <f>VLOOKUP(globalfreelancepreprocesseddata!A749,worksheet!A:P,16,FALSE)</f>
        <v>0.71</v>
      </c>
    </row>
    <row r="750" spans="1:12" x14ac:dyDescent="0.35">
      <c r="A750" s="5" t="s">
        <v>1569</v>
      </c>
      <c r="B750" s="5" t="str">
        <f>VLOOKUP(globalfreelancepreprocesseddata!A750,worksheet!A:P,3,FALSE)</f>
        <v>Madison Mcintosh</v>
      </c>
      <c r="C750" s="5" t="str">
        <f>VLOOKUP(globalfreelancepreprocesseddata!A750,worksheet!A:P,5,FALSE)</f>
        <v>Female</v>
      </c>
      <c r="D750" s="5">
        <f>VLOOKUP(globalfreelancepreprocesseddata!A750,worksheet!A:P,6,FALSE)</f>
        <v>42</v>
      </c>
      <c r="E750" s="5" t="str">
        <f>VLOOKUP(globalfreelancepreprocesseddata!A750,worksheet!A:P,7,FALSE)</f>
        <v>China</v>
      </c>
      <c r="F750" s="5" t="str">
        <f>VLOOKUP(globalfreelancepreprocesseddata!A750,worksheet!A:P,8,FALSE)</f>
        <v>Mandarin</v>
      </c>
      <c r="G750" s="5" t="str">
        <f>VLOOKUP(globalfreelancepreprocesseddata!A750,worksheet!A:P,9,FALSE)</f>
        <v>Machine Learning</v>
      </c>
      <c r="H750" s="5">
        <f>VLOOKUP(globalfreelancepreprocesseddata!A750,worksheet!A:P,10,FALSE)</f>
        <v>5</v>
      </c>
      <c r="I750" s="6">
        <f>VLOOKUP(globalfreelancepreprocesseddata!A750,worksheet!A:P,12,FALSE)</f>
        <v>30</v>
      </c>
      <c r="J750" s="5">
        <f>VLOOKUP(globalfreelancepreprocesseddata!A750,worksheet!A:P,13,FALSE)</f>
        <v>4.9000000000000004</v>
      </c>
      <c r="K750" s="5">
        <f>VLOOKUP(globalfreelancepreprocesseddata!A750,worksheet!A:P,14,FALSE)</f>
        <v>1</v>
      </c>
      <c r="L750" s="7">
        <f>VLOOKUP(globalfreelancepreprocesseddata!A750,worksheet!A:P,16,FALSE)</f>
        <v>0.87</v>
      </c>
    </row>
    <row r="751" spans="1:12" x14ac:dyDescent="0.35">
      <c r="A751" s="5" t="s">
        <v>1571</v>
      </c>
      <c r="B751" s="5" t="str">
        <f>VLOOKUP(globalfreelancepreprocesseddata!A751,worksheet!A:P,3,FALSE)</f>
        <v>Desiree Winters</v>
      </c>
      <c r="C751" s="5" t="str">
        <f>VLOOKUP(globalfreelancepreprocesseddata!A751,worksheet!A:P,5,FALSE)</f>
        <v>Female</v>
      </c>
      <c r="D751" s="5">
        <f>VLOOKUP(globalfreelancepreprocesseddata!A751,worksheet!A:P,6,FALSE)</f>
        <v>58</v>
      </c>
      <c r="E751" s="5" t="str">
        <f>VLOOKUP(globalfreelancepreprocesseddata!A751,worksheet!A:P,7,FALSE)</f>
        <v>South Korea</v>
      </c>
      <c r="F751" s="5" t="str">
        <f>VLOOKUP(globalfreelancepreprocesseddata!A751,worksheet!A:P,8,FALSE)</f>
        <v>Korean</v>
      </c>
      <c r="G751" s="5" t="str">
        <f>VLOOKUP(globalfreelancepreprocesseddata!A751,worksheet!A:P,9,FALSE)</f>
        <v>Blockchain Development</v>
      </c>
      <c r="H751" s="5">
        <f>VLOOKUP(globalfreelancepreprocesseddata!A751,worksheet!A:P,10,FALSE)</f>
        <v>11</v>
      </c>
      <c r="I751" s="6" t="str">
        <f>VLOOKUP(globalfreelancepreprocesseddata!A751,worksheet!A:P,12,FALSE)</f>
        <v>$ 30</v>
      </c>
      <c r="J751" s="5">
        <f>VLOOKUP(globalfreelancepreprocesseddata!A751,worksheet!A:P,13,FALSE)</f>
        <v>4.5999999999999996</v>
      </c>
      <c r="K751" s="5">
        <f>VLOOKUP(globalfreelancepreprocesseddata!A751,worksheet!A:P,14,FALSE)</f>
        <v>0</v>
      </c>
      <c r="L751" s="7">
        <f>VLOOKUP(globalfreelancepreprocesseddata!A751,worksheet!A:P,16,FALSE)</f>
        <v>0.7</v>
      </c>
    </row>
    <row r="752" spans="1:12" x14ac:dyDescent="0.35">
      <c r="A752" s="5" t="s">
        <v>1573</v>
      </c>
      <c r="B752" s="5" t="str">
        <f>VLOOKUP(globalfreelancepreprocesseddata!A752,worksheet!A:P,3,FALSE)</f>
        <v>Ryan Taylor</v>
      </c>
      <c r="C752" s="5" t="str">
        <f>VLOOKUP(globalfreelancepreprocesseddata!A752,worksheet!A:P,5,FALSE)</f>
        <v>Male</v>
      </c>
      <c r="D752" s="5">
        <f>VLOOKUP(globalfreelancepreprocesseddata!A752,worksheet!A:P,6,FALSE)</f>
        <v>41</v>
      </c>
      <c r="E752" s="5" t="str">
        <f>VLOOKUP(globalfreelancepreprocesseddata!A752,worksheet!A:P,7,FALSE)</f>
        <v>Netherlands</v>
      </c>
      <c r="F752" s="5" t="str">
        <f>VLOOKUP(globalfreelancepreprocesseddata!A752,worksheet!A:P,8,FALSE)</f>
        <v>Dutch</v>
      </c>
      <c r="G752" s="5" t="str">
        <f>VLOOKUP(globalfreelancepreprocesseddata!A752,worksheet!A:P,9,FALSE)</f>
        <v>AI</v>
      </c>
      <c r="H752" s="5">
        <f>VLOOKUP(globalfreelancepreprocesseddata!A752,worksheet!A:P,10,FALSE)</f>
        <v>21</v>
      </c>
      <c r="I752" s="6" t="str">
        <f>VLOOKUP(globalfreelancepreprocesseddata!A752,worksheet!A:P,12,FALSE)</f>
        <v>$ 100</v>
      </c>
      <c r="J752" s="5">
        <f>VLOOKUP(globalfreelancepreprocesseddata!A752,worksheet!A:P,13,FALSE)</f>
        <v>2.2000000000000002</v>
      </c>
      <c r="K752" s="5">
        <f>VLOOKUP(globalfreelancepreprocesseddata!A752,worksheet!A:P,14,FALSE)</f>
        <v>1</v>
      </c>
      <c r="L752" s="7">
        <f>VLOOKUP(globalfreelancepreprocesseddata!A752,worksheet!A:P,16,FALSE)</f>
        <v>0.83</v>
      </c>
    </row>
    <row r="753" spans="1:12" x14ac:dyDescent="0.35">
      <c r="A753" s="5" t="s">
        <v>1575</v>
      </c>
      <c r="B753" s="5" t="str">
        <f>VLOOKUP(globalfreelancepreprocesseddata!A753,worksheet!A:P,3,FALSE)</f>
        <v>Patricia Scott</v>
      </c>
      <c r="C753" s="5" t="str">
        <f>VLOOKUP(globalfreelancepreprocesseddata!A753,worksheet!A:P,5,FALSE)</f>
        <v>Female</v>
      </c>
      <c r="D753" s="5">
        <f>VLOOKUP(globalfreelancepreprocesseddata!A753,worksheet!A:P,6,FALSE)</f>
        <v>41</v>
      </c>
      <c r="E753" s="5" t="str">
        <f>VLOOKUP(globalfreelancepreprocesseddata!A753,worksheet!A:P,7,FALSE)</f>
        <v>Argentina</v>
      </c>
      <c r="F753" s="5" t="str">
        <f>VLOOKUP(globalfreelancepreprocesseddata!A753,worksheet!A:P,8,FALSE)</f>
        <v>Spanish</v>
      </c>
      <c r="G753" s="5" t="str">
        <f>VLOOKUP(globalfreelancepreprocesseddata!A753,worksheet!A:P,9,FALSE)</f>
        <v>Web Development</v>
      </c>
      <c r="H753" s="5">
        <f>VLOOKUP(globalfreelancepreprocesseddata!A753,worksheet!A:P,10,FALSE)</f>
        <v>11</v>
      </c>
      <c r="I753" s="6">
        <f>VLOOKUP(globalfreelancepreprocesseddata!A753,worksheet!A:P,12,FALSE)</f>
        <v>40</v>
      </c>
      <c r="J753" s="5">
        <f>VLOOKUP(globalfreelancepreprocesseddata!A753,worksheet!A:P,13,FALSE)</f>
        <v>3</v>
      </c>
      <c r="K753" s="5">
        <f>VLOOKUP(globalfreelancepreprocesseddata!A753,worksheet!A:P,14,FALSE)</f>
        <v>1</v>
      </c>
      <c r="L753" s="7">
        <f>VLOOKUP(globalfreelancepreprocesseddata!A753,worksheet!A:P,16,FALSE)</f>
        <v>0.74</v>
      </c>
    </row>
    <row r="754" spans="1:12" x14ac:dyDescent="0.35">
      <c r="A754" s="5" t="s">
        <v>1577</v>
      </c>
      <c r="B754" s="5" t="str">
        <f>VLOOKUP(globalfreelancepreprocesseddata!A754,worksheet!A:P,3,FALSE)</f>
        <v>Erin Jimenez</v>
      </c>
      <c r="C754" s="5" t="str">
        <f>VLOOKUP(globalfreelancepreprocesseddata!A754,worksheet!A:P,5,FALSE)</f>
        <v>Female</v>
      </c>
      <c r="D754" s="5">
        <f>VLOOKUP(globalfreelancepreprocesseddata!A754,worksheet!A:P,6,FALSE)</f>
        <v>23</v>
      </c>
      <c r="E754" s="5" t="str">
        <f>VLOOKUP(globalfreelancepreprocesseddata!A754,worksheet!A:P,7,FALSE)</f>
        <v>Canada</v>
      </c>
      <c r="F754" s="5" t="str">
        <f>VLOOKUP(globalfreelancepreprocesseddata!A754,worksheet!A:P,8,FALSE)</f>
        <v>English</v>
      </c>
      <c r="G754" s="5" t="str">
        <f>VLOOKUP(globalfreelancepreprocesseddata!A754,worksheet!A:P,9,FALSE)</f>
        <v>Blockchain Development</v>
      </c>
      <c r="H754" s="5">
        <f>VLOOKUP(globalfreelancepreprocesseddata!A754,worksheet!A:P,10,FALSE)</f>
        <v>11</v>
      </c>
      <c r="I754" s="6">
        <f>VLOOKUP(globalfreelancepreprocesseddata!A754,worksheet!A:P,12,FALSE)</f>
        <v>30</v>
      </c>
      <c r="J754" s="5">
        <f>VLOOKUP(globalfreelancepreprocesseddata!A754,worksheet!A:P,13,FALSE)</f>
        <v>1.1000000000000001</v>
      </c>
      <c r="K754" s="5">
        <f>VLOOKUP(globalfreelancepreprocesseddata!A754,worksheet!A:P,14,FALSE)</f>
        <v>1</v>
      </c>
      <c r="L754" s="7">
        <f>VLOOKUP(globalfreelancepreprocesseddata!A754,worksheet!A:P,16,FALSE)</f>
        <v>0.86</v>
      </c>
    </row>
    <row r="755" spans="1:12" x14ac:dyDescent="0.35">
      <c r="A755" s="5" t="s">
        <v>1579</v>
      </c>
      <c r="B755" s="5" t="str">
        <f>VLOOKUP(globalfreelancepreprocesseddata!A755,worksheet!A:P,3,FALSE)</f>
        <v>Anthony Krause</v>
      </c>
      <c r="C755" s="5" t="str">
        <f>VLOOKUP(globalfreelancepreprocesseddata!A755,worksheet!A:P,5,FALSE)</f>
        <v>Male</v>
      </c>
      <c r="D755" s="5">
        <f>VLOOKUP(globalfreelancepreprocesseddata!A755,worksheet!A:P,6,FALSE)</f>
        <v>51</v>
      </c>
      <c r="E755" s="5" t="str">
        <f>VLOOKUP(globalfreelancepreprocesseddata!A755,worksheet!A:P,7,FALSE)</f>
        <v>China</v>
      </c>
      <c r="F755" s="5" t="str">
        <f>VLOOKUP(globalfreelancepreprocesseddata!A755,worksheet!A:P,8,FALSE)</f>
        <v>Mandarin</v>
      </c>
      <c r="G755" s="5" t="str">
        <f>VLOOKUP(globalfreelancepreprocesseddata!A755,worksheet!A:P,9,FALSE)</f>
        <v>Blockchain Development</v>
      </c>
      <c r="H755" s="5">
        <f>VLOOKUP(globalfreelancepreprocesseddata!A755,worksheet!A:P,10,FALSE)</f>
        <v>17</v>
      </c>
      <c r="I755" s="6">
        <f>VLOOKUP(globalfreelancepreprocesseddata!A755,worksheet!A:P,12,FALSE)</f>
        <v>40</v>
      </c>
      <c r="J755" s="5">
        <f>VLOOKUP(globalfreelancepreprocesseddata!A755,worksheet!A:P,13,FALSE)</f>
        <v>4.5</v>
      </c>
      <c r="K755" s="5">
        <f>VLOOKUP(globalfreelancepreprocesseddata!A755,worksheet!A:P,14,FALSE)</f>
        <v>1</v>
      </c>
      <c r="L755" s="7">
        <f>VLOOKUP(globalfreelancepreprocesseddata!A755,worksheet!A:P,16,FALSE)</f>
        <v>0.72</v>
      </c>
    </row>
    <row r="756" spans="1:12" x14ac:dyDescent="0.35">
      <c r="A756" s="5" t="s">
        <v>1581</v>
      </c>
      <c r="B756" s="5" t="str">
        <f>VLOOKUP(globalfreelancepreprocesseddata!A756,worksheet!A:P,3,FALSE)</f>
        <v>Diane Dean</v>
      </c>
      <c r="C756" s="5" t="str">
        <f>VLOOKUP(globalfreelancepreprocesseddata!A756,worksheet!A:P,5,FALSE)</f>
        <v>Female</v>
      </c>
      <c r="D756" s="5">
        <f>VLOOKUP(globalfreelancepreprocesseddata!A756,worksheet!A:P,6,FALSE)</f>
        <v>42</v>
      </c>
      <c r="E756" s="5" t="str">
        <f>VLOOKUP(globalfreelancepreprocesseddata!A756,worksheet!A:P,7,FALSE)</f>
        <v>France</v>
      </c>
      <c r="F756" s="5" t="str">
        <f>VLOOKUP(globalfreelancepreprocesseddata!A756,worksheet!A:P,8,FALSE)</f>
        <v>French</v>
      </c>
      <c r="G756" s="5" t="str">
        <f>VLOOKUP(globalfreelancepreprocesseddata!A756,worksheet!A:P,9,FALSE)</f>
        <v>AI</v>
      </c>
      <c r="H756" s="5">
        <f>VLOOKUP(globalfreelancepreprocesseddata!A756,worksheet!A:P,10,FALSE)</f>
        <v>21</v>
      </c>
      <c r="I756" s="6">
        <f>VLOOKUP(globalfreelancepreprocesseddata!A756,worksheet!A:P,12,FALSE)</f>
        <v>40</v>
      </c>
      <c r="J756" s="5">
        <f>VLOOKUP(globalfreelancepreprocesseddata!A756,worksheet!A:P,13,FALSE)</f>
        <v>2.5</v>
      </c>
      <c r="K756" s="5">
        <f>VLOOKUP(globalfreelancepreprocesseddata!A756,worksheet!A:P,14,FALSE)</f>
        <v>1</v>
      </c>
      <c r="L756" s="7">
        <f>VLOOKUP(globalfreelancepreprocesseddata!A756,worksheet!A:P,16,FALSE)</f>
        <v>0.73</v>
      </c>
    </row>
    <row r="757" spans="1:12" x14ac:dyDescent="0.35">
      <c r="A757" s="5" t="s">
        <v>1583</v>
      </c>
      <c r="B757" s="5" t="str">
        <f>VLOOKUP(globalfreelancepreprocesseddata!A757,worksheet!A:P,3,FALSE)</f>
        <v>Stuart Mckinney</v>
      </c>
      <c r="C757" s="5" t="str">
        <f>VLOOKUP(globalfreelancepreprocesseddata!A757,worksheet!A:P,5,FALSE)</f>
        <v>Male</v>
      </c>
      <c r="D757" s="5">
        <f>VLOOKUP(globalfreelancepreprocesseddata!A757,worksheet!A:P,6,FALSE)</f>
        <v>26</v>
      </c>
      <c r="E757" s="5" t="str">
        <f>VLOOKUP(globalfreelancepreprocesseddata!A757,worksheet!A:P,7,FALSE)</f>
        <v>Japan</v>
      </c>
      <c r="F757" s="5" t="str">
        <f>VLOOKUP(globalfreelancepreprocesseddata!A757,worksheet!A:P,8,FALSE)</f>
        <v>Japanese</v>
      </c>
      <c r="G757" s="5" t="str">
        <f>VLOOKUP(globalfreelancepreprocesseddata!A757,worksheet!A:P,9,FALSE)</f>
        <v>Data Analysis</v>
      </c>
      <c r="H757" s="5">
        <f>VLOOKUP(globalfreelancepreprocesseddata!A757,worksheet!A:P,10,FALSE)</f>
        <v>7</v>
      </c>
      <c r="I757" s="6" t="str">
        <f>VLOOKUP(globalfreelancepreprocesseddata!A757,worksheet!A:P,12,FALSE)</f>
        <v>$ 75</v>
      </c>
      <c r="J757" s="5">
        <f>VLOOKUP(globalfreelancepreprocesseddata!A757,worksheet!A:P,13,FALSE)</f>
        <v>2.9</v>
      </c>
      <c r="K757" s="5">
        <f>VLOOKUP(globalfreelancepreprocesseddata!A757,worksheet!A:P,14,FALSE)</f>
        <v>0</v>
      </c>
      <c r="L757" s="7">
        <f>VLOOKUP(globalfreelancepreprocesseddata!A757,worksheet!A:P,16,FALSE)</f>
        <v>0.78</v>
      </c>
    </row>
    <row r="758" spans="1:12" x14ac:dyDescent="0.35">
      <c r="A758" s="5" t="s">
        <v>1585</v>
      </c>
      <c r="B758" s="5" t="str">
        <f>VLOOKUP(globalfreelancepreprocesseddata!A758,worksheet!A:P,3,FALSE)</f>
        <v>Kellie Le</v>
      </c>
      <c r="C758" s="5" t="str">
        <f>VLOOKUP(globalfreelancepreprocesseddata!A758,worksheet!A:P,5,FALSE)</f>
        <v>Female</v>
      </c>
      <c r="D758" s="5">
        <f>VLOOKUP(globalfreelancepreprocesseddata!A758,worksheet!A:P,6,FALSE)</f>
        <v>49</v>
      </c>
      <c r="E758" s="5" t="str">
        <f>VLOOKUP(globalfreelancepreprocesseddata!A758,worksheet!A:P,7,FALSE)</f>
        <v>Indonesia</v>
      </c>
      <c r="F758" s="5" t="str">
        <f>VLOOKUP(globalfreelancepreprocesseddata!A758,worksheet!A:P,8,FALSE)</f>
        <v>Indonesian</v>
      </c>
      <c r="G758" s="5" t="str">
        <f>VLOOKUP(globalfreelancepreprocesseddata!A758,worksheet!A:P,9,FALSE)</f>
        <v>AI</v>
      </c>
      <c r="H758" s="5">
        <f>VLOOKUP(globalfreelancepreprocesseddata!A758,worksheet!A:P,10,FALSE)</f>
        <v>22</v>
      </c>
      <c r="I758" s="6">
        <f>VLOOKUP(globalfreelancepreprocesseddata!A758,worksheet!A:P,12,FALSE)</f>
        <v>75</v>
      </c>
      <c r="J758" s="5">
        <f>VLOOKUP(globalfreelancepreprocesseddata!A758,worksheet!A:P,13,FALSE)</f>
        <v>0</v>
      </c>
      <c r="K758" s="5">
        <f>VLOOKUP(globalfreelancepreprocesseddata!A758,worksheet!A:P,14,FALSE)</f>
        <v>1</v>
      </c>
      <c r="L758" s="7">
        <f>VLOOKUP(globalfreelancepreprocesseddata!A758,worksheet!A:P,16,FALSE)</f>
        <v>0.16</v>
      </c>
    </row>
    <row r="759" spans="1:12" x14ac:dyDescent="0.35">
      <c r="A759" s="5" t="s">
        <v>1587</v>
      </c>
      <c r="B759" s="5" t="str">
        <f>VLOOKUP(globalfreelancepreprocesseddata!A759,worksheet!A:P,3,FALSE)</f>
        <v>Lauren Henry</v>
      </c>
      <c r="C759" s="5" t="str">
        <f>VLOOKUP(globalfreelancepreprocesseddata!A759,worksheet!A:P,5,FALSE)</f>
        <v>Female</v>
      </c>
      <c r="D759" s="5">
        <f>VLOOKUP(globalfreelancepreprocesseddata!A759,worksheet!A:P,6,FALSE)</f>
        <v>37</v>
      </c>
      <c r="E759" s="5" t="str">
        <f>VLOOKUP(globalfreelancepreprocesseddata!A759,worksheet!A:P,7,FALSE)</f>
        <v>Italy</v>
      </c>
      <c r="F759" s="5" t="str">
        <f>VLOOKUP(globalfreelancepreprocesseddata!A759,worksheet!A:P,8,FALSE)</f>
        <v>Italian</v>
      </c>
      <c r="G759" s="5" t="str">
        <f>VLOOKUP(globalfreelancepreprocesseddata!A759,worksheet!A:P,9,FALSE)</f>
        <v>DevOps</v>
      </c>
      <c r="H759" s="5">
        <f>VLOOKUP(globalfreelancepreprocesseddata!A759,worksheet!A:P,10,FALSE)</f>
        <v>11</v>
      </c>
      <c r="I759" s="6" t="str">
        <f>VLOOKUP(globalfreelancepreprocesseddata!A759,worksheet!A:P,12,FALSE)</f>
        <v>$ 75</v>
      </c>
      <c r="J759" s="5">
        <f>VLOOKUP(globalfreelancepreprocesseddata!A759,worksheet!A:P,13,FALSE)</f>
        <v>3.5</v>
      </c>
      <c r="K759" s="5">
        <f>VLOOKUP(globalfreelancepreprocesseddata!A759,worksheet!A:P,14,FALSE)</f>
        <v>0</v>
      </c>
      <c r="L759" s="7">
        <f>VLOOKUP(globalfreelancepreprocesseddata!A759,worksheet!A:P,16,FALSE)</f>
        <v>0.75</v>
      </c>
    </row>
    <row r="760" spans="1:12" x14ac:dyDescent="0.35">
      <c r="A760" s="5" t="s">
        <v>1589</v>
      </c>
      <c r="B760" s="5" t="str">
        <f>VLOOKUP(globalfreelancepreprocesseddata!A760,worksheet!A:P,3,FALSE)</f>
        <v>Brandon Fox</v>
      </c>
      <c r="C760" s="5" t="str">
        <f>VLOOKUP(globalfreelancepreprocesseddata!A760,worksheet!A:P,5,FALSE)</f>
        <v>Male</v>
      </c>
      <c r="D760" s="5">
        <f>VLOOKUP(globalfreelancepreprocesseddata!A760,worksheet!A:P,6,FALSE)</f>
        <v>31</v>
      </c>
      <c r="E760" s="5" t="str">
        <f>VLOOKUP(globalfreelancepreprocesseddata!A760,worksheet!A:P,7,FALSE)</f>
        <v>Australia</v>
      </c>
      <c r="F760" s="5" t="str">
        <f>VLOOKUP(globalfreelancepreprocesseddata!A760,worksheet!A:P,8,FALSE)</f>
        <v>English</v>
      </c>
      <c r="G760" s="5" t="str">
        <f>VLOOKUP(globalfreelancepreprocesseddata!A760,worksheet!A:P,9,FALSE)</f>
        <v>AI</v>
      </c>
      <c r="H760" s="5">
        <f>VLOOKUP(globalfreelancepreprocesseddata!A760,worksheet!A:P,10,FALSE)</f>
        <v>1</v>
      </c>
      <c r="I760" s="6">
        <f>VLOOKUP(globalfreelancepreprocesseddata!A760,worksheet!A:P,12,FALSE)</f>
        <v>40</v>
      </c>
      <c r="J760" s="5">
        <f>VLOOKUP(globalfreelancepreprocesseddata!A760,worksheet!A:P,13,FALSE)</f>
        <v>4.5</v>
      </c>
      <c r="K760" s="5">
        <f>VLOOKUP(globalfreelancepreprocesseddata!A760,worksheet!A:P,14,FALSE)</f>
        <v>0</v>
      </c>
      <c r="L760" s="7">
        <f>VLOOKUP(globalfreelancepreprocesseddata!A760,worksheet!A:P,16,FALSE)</f>
        <v>0.96</v>
      </c>
    </row>
    <row r="761" spans="1:12" x14ac:dyDescent="0.35">
      <c r="A761" s="5" t="s">
        <v>1591</v>
      </c>
      <c r="B761" s="5" t="str">
        <f>VLOOKUP(globalfreelancepreprocesseddata!A761,worksheet!A:P,3,FALSE)</f>
        <v>Richard Smith</v>
      </c>
      <c r="C761" s="5" t="str">
        <f>VLOOKUP(globalfreelancepreprocesseddata!A761,worksheet!A:P,5,FALSE)</f>
        <v>Male</v>
      </c>
      <c r="D761" s="5">
        <f>VLOOKUP(globalfreelancepreprocesseddata!A761,worksheet!A:P,6,FALSE)</f>
        <v>51</v>
      </c>
      <c r="E761" s="5" t="str">
        <f>VLOOKUP(globalfreelancepreprocesseddata!A761,worksheet!A:P,7,FALSE)</f>
        <v>South Korea</v>
      </c>
      <c r="F761" s="5" t="str">
        <f>VLOOKUP(globalfreelancepreprocesseddata!A761,worksheet!A:P,8,FALSE)</f>
        <v>Korean</v>
      </c>
      <c r="G761" s="5" t="str">
        <f>VLOOKUP(globalfreelancepreprocesseddata!A761,worksheet!A:P,9,FALSE)</f>
        <v>Mobile Apps</v>
      </c>
      <c r="H761" s="5">
        <f>VLOOKUP(globalfreelancepreprocesseddata!A761,worksheet!A:P,10,FALSE)</f>
        <v>5</v>
      </c>
      <c r="I761" s="6" t="str">
        <f>VLOOKUP(globalfreelancepreprocesseddata!A761,worksheet!A:P,12,FALSE)</f>
        <v>$ 40</v>
      </c>
      <c r="J761" s="5">
        <f>VLOOKUP(globalfreelancepreprocesseddata!A761,worksheet!A:P,13,FALSE)</f>
        <v>1.7</v>
      </c>
      <c r="K761" s="5">
        <f>VLOOKUP(globalfreelancepreprocesseddata!A761,worksheet!A:P,14,FALSE)</f>
        <v>1</v>
      </c>
      <c r="L761" s="7">
        <f>VLOOKUP(globalfreelancepreprocesseddata!A761,worksheet!A:P,16,FALSE)</f>
        <v>0.61</v>
      </c>
    </row>
    <row r="762" spans="1:12" x14ac:dyDescent="0.35">
      <c r="A762" s="5" t="s">
        <v>1593</v>
      </c>
      <c r="B762" s="5" t="str">
        <f>VLOOKUP(globalfreelancepreprocesseddata!A762,worksheet!A:P,3,FALSE)</f>
        <v>John White</v>
      </c>
      <c r="C762" s="5" t="str">
        <f>VLOOKUP(globalfreelancepreprocesseddata!A762,worksheet!A:P,5,FALSE)</f>
        <v>Male</v>
      </c>
      <c r="D762" s="5">
        <f>VLOOKUP(globalfreelancepreprocesseddata!A762,worksheet!A:P,6,FALSE)</f>
        <v>60</v>
      </c>
      <c r="E762" s="5" t="str">
        <f>VLOOKUP(globalfreelancepreprocesseddata!A762,worksheet!A:P,7,FALSE)</f>
        <v>China</v>
      </c>
      <c r="F762" s="5" t="str">
        <f>VLOOKUP(globalfreelancepreprocesseddata!A762,worksheet!A:P,8,FALSE)</f>
        <v>Mandarin</v>
      </c>
      <c r="G762" s="5" t="str">
        <f>VLOOKUP(globalfreelancepreprocesseddata!A762,worksheet!A:P,9,FALSE)</f>
        <v>DevOps</v>
      </c>
      <c r="H762" s="5">
        <f>VLOOKUP(globalfreelancepreprocesseddata!A762,worksheet!A:P,10,FALSE)</f>
        <v>40</v>
      </c>
      <c r="I762" s="6">
        <f>VLOOKUP(globalfreelancepreprocesseddata!A762,worksheet!A:P,12,FALSE)</f>
        <v>50</v>
      </c>
      <c r="J762" s="5">
        <f>VLOOKUP(globalfreelancepreprocesseddata!A762,worksheet!A:P,13,FALSE)</f>
        <v>4.5999999999999996</v>
      </c>
      <c r="K762" s="5">
        <f>VLOOKUP(globalfreelancepreprocesseddata!A762,worksheet!A:P,14,FALSE)</f>
        <v>1</v>
      </c>
      <c r="L762" s="7">
        <f>VLOOKUP(globalfreelancepreprocesseddata!A762,worksheet!A:P,16,FALSE)</f>
        <v>0.01</v>
      </c>
    </row>
    <row r="763" spans="1:12" x14ac:dyDescent="0.35">
      <c r="A763" s="5" t="s">
        <v>1595</v>
      </c>
      <c r="B763" s="5" t="str">
        <f>VLOOKUP(globalfreelancepreprocesseddata!A763,worksheet!A:P,3,FALSE)</f>
        <v>Gilbert Mcintyre</v>
      </c>
      <c r="C763" s="5" t="str">
        <f>VLOOKUP(globalfreelancepreprocesseddata!A763,worksheet!A:P,5,FALSE)</f>
        <v>Male</v>
      </c>
      <c r="D763" s="5">
        <f>VLOOKUP(globalfreelancepreprocesseddata!A763,worksheet!A:P,6,FALSE)</f>
        <v>51</v>
      </c>
      <c r="E763" s="5" t="str">
        <f>VLOOKUP(globalfreelancepreprocesseddata!A763,worksheet!A:P,7,FALSE)</f>
        <v>Canada</v>
      </c>
      <c r="F763" s="5" t="str">
        <f>VLOOKUP(globalfreelancepreprocesseddata!A763,worksheet!A:P,8,FALSE)</f>
        <v>English</v>
      </c>
      <c r="G763" s="5" t="str">
        <f>VLOOKUP(globalfreelancepreprocesseddata!A763,worksheet!A:P,9,FALSE)</f>
        <v>Blockchain Development</v>
      </c>
      <c r="H763" s="5">
        <f>VLOOKUP(globalfreelancepreprocesseddata!A763,worksheet!A:P,10,FALSE)</f>
        <v>19</v>
      </c>
      <c r="I763" s="6">
        <f>VLOOKUP(globalfreelancepreprocesseddata!A763,worksheet!A:P,12,FALSE)</f>
        <v>50</v>
      </c>
      <c r="J763" s="5">
        <f>VLOOKUP(globalfreelancepreprocesseddata!A763,worksheet!A:P,13,FALSE)</f>
        <v>3</v>
      </c>
      <c r="K763" s="5">
        <f>VLOOKUP(globalfreelancepreprocesseddata!A763,worksheet!A:P,14,FALSE)</f>
        <v>1</v>
      </c>
      <c r="L763" s="7">
        <f>VLOOKUP(globalfreelancepreprocesseddata!A763,worksheet!A:P,16,FALSE)</f>
        <v>0.82</v>
      </c>
    </row>
    <row r="764" spans="1:12" x14ac:dyDescent="0.35">
      <c r="A764" s="5" t="s">
        <v>1597</v>
      </c>
      <c r="B764" s="5" t="str">
        <f>VLOOKUP(globalfreelancepreprocesseddata!A764,worksheet!A:P,3,FALSE)</f>
        <v>Christopher Sparks</v>
      </c>
      <c r="C764" s="5" t="str">
        <f>VLOOKUP(globalfreelancepreprocesseddata!A764,worksheet!A:P,5,FALSE)</f>
        <v>Male</v>
      </c>
      <c r="D764" s="5">
        <f>VLOOKUP(globalfreelancepreprocesseddata!A764,worksheet!A:P,6,FALSE)</f>
        <v>37</v>
      </c>
      <c r="E764" s="5" t="str">
        <f>VLOOKUP(globalfreelancepreprocesseddata!A764,worksheet!A:P,7,FALSE)</f>
        <v>Germany</v>
      </c>
      <c r="F764" s="5" t="str">
        <f>VLOOKUP(globalfreelancepreprocesseddata!A764,worksheet!A:P,8,FALSE)</f>
        <v>German</v>
      </c>
      <c r="G764" s="5" t="str">
        <f>VLOOKUP(globalfreelancepreprocesseddata!A764,worksheet!A:P,9,FALSE)</f>
        <v>Graphic Design</v>
      </c>
      <c r="H764" s="5">
        <f>VLOOKUP(globalfreelancepreprocesseddata!A764,worksheet!A:P,10,FALSE)</f>
        <v>12</v>
      </c>
      <c r="I764" s="6">
        <f>VLOOKUP(globalfreelancepreprocesseddata!A764,worksheet!A:P,12,FALSE)</f>
        <v>40</v>
      </c>
      <c r="J764" s="5">
        <f>VLOOKUP(globalfreelancepreprocesseddata!A764,worksheet!A:P,13,FALSE)</f>
        <v>4.9000000000000004</v>
      </c>
      <c r="K764" s="5">
        <f>VLOOKUP(globalfreelancepreprocesseddata!A764,worksheet!A:P,14,FALSE)</f>
        <v>1</v>
      </c>
      <c r="L764" s="7">
        <f>VLOOKUP(globalfreelancepreprocesseddata!A764,worksheet!A:P,16,FALSE)</f>
        <v>0.8</v>
      </c>
    </row>
    <row r="765" spans="1:12" x14ac:dyDescent="0.35">
      <c r="A765" s="5" t="s">
        <v>1599</v>
      </c>
      <c r="B765" s="5" t="str">
        <f>VLOOKUP(globalfreelancepreprocesseddata!A765,worksheet!A:P,3,FALSE)</f>
        <v>Aaron Hicks</v>
      </c>
      <c r="C765" s="5" t="str">
        <f>VLOOKUP(globalfreelancepreprocesseddata!A765,worksheet!A:P,5,FALSE)</f>
        <v>Male</v>
      </c>
      <c r="D765" s="5">
        <f>VLOOKUP(globalfreelancepreprocesseddata!A765,worksheet!A:P,6,FALSE)</f>
        <v>52</v>
      </c>
      <c r="E765" s="5" t="str">
        <f>VLOOKUP(globalfreelancepreprocesseddata!A765,worksheet!A:P,7,FALSE)</f>
        <v>India</v>
      </c>
      <c r="F765" s="5" t="str">
        <f>VLOOKUP(globalfreelancepreprocesseddata!A765,worksheet!A:P,8,FALSE)</f>
        <v>Hindi</v>
      </c>
      <c r="G765" s="5" t="str">
        <f>VLOOKUP(globalfreelancepreprocesseddata!A765,worksheet!A:P,9,FALSE)</f>
        <v>Blockchain Development</v>
      </c>
      <c r="H765" s="5">
        <f>VLOOKUP(globalfreelancepreprocesseddata!A765,worksheet!A:P,10,FALSE)</f>
        <v>7</v>
      </c>
      <c r="I765" s="6">
        <f>VLOOKUP(globalfreelancepreprocesseddata!A765,worksheet!A:P,12,FALSE)</f>
        <v>40</v>
      </c>
      <c r="J765" s="5">
        <f>VLOOKUP(globalfreelancepreprocesseddata!A765,worksheet!A:P,13,FALSE)</f>
        <v>2.2000000000000002</v>
      </c>
      <c r="K765" s="5">
        <f>VLOOKUP(globalfreelancepreprocesseddata!A765,worksheet!A:P,14,FALSE)</f>
        <v>1</v>
      </c>
      <c r="L765" s="7">
        <f>VLOOKUP(globalfreelancepreprocesseddata!A765,worksheet!A:P,16,FALSE)</f>
        <v>0.96</v>
      </c>
    </row>
    <row r="766" spans="1:12" x14ac:dyDescent="0.35">
      <c r="A766" s="5" t="s">
        <v>1601</v>
      </c>
      <c r="B766" s="5" t="str">
        <f>VLOOKUP(globalfreelancepreprocesseddata!A766,worksheet!A:P,3,FALSE)</f>
        <v>Jose Patterson</v>
      </c>
      <c r="C766" s="5" t="str">
        <f>VLOOKUP(globalfreelancepreprocesseddata!A766,worksheet!A:P,5,FALSE)</f>
        <v>Male</v>
      </c>
      <c r="D766" s="5">
        <f>VLOOKUP(globalfreelancepreprocesseddata!A766,worksheet!A:P,6,FALSE)</f>
        <v>27</v>
      </c>
      <c r="E766" s="5" t="str">
        <f>VLOOKUP(globalfreelancepreprocesseddata!A766,worksheet!A:P,7,FALSE)</f>
        <v>Indonesia</v>
      </c>
      <c r="F766" s="5" t="str">
        <f>VLOOKUP(globalfreelancepreprocesseddata!A766,worksheet!A:P,8,FALSE)</f>
        <v>Indonesian</v>
      </c>
      <c r="G766" s="5" t="str">
        <f>VLOOKUP(globalfreelancepreprocesseddata!A766,worksheet!A:P,9,FALSE)</f>
        <v>Blockchain Development</v>
      </c>
      <c r="H766" s="5">
        <f>VLOOKUP(globalfreelancepreprocesseddata!A766,worksheet!A:P,10,FALSE)</f>
        <v>4</v>
      </c>
      <c r="I766" s="6">
        <f>VLOOKUP(globalfreelancepreprocesseddata!A766,worksheet!A:P,12,FALSE)</f>
        <v>20</v>
      </c>
      <c r="J766" s="5">
        <f>VLOOKUP(globalfreelancepreprocesseddata!A766,worksheet!A:P,13,FALSE)</f>
        <v>3</v>
      </c>
      <c r="K766" s="5">
        <f>VLOOKUP(globalfreelancepreprocesseddata!A766,worksheet!A:P,14,FALSE)</f>
        <v>0</v>
      </c>
      <c r="L766" s="7">
        <f>VLOOKUP(globalfreelancepreprocesseddata!A766,worksheet!A:P,16,FALSE)</f>
        <v>0.63</v>
      </c>
    </row>
    <row r="767" spans="1:12" x14ac:dyDescent="0.35">
      <c r="A767" s="5" t="s">
        <v>1603</v>
      </c>
      <c r="B767" s="5" t="str">
        <f>VLOOKUP(globalfreelancepreprocesseddata!A767,worksheet!A:P,3,FALSE)</f>
        <v>Bryan Long</v>
      </c>
      <c r="C767" s="5" t="str">
        <f>VLOOKUP(globalfreelancepreprocesseddata!A767,worksheet!A:P,5,FALSE)</f>
        <v>Male</v>
      </c>
      <c r="D767" s="5">
        <f>VLOOKUP(globalfreelancepreprocesseddata!A767,worksheet!A:P,6,FALSE)</f>
        <v>48</v>
      </c>
      <c r="E767" s="5" t="str">
        <f>VLOOKUP(globalfreelancepreprocesseddata!A767,worksheet!A:P,7,FALSE)</f>
        <v>Australia</v>
      </c>
      <c r="F767" s="5" t="str">
        <f>VLOOKUP(globalfreelancepreprocesseddata!A767,worksheet!A:P,8,FALSE)</f>
        <v>English</v>
      </c>
      <c r="G767" s="5" t="str">
        <f>VLOOKUP(globalfreelancepreprocesseddata!A767,worksheet!A:P,9,FALSE)</f>
        <v>Graphic Design</v>
      </c>
      <c r="H767" s="5">
        <f>VLOOKUP(globalfreelancepreprocesseddata!A767,worksheet!A:P,10,FALSE)</f>
        <v>24</v>
      </c>
      <c r="I767" s="6">
        <f>VLOOKUP(globalfreelancepreprocesseddata!A767,worksheet!A:P,12,FALSE)</f>
        <v>40</v>
      </c>
      <c r="J767" s="5">
        <f>VLOOKUP(globalfreelancepreprocesseddata!A767,worksheet!A:P,13,FALSE)</f>
        <v>2.2000000000000002</v>
      </c>
      <c r="K767" s="5">
        <f>VLOOKUP(globalfreelancepreprocesseddata!A767,worksheet!A:P,14,FALSE)</f>
        <v>0</v>
      </c>
      <c r="L767" s="7">
        <f>VLOOKUP(globalfreelancepreprocesseddata!A767,worksheet!A:P,16,FALSE)</f>
        <v>0.67</v>
      </c>
    </row>
    <row r="768" spans="1:12" x14ac:dyDescent="0.35">
      <c r="A768" s="5" t="s">
        <v>1605</v>
      </c>
      <c r="B768" s="5" t="str">
        <f>VLOOKUP(globalfreelancepreprocesseddata!A768,worksheet!A:P,3,FALSE)</f>
        <v>Tammy Gomez</v>
      </c>
      <c r="C768" s="5" t="str">
        <f>VLOOKUP(globalfreelancepreprocesseddata!A768,worksheet!A:P,5,FALSE)</f>
        <v>Female</v>
      </c>
      <c r="D768" s="5">
        <f>VLOOKUP(globalfreelancepreprocesseddata!A768,worksheet!A:P,6,FALSE)</f>
        <v>22</v>
      </c>
      <c r="E768" s="5" t="str">
        <f>VLOOKUP(globalfreelancepreprocesseddata!A768,worksheet!A:P,7,FALSE)</f>
        <v>Japan</v>
      </c>
      <c r="F768" s="5" t="str">
        <f>VLOOKUP(globalfreelancepreprocesseddata!A768,worksheet!A:P,8,FALSE)</f>
        <v>Japanese</v>
      </c>
      <c r="G768" s="5" t="str">
        <f>VLOOKUP(globalfreelancepreprocesseddata!A768,worksheet!A:P,9,FALSE)</f>
        <v>Data Analysis</v>
      </c>
      <c r="H768" s="5">
        <f>VLOOKUP(globalfreelancepreprocesseddata!A768,worksheet!A:P,10,FALSE)</f>
        <v>1</v>
      </c>
      <c r="I768" s="6" t="str">
        <f>VLOOKUP(globalfreelancepreprocesseddata!A768,worksheet!A:P,12,FALSE)</f>
        <v>$ 30</v>
      </c>
      <c r="J768" s="5">
        <f>VLOOKUP(globalfreelancepreprocesseddata!A768,worksheet!A:P,13,FALSE)</f>
        <v>3.3</v>
      </c>
      <c r="K768" s="5">
        <f>VLOOKUP(globalfreelancepreprocesseddata!A768,worksheet!A:P,14,FALSE)</f>
        <v>1</v>
      </c>
      <c r="L768" s="7">
        <f>VLOOKUP(globalfreelancepreprocesseddata!A768,worksheet!A:P,16,FALSE)</f>
        <v>0.61</v>
      </c>
    </row>
    <row r="769" spans="1:12" x14ac:dyDescent="0.35">
      <c r="A769" s="5" t="s">
        <v>1607</v>
      </c>
      <c r="B769" s="5" t="str">
        <f>VLOOKUP(globalfreelancepreprocesseddata!A769,worksheet!A:P,3,FALSE)</f>
        <v>Diana Raymond</v>
      </c>
      <c r="C769" s="5" t="str">
        <f>VLOOKUP(globalfreelancepreprocesseddata!A769,worksheet!A:P,5,FALSE)</f>
        <v>Female</v>
      </c>
      <c r="D769" s="5">
        <f>VLOOKUP(globalfreelancepreprocesseddata!A769,worksheet!A:P,6,FALSE)</f>
        <v>48</v>
      </c>
      <c r="E769" s="5" t="str">
        <f>VLOOKUP(globalfreelancepreprocesseddata!A769,worksheet!A:P,7,FALSE)</f>
        <v>Germany</v>
      </c>
      <c r="F769" s="5" t="str">
        <f>VLOOKUP(globalfreelancepreprocesseddata!A769,worksheet!A:P,8,FALSE)</f>
        <v>German</v>
      </c>
      <c r="G769" s="5" t="str">
        <f>VLOOKUP(globalfreelancepreprocesseddata!A769,worksheet!A:P,9,FALSE)</f>
        <v>Mobile Apps</v>
      </c>
      <c r="H769" s="5">
        <f>VLOOKUP(globalfreelancepreprocesseddata!A769,worksheet!A:P,10,FALSE)</f>
        <v>28</v>
      </c>
      <c r="I769" s="6" t="str">
        <f>VLOOKUP(globalfreelancepreprocesseddata!A769,worksheet!A:P,12,FALSE)</f>
        <v>$ 30</v>
      </c>
      <c r="J769" s="5">
        <f>VLOOKUP(globalfreelancepreprocesseddata!A769,worksheet!A:P,13,FALSE)</f>
        <v>4.9000000000000004</v>
      </c>
      <c r="K769" s="5">
        <f>VLOOKUP(globalfreelancepreprocesseddata!A769,worksheet!A:P,14,FALSE)</f>
        <v>0</v>
      </c>
      <c r="L769" s="7">
        <f>VLOOKUP(globalfreelancepreprocesseddata!A769,worksheet!A:P,16,FALSE)</f>
        <v>0.77</v>
      </c>
    </row>
    <row r="770" spans="1:12" x14ac:dyDescent="0.35">
      <c r="A770" s="5" t="s">
        <v>1609</v>
      </c>
      <c r="B770" s="5" t="str">
        <f>VLOOKUP(globalfreelancepreprocesseddata!A770,worksheet!A:P,3,FALSE)</f>
        <v>Jessica Armstrong</v>
      </c>
      <c r="C770" s="5" t="str">
        <f>VLOOKUP(globalfreelancepreprocesseddata!A770,worksheet!A:P,5,FALSE)</f>
        <v>Female</v>
      </c>
      <c r="D770" s="5">
        <f>VLOOKUP(globalfreelancepreprocesseddata!A770,worksheet!A:P,6,FALSE)</f>
        <v>54</v>
      </c>
      <c r="E770" s="5" t="str">
        <f>VLOOKUP(globalfreelancepreprocesseddata!A770,worksheet!A:P,7,FALSE)</f>
        <v>United States</v>
      </c>
      <c r="F770" s="5" t="str">
        <f>VLOOKUP(globalfreelancepreprocesseddata!A770,worksheet!A:P,8,FALSE)</f>
        <v>English</v>
      </c>
      <c r="G770" s="5" t="str">
        <f>VLOOKUP(globalfreelancepreprocesseddata!A770,worksheet!A:P,9,FALSE)</f>
        <v>Mobile Apps</v>
      </c>
      <c r="H770" s="5">
        <f>VLOOKUP(globalfreelancepreprocesseddata!A770,worksheet!A:P,10,FALSE)</f>
        <v>19</v>
      </c>
      <c r="I770" s="6">
        <f>VLOOKUP(globalfreelancepreprocesseddata!A770,worksheet!A:P,12,FALSE)</f>
        <v>75</v>
      </c>
      <c r="J770" s="5">
        <f>VLOOKUP(globalfreelancepreprocesseddata!A770,worksheet!A:P,13,FALSE)</f>
        <v>0</v>
      </c>
      <c r="K770" s="5">
        <f>VLOOKUP(globalfreelancepreprocesseddata!A770,worksheet!A:P,14,FALSE)</f>
        <v>1</v>
      </c>
      <c r="L770" s="7">
        <f>VLOOKUP(globalfreelancepreprocesseddata!A770,worksheet!A:P,16,FALSE)</f>
        <v>0.16</v>
      </c>
    </row>
    <row r="771" spans="1:12" x14ac:dyDescent="0.35">
      <c r="A771" s="5" t="s">
        <v>1611</v>
      </c>
      <c r="B771" s="5" t="str">
        <f>VLOOKUP(globalfreelancepreprocesseddata!A771,worksheet!A:P,3,FALSE)</f>
        <v>Amanda Martin</v>
      </c>
      <c r="C771" s="5" t="str">
        <f>VLOOKUP(globalfreelancepreprocesseddata!A771,worksheet!A:P,5,FALSE)</f>
        <v>Female</v>
      </c>
      <c r="D771" s="5">
        <f>VLOOKUP(globalfreelancepreprocesseddata!A771,worksheet!A:P,6,FALSE)</f>
        <v>52</v>
      </c>
      <c r="E771" s="5" t="str">
        <f>VLOOKUP(globalfreelancepreprocesseddata!A771,worksheet!A:P,7,FALSE)</f>
        <v>South Korea</v>
      </c>
      <c r="F771" s="5" t="str">
        <f>VLOOKUP(globalfreelancepreprocesseddata!A771,worksheet!A:P,8,FALSE)</f>
        <v>Korean</v>
      </c>
      <c r="G771" s="5" t="str">
        <f>VLOOKUP(globalfreelancepreprocesseddata!A771,worksheet!A:P,9,FALSE)</f>
        <v>Data Analysis</v>
      </c>
      <c r="H771" s="5">
        <f>VLOOKUP(globalfreelancepreprocesseddata!A771,worksheet!A:P,10,FALSE)</f>
        <v>4</v>
      </c>
      <c r="I771" s="6">
        <f>VLOOKUP(globalfreelancepreprocesseddata!A771,worksheet!A:P,12,FALSE)</f>
        <v>50</v>
      </c>
      <c r="J771" s="5">
        <f>VLOOKUP(globalfreelancepreprocesseddata!A771,worksheet!A:P,13,FALSE)</f>
        <v>3</v>
      </c>
      <c r="K771" s="5">
        <f>VLOOKUP(globalfreelancepreprocesseddata!A771,worksheet!A:P,14,FALSE)</f>
        <v>0</v>
      </c>
      <c r="L771" s="7">
        <f>VLOOKUP(globalfreelancepreprocesseddata!A771,worksheet!A:P,16,FALSE)</f>
        <v>0.84</v>
      </c>
    </row>
    <row r="772" spans="1:12" x14ac:dyDescent="0.35">
      <c r="A772" s="5" t="s">
        <v>1613</v>
      </c>
      <c r="B772" s="5" t="str">
        <f>VLOOKUP(globalfreelancepreprocesseddata!A772,worksheet!A:P,3,FALSE)</f>
        <v>Anne Hamilton</v>
      </c>
      <c r="C772" s="5" t="str">
        <f>VLOOKUP(globalfreelancepreprocesseddata!A772,worksheet!A:P,5,FALSE)</f>
        <v>Female</v>
      </c>
      <c r="D772" s="5">
        <f>VLOOKUP(globalfreelancepreprocesseddata!A772,worksheet!A:P,6,FALSE)</f>
        <v>39</v>
      </c>
      <c r="E772" s="5" t="str">
        <f>VLOOKUP(globalfreelancepreprocesseddata!A772,worksheet!A:P,7,FALSE)</f>
        <v>Turkey</v>
      </c>
      <c r="F772" s="5" t="str">
        <f>VLOOKUP(globalfreelancepreprocesseddata!A772,worksheet!A:P,8,FALSE)</f>
        <v>Turkish</v>
      </c>
      <c r="G772" s="5" t="str">
        <f>VLOOKUP(globalfreelancepreprocesseddata!A772,worksheet!A:P,9,FALSE)</f>
        <v>Web Development</v>
      </c>
      <c r="H772" s="5">
        <f>VLOOKUP(globalfreelancepreprocesseddata!A772,worksheet!A:P,10,FALSE)</f>
        <v>20</v>
      </c>
      <c r="I772" s="6" t="str">
        <f>VLOOKUP(globalfreelancepreprocesseddata!A772,worksheet!A:P,12,FALSE)</f>
        <v>$ 100</v>
      </c>
      <c r="J772" s="5">
        <f>VLOOKUP(globalfreelancepreprocesseddata!A772,worksheet!A:P,13,FALSE)</f>
        <v>3</v>
      </c>
      <c r="K772" s="5">
        <f>VLOOKUP(globalfreelancepreprocesseddata!A772,worksheet!A:P,14,FALSE)</f>
        <v>1</v>
      </c>
      <c r="L772" s="7">
        <f>VLOOKUP(globalfreelancepreprocesseddata!A772,worksheet!A:P,16,FALSE)</f>
        <v>0.89</v>
      </c>
    </row>
    <row r="773" spans="1:12" x14ac:dyDescent="0.35">
      <c r="A773" s="5" t="s">
        <v>1615</v>
      </c>
      <c r="B773" s="5" t="str">
        <f>VLOOKUP(globalfreelancepreprocesseddata!A773,worksheet!A:P,3,FALSE)</f>
        <v>Heather Curtis</v>
      </c>
      <c r="C773" s="5" t="str">
        <f>VLOOKUP(globalfreelancepreprocesseddata!A773,worksheet!A:P,5,FALSE)</f>
        <v>Female</v>
      </c>
      <c r="D773" s="5">
        <f>VLOOKUP(globalfreelancepreprocesseddata!A773,worksheet!A:P,6,FALSE)</f>
        <v>54</v>
      </c>
      <c r="E773" s="5" t="str">
        <f>VLOOKUP(globalfreelancepreprocesseddata!A773,worksheet!A:P,7,FALSE)</f>
        <v>Russia</v>
      </c>
      <c r="F773" s="5" t="str">
        <f>VLOOKUP(globalfreelancepreprocesseddata!A773,worksheet!A:P,8,FALSE)</f>
        <v>Russian</v>
      </c>
      <c r="G773" s="5" t="str">
        <f>VLOOKUP(globalfreelancepreprocesseddata!A773,worksheet!A:P,9,FALSE)</f>
        <v>Mobile Apps</v>
      </c>
      <c r="H773" s="5">
        <f>VLOOKUP(globalfreelancepreprocesseddata!A773,worksheet!A:P,10,FALSE)</f>
        <v>19</v>
      </c>
      <c r="I773" s="6" t="str">
        <f>VLOOKUP(globalfreelancepreprocesseddata!A773,worksheet!A:P,12,FALSE)</f>
        <v>$ 30</v>
      </c>
      <c r="J773" s="5">
        <f>VLOOKUP(globalfreelancepreprocesseddata!A773,worksheet!A:P,13,FALSE)</f>
        <v>4</v>
      </c>
      <c r="K773" s="5">
        <f>VLOOKUP(globalfreelancepreprocesseddata!A773,worksheet!A:P,14,FALSE)</f>
        <v>1</v>
      </c>
      <c r="L773" s="7">
        <f>VLOOKUP(globalfreelancepreprocesseddata!A773,worksheet!A:P,16,FALSE)</f>
        <v>0.9</v>
      </c>
    </row>
    <row r="774" spans="1:12" x14ac:dyDescent="0.35">
      <c r="A774" s="5" t="s">
        <v>1617</v>
      </c>
      <c r="B774" s="5" t="str">
        <f>VLOOKUP(globalfreelancepreprocesseddata!A774,worksheet!A:P,3,FALSE)</f>
        <v>Tiffany Moses</v>
      </c>
      <c r="C774" s="5" t="str">
        <f>VLOOKUP(globalfreelancepreprocesseddata!A774,worksheet!A:P,5,FALSE)</f>
        <v>Female</v>
      </c>
      <c r="D774" s="5">
        <f>VLOOKUP(globalfreelancepreprocesseddata!A774,worksheet!A:P,6,FALSE)</f>
        <v>22</v>
      </c>
      <c r="E774" s="5" t="str">
        <f>VLOOKUP(globalfreelancepreprocesseddata!A774,worksheet!A:P,7,FALSE)</f>
        <v>United States</v>
      </c>
      <c r="F774" s="5" t="str">
        <f>VLOOKUP(globalfreelancepreprocesseddata!A774,worksheet!A:P,8,FALSE)</f>
        <v>English</v>
      </c>
      <c r="G774" s="5" t="str">
        <f>VLOOKUP(globalfreelancepreprocesseddata!A774,worksheet!A:P,9,FALSE)</f>
        <v>Cybersecurity</v>
      </c>
      <c r="H774" s="5">
        <f>VLOOKUP(globalfreelancepreprocesseddata!A774,worksheet!A:P,10,FALSE)</f>
        <v>1</v>
      </c>
      <c r="I774" s="6">
        <f>VLOOKUP(globalfreelancepreprocesseddata!A774,worksheet!A:P,12,FALSE)</f>
        <v>20</v>
      </c>
      <c r="J774" s="5">
        <f>VLOOKUP(globalfreelancepreprocesseddata!A774,worksheet!A:P,13,FALSE)</f>
        <v>4.8</v>
      </c>
      <c r="K774" s="5">
        <f>VLOOKUP(globalfreelancepreprocesseddata!A774,worksheet!A:P,14,FALSE)</f>
        <v>0</v>
      </c>
      <c r="L774" s="7">
        <f>VLOOKUP(globalfreelancepreprocesseddata!A774,worksheet!A:P,16,FALSE)</f>
        <v>0.87</v>
      </c>
    </row>
    <row r="775" spans="1:12" x14ac:dyDescent="0.35">
      <c r="A775" s="5" t="s">
        <v>1619</v>
      </c>
      <c r="B775" s="5" t="str">
        <f>VLOOKUP(globalfreelancepreprocesseddata!A775,worksheet!A:P,3,FALSE)</f>
        <v>Jacqueline Moon</v>
      </c>
      <c r="C775" s="5" t="str">
        <f>VLOOKUP(globalfreelancepreprocesseddata!A775,worksheet!A:P,5,FALSE)</f>
        <v>Female</v>
      </c>
      <c r="D775" s="5">
        <f>VLOOKUP(globalfreelancepreprocesseddata!A775,worksheet!A:P,6,FALSE)</f>
        <v>29</v>
      </c>
      <c r="E775" s="5" t="str">
        <f>VLOOKUP(globalfreelancepreprocesseddata!A775,worksheet!A:P,7,FALSE)</f>
        <v>South Africa</v>
      </c>
      <c r="F775" s="5" t="str">
        <f>VLOOKUP(globalfreelancepreprocesseddata!A775,worksheet!A:P,8,FALSE)</f>
        <v>Afrikaans</v>
      </c>
      <c r="G775" s="5" t="str">
        <f>VLOOKUP(globalfreelancepreprocesseddata!A775,worksheet!A:P,9,FALSE)</f>
        <v>Mobile Apps</v>
      </c>
      <c r="H775" s="5">
        <f>VLOOKUP(globalfreelancepreprocesseddata!A775,worksheet!A:P,10,FALSE)</f>
        <v>8</v>
      </c>
      <c r="I775" s="6">
        <f>VLOOKUP(globalfreelancepreprocesseddata!A775,worksheet!A:P,12,FALSE)</f>
        <v>50</v>
      </c>
      <c r="J775" s="5">
        <f>VLOOKUP(globalfreelancepreprocesseddata!A775,worksheet!A:P,13,FALSE)</f>
        <v>0</v>
      </c>
      <c r="K775" s="5">
        <f>VLOOKUP(globalfreelancepreprocesseddata!A775,worksheet!A:P,14,FALSE)</f>
        <v>0</v>
      </c>
      <c r="L775" s="7">
        <f>VLOOKUP(globalfreelancepreprocesseddata!A775,worksheet!A:P,16,FALSE)</f>
        <v>0.77</v>
      </c>
    </row>
    <row r="776" spans="1:12" x14ac:dyDescent="0.35">
      <c r="A776" s="5" t="s">
        <v>1621</v>
      </c>
      <c r="B776" s="5" t="str">
        <f>VLOOKUP(globalfreelancepreprocesseddata!A776,worksheet!A:P,3,FALSE)</f>
        <v>James Campbell</v>
      </c>
      <c r="C776" s="5" t="str">
        <f>VLOOKUP(globalfreelancepreprocesseddata!A776,worksheet!A:P,5,FALSE)</f>
        <v>Male</v>
      </c>
      <c r="D776" s="5">
        <f>VLOOKUP(globalfreelancepreprocesseddata!A776,worksheet!A:P,6,FALSE)</f>
        <v>23</v>
      </c>
      <c r="E776" s="5" t="str">
        <f>VLOOKUP(globalfreelancepreprocesseddata!A776,worksheet!A:P,7,FALSE)</f>
        <v>Spain</v>
      </c>
      <c r="F776" s="5" t="str">
        <f>VLOOKUP(globalfreelancepreprocesseddata!A776,worksheet!A:P,8,FALSE)</f>
        <v>Spanish</v>
      </c>
      <c r="G776" s="5" t="str">
        <f>VLOOKUP(globalfreelancepreprocesseddata!A776,worksheet!A:P,9,FALSE)</f>
        <v>DevOps</v>
      </c>
      <c r="H776" s="5">
        <f>VLOOKUP(globalfreelancepreprocesseddata!A776,worksheet!A:P,10,FALSE)</f>
        <v>3</v>
      </c>
      <c r="I776" s="6" t="str">
        <f>VLOOKUP(globalfreelancepreprocesseddata!A776,worksheet!A:P,12,FALSE)</f>
        <v>$ 30</v>
      </c>
      <c r="J776" s="5">
        <f>VLOOKUP(globalfreelancepreprocesseddata!A776,worksheet!A:P,13,FALSE)</f>
        <v>1.6</v>
      </c>
      <c r="K776" s="5">
        <f>VLOOKUP(globalfreelancepreprocesseddata!A776,worksheet!A:P,14,FALSE)</f>
        <v>1</v>
      </c>
      <c r="L776" s="7">
        <f>VLOOKUP(globalfreelancepreprocesseddata!A776,worksheet!A:P,16,FALSE)</f>
        <v>0.72</v>
      </c>
    </row>
    <row r="777" spans="1:12" x14ac:dyDescent="0.35">
      <c r="A777" s="5" t="s">
        <v>1623</v>
      </c>
      <c r="B777" s="5" t="str">
        <f>VLOOKUP(globalfreelancepreprocesseddata!A777,worksheet!A:P,3,FALSE)</f>
        <v>Melissa Vasquez</v>
      </c>
      <c r="C777" s="5" t="str">
        <f>VLOOKUP(globalfreelancepreprocesseddata!A777,worksheet!A:P,5,FALSE)</f>
        <v>Female</v>
      </c>
      <c r="D777" s="5">
        <f>VLOOKUP(globalfreelancepreprocesseddata!A777,worksheet!A:P,6,FALSE)</f>
        <v>58</v>
      </c>
      <c r="E777" s="5" t="str">
        <f>VLOOKUP(globalfreelancepreprocesseddata!A777,worksheet!A:P,7,FALSE)</f>
        <v>Mexico</v>
      </c>
      <c r="F777" s="5" t="str">
        <f>VLOOKUP(globalfreelancepreprocesseddata!A777,worksheet!A:P,8,FALSE)</f>
        <v>Spanish</v>
      </c>
      <c r="G777" s="5" t="str">
        <f>VLOOKUP(globalfreelancepreprocesseddata!A777,worksheet!A:P,9,FALSE)</f>
        <v>DevOps</v>
      </c>
      <c r="H777" s="5">
        <f>VLOOKUP(globalfreelancepreprocesseddata!A777,worksheet!A:P,10,FALSE)</f>
        <v>30</v>
      </c>
      <c r="I777" s="6">
        <f>VLOOKUP(globalfreelancepreprocesseddata!A777,worksheet!A:P,12,FALSE)</f>
        <v>50</v>
      </c>
      <c r="J777" s="5">
        <f>VLOOKUP(globalfreelancepreprocesseddata!A777,worksheet!A:P,13,FALSE)</f>
        <v>1.3</v>
      </c>
      <c r="K777" s="5">
        <f>VLOOKUP(globalfreelancepreprocesseddata!A777,worksheet!A:P,14,FALSE)</f>
        <v>1</v>
      </c>
      <c r="L777" s="7">
        <f>VLOOKUP(globalfreelancepreprocesseddata!A777,worksheet!A:P,16,FALSE)</f>
        <v>0.87</v>
      </c>
    </row>
    <row r="778" spans="1:12" x14ac:dyDescent="0.35">
      <c r="A778" s="5" t="s">
        <v>1625</v>
      </c>
      <c r="B778" s="5" t="str">
        <f>VLOOKUP(globalfreelancepreprocesseddata!A778,worksheet!A:P,3,FALSE)</f>
        <v>Katherine Carlson</v>
      </c>
      <c r="C778" s="5" t="str">
        <f>VLOOKUP(globalfreelancepreprocesseddata!A778,worksheet!A:P,5,FALSE)</f>
        <v>Female</v>
      </c>
      <c r="D778" s="5">
        <f>VLOOKUP(globalfreelancepreprocesseddata!A778,worksheet!A:P,6,FALSE)</f>
        <v>56</v>
      </c>
      <c r="E778" s="5" t="str">
        <f>VLOOKUP(globalfreelancepreprocesseddata!A778,worksheet!A:P,7,FALSE)</f>
        <v>China</v>
      </c>
      <c r="F778" s="5" t="str">
        <f>VLOOKUP(globalfreelancepreprocesseddata!A778,worksheet!A:P,8,FALSE)</f>
        <v>Mandarin</v>
      </c>
      <c r="G778" s="5" t="str">
        <f>VLOOKUP(globalfreelancepreprocesseddata!A778,worksheet!A:P,9,FALSE)</f>
        <v>Blockchain Development</v>
      </c>
      <c r="H778" s="5">
        <f>VLOOKUP(globalfreelancepreprocesseddata!A778,worksheet!A:P,10,FALSE)</f>
        <v>3</v>
      </c>
      <c r="I778" s="6">
        <f>VLOOKUP(globalfreelancepreprocesseddata!A778,worksheet!A:P,12,FALSE)</f>
        <v>40</v>
      </c>
      <c r="J778" s="5">
        <f>VLOOKUP(globalfreelancepreprocesseddata!A778,worksheet!A:P,13,FALSE)</f>
        <v>4.0999999999999996</v>
      </c>
      <c r="K778" s="5">
        <f>VLOOKUP(globalfreelancepreprocesseddata!A778,worksheet!A:P,14,FALSE)</f>
        <v>1</v>
      </c>
      <c r="L778" s="7">
        <f>VLOOKUP(globalfreelancepreprocesseddata!A778,worksheet!A:P,16,FALSE)</f>
        <v>0.89</v>
      </c>
    </row>
    <row r="779" spans="1:12" x14ac:dyDescent="0.35">
      <c r="A779" s="5" t="s">
        <v>1627</v>
      </c>
      <c r="B779" s="5" t="str">
        <f>VLOOKUP(globalfreelancepreprocesseddata!A779,worksheet!A:P,3,FALSE)</f>
        <v>Adam Clay</v>
      </c>
      <c r="C779" s="5" t="str">
        <f>VLOOKUP(globalfreelancepreprocesseddata!A779,worksheet!A:P,5,FALSE)</f>
        <v>Male</v>
      </c>
      <c r="D779" s="5">
        <f>VLOOKUP(globalfreelancepreprocesseddata!A779,worksheet!A:P,6,FALSE)</f>
        <v>48</v>
      </c>
      <c r="E779" s="5" t="str">
        <f>VLOOKUP(globalfreelancepreprocesseddata!A779,worksheet!A:P,7,FALSE)</f>
        <v>Turkey</v>
      </c>
      <c r="F779" s="5" t="str">
        <f>VLOOKUP(globalfreelancepreprocesseddata!A779,worksheet!A:P,8,FALSE)</f>
        <v>Turkish</v>
      </c>
      <c r="G779" s="5" t="str">
        <f>VLOOKUP(globalfreelancepreprocesseddata!A779,worksheet!A:P,9,FALSE)</f>
        <v>Web Development</v>
      </c>
      <c r="H779" s="5">
        <f>VLOOKUP(globalfreelancepreprocesseddata!A779,worksheet!A:P,10,FALSE)</f>
        <v>19</v>
      </c>
      <c r="I779" s="6">
        <f>VLOOKUP(globalfreelancepreprocesseddata!A779,worksheet!A:P,12,FALSE)</f>
        <v>40</v>
      </c>
      <c r="J779" s="5">
        <f>VLOOKUP(globalfreelancepreprocesseddata!A779,worksheet!A:P,13,FALSE)</f>
        <v>1.5</v>
      </c>
      <c r="K779" s="5">
        <f>VLOOKUP(globalfreelancepreprocesseddata!A779,worksheet!A:P,14,FALSE)</f>
        <v>0</v>
      </c>
      <c r="L779" s="7">
        <f>VLOOKUP(globalfreelancepreprocesseddata!A779,worksheet!A:P,16,FALSE)</f>
        <v>0.87</v>
      </c>
    </row>
    <row r="780" spans="1:12" x14ac:dyDescent="0.35">
      <c r="A780" s="5" t="s">
        <v>1629</v>
      </c>
      <c r="B780" s="5" t="str">
        <f>VLOOKUP(globalfreelancepreprocesseddata!A780,worksheet!A:P,3,FALSE)</f>
        <v>Amy Combs</v>
      </c>
      <c r="C780" s="5" t="str">
        <f>VLOOKUP(globalfreelancepreprocesseddata!A780,worksheet!A:P,5,FALSE)</f>
        <v>Female</v>
      </c>
      <c r="D780" s="5">
        <f>VLOOKUP(globalfreelancepreprocesseddata!A780,worksheet!A:P,6,FALSE)</f>
        <v>31</v>
      </c>
      <c r="E780" s="5" t="str">
        <f>VLOOKUP(globalfreelancepreprocesseddata!A780,worksheet!A:P,7,FALSE)</f>
        <v>Russia</v>
      </c>
      <c r="F780" s="5" t="str">
        <f>VLOOKUP(globalfreelancepreprocesseddata!A780,worksheet!A:P,8,FALSE)</f>
        <v>Russian</v>
      </c>
      <c r="G780" s="5" t="str">
        <f>VLOOKUP(globalfreelancepreprocesseddata!A780,worksheet!A:P,9,FALSE)</f>
        <v>Mobile Apps</v>
      </c>
      <c r="H780" s="5">
        <f>VLOOKUP(globalfreelancepreprocesseddata!A780,worksheet!A:P,10,FALSE)</f>
        <v>11</v>
      </c>
      <c r="I780" s="6" t="str">
        <f>VLOOKUP(globalfreelancepreprocesseddata!A780,worksheet!A:P,12,FALSE)</f>
        <v>$ 40</v>
      </c>
      <c r="J780" s="5">
        <f>VLOOKUP(globalfreelancepreprocesseddata!A780,worksheet!A:P,13,FALSE)</f>
        <v>4.3</v>
      </c>
      <c r="K780" s="5">
        <f>VLOOKUP(globalfreelancepreprocesseddata!A780,worksheet!A:P,14,FALSE)</f>
        <v>1</v>
      </c>
      <c r="L780" s="7">
        <f>VLOOKUP(globalfreelancepreprocesseddata!A780,worksheet!A:P,16,FALSE)</f>
        <v>0.76</v>
      </c>
    </row>
    <row r="781" spans="1:12" x14ac:dyDescent="0.35">
      <c r="A781" s="5" t="s">
        <v>1631</v>
      </c>
      <c r="B781" s="5" t="str">
        <f>VLOOKUP(globalfreelancepreprocesseddata!A781,worksheet!A:P,3,FALSE)</f>
        <v>Anthony Case</v>
      </c>
      <c r="C781" s="5" t="str">
        <f>VLOOKUP(globalfreelancepreprocesseddata!A781,worksheet!A:P,5,FALSE)</f>
        <v>Male</v>
      </c>
      <c r="D781" s="5">
        <f>VLOOKUP(globalfreelancepreprocesseddata!A781,worksheet!A:P,6,FALSE)</f>
        <v>44</v>
      </c>
      <c r="E781" s="5" t="str">
        <f>VLOOKUP(globalfreelancepreprocesseddata!A781,worksheet!A:P,7,FALSE)</f>
        <v>Australia</v>
      </c>
      <c r="F781" s="5" t="str">
        <f>VLOOKUP(globalfreelancepreprocesseddata!A781,worksheet!A:P,8,FALSE)</f>
        <v>English</v>
      </c>
      <c r="G781" s="5" t="str">
        <f>VLOOKUP(globalfreelancepreprocesseddata!A781,worksheet!A:P,9,FALSE)</f>
        <v>Machine Learning</v>
      </c>
      <c r="H781" s="5">
        <f>VLOOKUP(globalfreelancepreprocesseddata!A781,worksheet!A:P,10,FALSE)</f>
        <v>26</v>
      </c>
      <c r="I781" s="6">
        <f>VLOOKUP(globalfreelancepreprocesseddata!A781,worksheet!A:P,12,FALSE)</f>
        <v>50</v>
      </c>
      <c r="J781" s="5">
        <f>VLOOKUP(globalfreelancepreprocesseddata!A781,worksheet!A:P,13,FALSE)</f>
        <v>1.6</v>
      </c>
      <c r="K781" s="5">
        <f>VLOOKUP(globalfreelancepreprocesseddata!A781,worksheet!A:P,14,FALSE)</f>
        <v>1</v>
      </c>
      <c r="L781" s="7">
        <f>VLOOKUP(globalfreelancepreprocesseddata!A781,worksheet!A:P,16,FALSE)</f>
        <v>0.01</v>
      </c>
    </row>
    <row r="782" spans="1:12" x14ac:dyDescent="0.35">
      <c r="A782" s="5" t="s">
        <v>1633</v>
      </c>
      <c r="B782" s="5" t="str">
        <f>VLOOKUP(globalfreelancepreprocesseddata!A782,worksheet!A:P,3,FALSE)</f>
        <v>Kimberly Brown</v>
      </c>
      <c r="C782" s="5" t="str">
        <f>VLOOKUP(globalfreelancepreprocesseddata!A782,worksheet!A:P,5,FALSE)</f>
        <v>Female</v>
      </c>
      <c r="D782" s="5">
        <f>VLOOKUP(globalfreelancepreprocesseddata!A782,worksheet!A:P,6,FALSE)</f>
        <v>42</v>
      </c>
      <c r="E782" s="5" t="str">
        <f>VLOOKUP(globalfreelancepreprocesseddata!A782,worksheet!A:P,7,FALSE)</f>
        <v>Egypt</v>
      </c>
      <c r="F782" s="5" t="str">
        <f>VLOOKUP(globalfreelancepreprocesseddata!A782,worksheet!A:P,8,FALSE)</f>
        <v>Arabic</v>
      </c>
      <c r="G782" s="5" t="str">
        <f>VLOOKUP(globalfreelancepreprocesseddata!A782,worksheet!A:P,9,FALSE)</f>
        <v>Mobile Apps</v>
      </c>
      <c r="H782" s="5">
        <f>VLOOKUP(globalfreelancepreprocesseddata!A782,worksheet!A:P,10,FALSE)</f>
        <v>10</v>
      </c>
      <c r="I782" s="6">
        <f>VLOOKUP(globalfreelancepreprocesseddata!A782,worksheet!A:P,12,FALSE)</f>
        <v>100</v>
      </c>
      <c r="J782" s="5">
        <f>VLOOKUP(globalfreelancepreprocesseddata!A782,worksheet!A:P,13,FALSE)</f>
        <v>3.7</v>
      </c>
      <c r="K782" s="5">
        <f>VLOOKUP(globalfreelancepreprocesseddata!A782,worksheet!A:P,14,FALSE)</f>
        <v>1</v>
      </c>
      <c r="L782" s="7">
        <f>VLOOKUP(globalfreelancepreprocesseddata!A782,worksheet!A:P,16,FALSE)</f>
        <v>0.94</v>
      </c>
    </row>
    <row r="783" spans="1:12" x14ac:dyDescent="0.35">
      <c r="A783" s="5" t="s">
        <v>1635</v>
      </c>
      <c r="B783" s="5" t="str">
        <f>VLOOKUP(globalfreelancepreprocesseddata!A783,worksheet!A:P,3,FALSE)</f>
        <v>Joshua Holloway</v>
      </c>
      <c r="C783" s="5" t="str">
        <f>VLOOKUP(globalfreelancepreprocesseddata!A783,worksheet!A:P,5,FALSE)</f>
        <v>Male</v>
      </c>
      <c r="D783" s="5">
        <f>VLOOKUP(globalfreelancepreprocesseddata!A783,worksheet!A:P,6,FALSE)</f>
        <v>59</v>
      </c>
      <c r="E783" s="5" t="str">
        <f>VLOOKUP(globalfreelancepreprocesseddata!A783,worksheet!A:P,7,FALSE)</f>
        <v>United States</v>
      </c>
      <c r="F783" s="5" t="str">
        <f>VLOOKUP(globalfreelancepreprocesseddata!A783,worksheet!A:P,8,FALSE)</f>
        <v>English</v>
      </c>
      <c r="G783" s="5" t="str">
        <f>VLOOKUP(globalfreelancepreprocesseddata!A783,worksheet!A:P,9,FALSE)</f>
        <v>Cybersecurity</v>
      </c>
      <c r="H783" s="5">
        <f>VLOOKUP(globalfreelancepreprocesseddata!A783,worksheet!A:P,10,FALSE)</f>
        <v>17</v>
      </c>
      <c r="I783" s="6">
        <f>VLOOKUP(globalfreelancepreprocesseddata!A783,worksheet!A:P,12,FALSE)</f>
        <v>50</v>
      </c>
      <c r="J783" s="5">
        <f>VLOOKUP(globalfreelancepreprocesseddata!A783,worksheet!A:P,13,FALSE)</f>
        <v>1.4</v>
      </c>
      <c r="K783" s="5">
        <f>VLOOKUP(globalfreelancepreprocesseddata!A783,worksheet!A:P,14,FALSE)</f>
        <v>1</v>
      </c>
      <c r="L783" s="7">
        <f>VLOOKUP(globalfreelancepreprocesseddata!A783,worksheet!A:P,16,FALSE)</f>
        <v>0.16</v>
      </c>
    </row>
    <row r="784" spans="1:12" x14ac:dyDescent="0.35">
      <c r="A784" s="5" t="s">
        <v>1637</v>
      </c>
      <c r="B784" s="5" t="str">
        <f>VLOOKUP(globalfreelancepreprocesseddata!A784,worksheet!A:P,3,FALSE)</f>
        <v>Cynthia Walton</v>
      </c>
      <c r="C784" s="5" t="str">
        <f>VLOOKUP(globalfreelancepreprocesseddata!A784,worksheet!A:P,5,FALSE)</f>
        <v>Female</v>
      </c>
      <c r="D784" s="5">
        <f>VLOOKUP(globalfreelancepreprocesseddata!A784,worksheet!A:P,6,FALSE)</f>
        <v>41</v>
      </c>
      <c r="E784" s="5" t="str">
        <f>VLOOKUP(globalfreelancepreprocesseddata!A784,worksheet!A:P,7,FALSE)</f>
        <v>Argentina</v>
      </c>
      <c r="F784" s="5" t="str">
        <f>VLOOKUP(globalfreelancepreprocesseddata!A784,worksheet!A:P,8,FALSE)</f>
        <v>Spanish</v>
      </c>
      <c r="G784" s="5" t="str">
        <f>VLOOKUP(globalfreelancepreprocesseddata!A784,worksheet!A:P,9,FALSE)</f>
        <v>Blockchain Development</v>
      </c>
      <c r="H784" s="5">
        <f>VLOOKUP(globalfreelancepreprocesseddata!A784,worksheet!A:P,10,FALSE)</f>
        <v>9</v>
      </c>
      <c r="I784" s="6">
        <f>VLOOKUP(globalfreelancepreprocesseddata!A784,worksheet!A:P,12,FALSE)</f>
        <v>100</v>
      </c>
      <c r="J784" s="5">
        <f>VLOOKUP(globalfreelancepreprocesseddata!A784,worksheet!A:P,13,FALSE)</f>
        <v>4.5</v>
      </c>
      <c r="K784" s="5">
        <f>VLOOKUP(globalfreelancepreprocesseddata!A784,worksheet!A:P,14,FALSE)</f>
        <v>1</v>
      </c>
      <c r="L784" s="7">
        <f>VLOOKUP(globalfreelancepreprocesseddata!A784,worksheet!A:P,16,FALSE)</f>
        <v>0.83</v>
      </c>
    </row>
    <row r="785" spans="1:12" x14ac:dyDescent="0.35">
      <c r="A785" s="5" t="s">
        <v>1639</v>
      </c>
      <c r="B785" s="5" t="str">
        <f>VLOOKUP(globalfreelancepreprocesseddata!A785,worksheet!A:P,3,FALSE)</f>
        <v>Shawn Delgado</v>
      </c>
      <c r="C785" s="5" t="str">
        <f>VLOOKUP(globalfreelancepreprocesseddata!A785,worksheet!A:P,5,FALSE)</f>
        <v>Male</v>
      </c>
      <c r="D785" s="5">
        <f>VLOOKUP(globalfreelancepreprocesseddata!A785,worksheet!A:P,6,FALSE)</f>
        <v>21</v>
      </c>
      <c r="E785" s="5" t="str">
        <f>VLOOKUP(globalfreelancepreprocesseddata!A785,worksheet!A:P,7,FALSE)</f>
        <v>China</v>
      </c>
      <c r="F785" s="5" t="str">
        <f>VLOOKUP(globalfreelancepreprocesseddata!A785,worksheet!A:P,8,FALSE)</f>
        <v>Mandarin</v>
      </c>
      <c r="G785" s="5" t="str">
        <f>VLOOKUP(globalfreelancepreprocesseddata!A785,worksheet!A:P,9,FALSE)</f>
        <v>Data Analysis</v>
      </c>
      <c r="H785" s="5">
        <f>VLOOKUP(globalfreelancepreprocesseddata!A785,worksheet!A:P,10,FALSE)</f>
        <v>11</v>
      </c>
      <c r="I785" s="6" t="str">
        <f>VLOOKUP(globalfreelancepreprocesseddata!A785,worksheet!A:P,12,FALSE)</f>
        <v>$ 40</v>
      </c>
      <c r="J785" s="5">
        <f>VLOOKUP(globalfreelancepreprocesseddata!A785,worksheet!A:P,13,FALSE)</f>
        <v>3.7</v>
      </c>
      <c r="K785" s="5">
        <f>VLOOKUP(globalfreelancepreprocesseddata!A785,worksheet!A:P,14,FALSE)</f>
        <v>0</v>
      </c>
      <c r="L785" s="7">
        <f>VLOOKUP(globalfreelancepreprocesseddata!A785,worksheet!A:P,16,FALSE)</f>
        <v>0.74</v>
      </c>
    </row>
    <row r="786" spans="1:12" x14ac:dyDescent="0.35">
      <c r="A786" s="5" t="s">
        <v>1641</v>
      </c>
      <c r="B786" s="5" t="str">
        <f>VLOOKUP(globalfreelancepreprocesseddata!A786,worksheet!A:P,3,FALSE)</f>
        <v>Jeremy Smith</v>
      </c>
      <c r="C786" s="5" t="str">
        <f>VLOOKUP(globalfreelancepreprocesseddata!A786,worksheet!A:P,5,FALSE)</f>
        <v>Male</v>
      </c>
      <c r="D786" s="5">
        <f>VLOOKUP(globalfreelancepreprocesseddata!A786,worksheet!A:P,6,FALSE)</f>
        <v>53</v>
      </c>
      <c r="E786" s="5" t="str">
        <f>VLOOKUP(globalfreelancepreprocesseddata!A786,worksheet!A:P,7,FALSE)</f>
        <v>United Kingdom</v>
      </c>
      <c r="F786" s="5" t="str">
        <f>VLOOKUP(globalfreelancepreprocesseddata!A786,worksheet!A:P,8,FALSE)</f>
        <v>English</v>
      </c>
      <c r="G786" s="5" t="str">
        <f>VLOOKUP(globalfreelancepreprocesseddata!A786,worksheet!A:P,9,FALSE)</f>
        <v>DevOps</v>
      </c>
      <c r="H786" s="5">
        <f>VLOOKUP(globalfreelancepreprocesseddata!A786,worksheet!A:P,10,FALSE)</f>
        <v>5</v>
      </c>
      <c r="I786" s="6">
        <f>VLOOKUP(globalfreelancepreprocesseddata!A786,worksheet!A:P,12,FALSE)</f>
        <v>75</v>
      </c>
      <c r="J786" s="5">
        <f>VLOOKUP(globalfreelancepreprocesseddata!A786,worksheet!A:P,13,FALSE)</f>
        <v>1.1000000000000001</v>
      </c>
      <c r="K786" s="5">
        <f>VLOOKUP(globalfreelancepreprocesseddata!A786,worksheet!A:P,14,FALSE)</f>
        <v>0</v>
      </c>
      <c r="L786" s="7">
        <f>VLOOKUP(globalfreelancepreprocesseddata!A786,worksheet!A:P,16,FALSE)</f>
        <v>0.92</v>
      </c>
    </row>
    <row r="787" spans="1:12" x14ac:dyDescent="0.35">
      <c r="A787" s="5" t="s">
        <v>1643</v>
      </c>
      <c r="B787" s="5" t="str">
        <f>VLOOKUP(globalfreelancepreprocesseddata!A787,worksheet!A:P,3,FALSE)</f>
        <v>Marc Ortiz</v>
      </c>
      <c r="C787" s="5" t="str">
        <f>VLOOKUP(globalfreelancepreprocesseddata!A787,worksheet!A:P,5,FALSE)</f>
        <v>Male</v>
      </c>
      <c r="D787" s="5">
        <f>VLOOKUP(globalfreelancepreprocesseddata!A787,worksheet!A:P,6,FALSE)</f>
        <v>35</v>
      </c>
      <c r="E787" s="5" t="str">
        <f>VLOOKUP(globalfreelancepreprocesseddata!A787,worksheet!A:P,7,FALSE)</f>
        <v>Argentina</v>
      </c>
      <c r="F787" s="5" t="str">
        <f>VLOOKUP(globalfreelancepreprocesseddata!A787,worksheet!A:P,8,FALSE)</f>
        <v>Spanish</v>
      </c>
      <c r="G787" s="5" t="str">
        <f>VLOOKUP(globalfreelancepreprocesseddata!A787,worksheet!A:P,9,FALSE)</f>
        <v>Mobile Apps</v>
      </c>
      <c r="H787" s="5">
        <f>VLOOKUP(globalfreelancepreprocesseddata!A787,worksheet!A:P,10,FALSE)</f>
        <v>15</v>
      </c>
      <c r="I787" s="6">
        <f>VLOOKUP(globalfreelancepreprocesseddata!A787,worksheet!A:P,12,FALSE)</f>
        <v>40</v>
      </c>
      <c r="J787" s="5">
        <f>VLOOKUP(globalfreelancepreprocesseddata!A787,worksheet!A:P,13,FALSE)</f>
        <v>3.7</v>
      </c>
      <c r="K787" s="5">
        <f>VLOOKUP(globalfreelancepreprocesseddata!A787,worksheet!A:P,14,FALSE)</f>
        <v>0</v>
      </c>
      <c r="L787" s="7">
        <f>VLOOKUP(globalfreelancepreprocesseddata!A787,worksheet!A:P,16,FALSE)</f>
        <v>0.66</v>
      </c>
    </row>
    <row r="788" spans="1:12" x14ac:dyDescent="0.35">
      <c r="A788" s="5" t="s">
        <v>1645</v>
      </c>
      <c r="B788" s="5" t="str">
        <f>VLOOKUP(globalfreelancepreprocesseddata!A788,worksheet!A:P,3,FALSE)</f>
        <v>Michelle Gregory</v>
      </c>
      <c r="C788" s="5" t="str">
        <f>VLOOKUP(globalfreelancepreprocesseddata!A788,worksheet!A:P,5,FALSE)</f>
        <v>Female</v>
      </c>
      <c r="D788" s="5">
        <f>VLOOKUP(globalfreelancepreprocesseddata!A788,worksheet!A:P,6,FALSE)</f>
        <v>25</v>
      </c>
      <c r="E788" s="5" t="str">
        <f>VLOOKUP(globalfreelancepreprocesseddata!A788,worksheet!A:P,7,FALSE)</f>
        <v>Brazil</v>
      </c>
      <c r="F788" s="5" t="str">
        <f>VLOOKUP(globalfreelancepreprocesseddata!A788,worksheet!A:P,8,FALSE)</f>
        <v>Portuguese</v>
      </c>
      <c r="G788" s="5" t="str">
        <f>VLOOKUP(globalfreelancepreprocesseddata!A788,worksheet!A:P,9,FALSE)</f>
        <v>Machine Learning</v>
      </c>
      <c r="H788" s="5">
        <f>VLOOKUP(globalfreelancepreprocesseddata!A788,worksheet!A:P,10,FALSE)</f>
        <v>3</v>
      </c>
      <c r="I788" s="6">
        <f>VLOOKUP(globalfreelancepreprocesseddata!A788,worksheet!A:P,12,FALSE)</f>
        <v>50</v>
      </c>
      <c r="J788" s="5">
        <f>VLOOKUP(globalfreelancepreprocesseddata!A788,worksheet!A:P,13,FALSE)</f>
        <v>3.2</v>
      </c>
      <c r="K788" s="5">
        <f>VLOOKUP(globalfreelancepreprocesseddata!A788,worksheet!A:P,14,FALSE)</f>
        <v>1</v>
      </c>
      <c r="L788" s="7">
        <f>VLOOKUP(globalfreelancepreprocesseddata!A788,worksheet!A:P,16,FALSE)</f>
        <v>0.74</v>
      </c>
    </row>
    <row r="789" spans="1:12" x14ac:dyDescent="0.35">
      <c r="A789" s="5" t="s">
        <v>1647</v>
      </c>
      <c r="B789" s="5" t="str">
        <f>VLOOKUP(globalfreelancepreprocesseddata!A789,worksheet!A:P,3,FALSE)</f>
        <v>Melanie Gay</v>
      </c>
      <c r="C789" s="5" t="str">
        <f>VLOOKUP(globalfreelancepreprocesseddata!A789,worksheet!A:P,5,FALSE)</f>
        <v>Female</v>
      </c>
      <c r="D789" s="5">
        <f>VLOOKUP(globalfreelancepreprocesseddata!A789,worksheet!A:P,6,FALSE)</f>
        <v>23</v>
      </c>
      <c r="E789" s="5" t="str">
        <f>VLOOKUP(globalfreelancepreprocesseddata!A789,worksheet!A:P,7,FALSE)</f>
        <v>Italy</v>
      </c>
      <c r="F789" s="5" t="str">
        <f>VLOOKUP(globalfreelancepreprocesseddata!A789,worksheet!A:P,8,FALSE)</f>
        <v>Italian</v>
      </c>
      <c r="G789" s="5" t="str">
        <f>VLOOKUP(globalfreelancepreprocesseddata!A789,worksheet!A:P,9,FALSE)</f>
        <v>UI/UX Design</v>
      </c>
      <c r="H789" s="5">
        <f>VLOOKUP(globalfreelancepreprocesseddata!A789,worksheet!A:P,10,FALSE)</f>
        <v>1</v>
      </c>
      <c r="I789" s="6">
        <f>VLOOKUP(globalfreelancepreprocesseddata!A789,worksheet!A:P,12,FALSE)</f>
        <v>30</v>
      </c>
      <c r="J789" s="5">
        <f>VLOOKUP(globalfreelancepreprocesseddata!A789,worksheet!A:P,13,FALSE)</f>
        <v>5</v>
      </c>
      <c r="K789" s="5">
        <f>VLOOKUP(globalfreelancepreprocesseddata!A789,worksheet!A:P,14,FALSE)</f>
        <v>0</v>
      </c>
      <c r="L789" s="7">
        <f>VLOOKUP(globalfreelancepreprocesseddata!A789,worksheet!A:P,16,FALSE)</f>
        <v>0.97</v>
      </c>
    </row>
    <row r="790" spans="1:12" x14ac:dyDescent="0.35">
      <c r="A790" s="5" t="s">
        <v>1649</v>
      </c>
      <c r="B790" s="5" t="str">
        <f>VLOOKUP(globalfreelancepreprocesseddata!A790,worksheet!A:P,3,FALSE)</f>
        <v>Brittany Lambert</v>
      </c>
      <c r="C790" s="5" t="str">
        <f>VLOOKUP(globalfreelancepreprocesseddata!A790,worksheet!A:P,5,FALSE)</f>
        <v>Female</v>
      </c>
      <c r="D790" s="5">
        <f>VLOOKUP(globalfreelancepreprocesseddata!A790,worksheet!A:P,6,FALSE)</f>
        <v>56</v>
      </c>
      <c r="E790" s="5" t="str">
        <f>VLOOKUP(globalfreelancepreprocesseddata!A790,worksheet!A:P,7,FALSE)</f>
        <v>Egypt</v>
      </c>
      <c r="F790" s="5" t="str">
        <f>VLOOKUP(globalfreelancepreprocesseddata!A790,worksheet!A:P,8,FALSE)</f>
        <v>Arabic</v>
      </c>
      <c r="G790" s="5" t="str">
        <f>VLOOKUP(globalfreelancepreprocesseddata!A790,worksheet!A:P,9,FALSE)</f>
        <v>Graphic Design</v>
      </c>
      <c r="H790" s="5">
        <f>VLOOKUP(globalfreelancepreprocesseddata!A790,worksheet!A:P,10,FALSE)</f>
        <v>13</v>
      </c>
      <c r="I790" s="6">
        <f>VLOOKUP(globalfreelancepreprocesseddata!A790,worksheet!A:P,12,FALSE)</f>
        <v>30</v>
      </c>
      <c r="J790" s="5">
        <f>VLOOKUP(globalfreelancepreprocesseddata!A790,worksheet!A:P,13,FALSE)</f>
        <v>0</v>
      </c>
      <c r="K790" s="5">
        <f>VLOOKUP(globalfreelancepreprocesseddata!A790,worksheet!A:P,14,FALSE)</f>
        <v>1</v>
      </c>
      <c r="L790" s="7">
        <f>VLOOKUP(globalfreelancepreprocesseddata!A790,worksheet!A:P,16,FALSE)</f>
        <v>0.77</v>
      </c>
    </row>
    <row r="791" spans="1:12" x14ac:dyDescent="0.35">
      <c r="A791" s="5" t="s">
        <v>1651</v>
      </c>
      <c r="B791" s="5" t="str">
        <f>VLOOKUP(globalfreelancepreprocesseddata!A791,worksheet!A:P,3,FALSE)</f>
        <v>Mary Hernandez</v>
      </c>
      <c r="C791" s="5" t="str">
        <f>VLOOKUP(globalfreelancepreprocesseddata!A791,worksheet!A:P,5,FALSE)</f>
        <v>Female</v>
      </c>
      <c r="D791" s="5">
        <f>VLOOKUP(globalfreelancepreprocesseddata!A791,worksheet!A:P,6,FALSE)</f>
        <v>31</v>
      </c>
      <c r="E791" s="5" t="str">
        <f>VLOOKUP(globalfreelancepreprocesseddata!A791,worksheet!A:P,7,FALSE)</f>
        <v>Mexico</v>
      </c>
      <c r="F791" s="5" t="str">
        <f>VLOOKUP(globalfreelancepreprocesseddata!A791,worksheet!A:P,8,FALSE)</f>
        <v>Spanish</v>
      </c>
      <c r="G791" s="5" t="str">
        <f>VLOOKUP(globalfreelancepreprocesseddata!A791,worksheet!A:P,9,FALSE)</f>
        <v>UI/UX Design</v>
      </c>
      <c r="H791" s="5">
        <f>VLOOKUP(globalfreelancepreprocesseddata!A791,worksheet!A:P,10,FALSE)</f>
        <v>6</v>
      </c>
      <c r="I791" s="6">
        <f>VLOOKUP(globalfreelancepreprocesseddata!A791,worksheet!A:P,12,FALSE)</f>
        <v>40</v>
      </c>
      <c r="J791" s="5">
        <f>VLOOKUP(globalfreelancepreprocesseddata!A791,worksheet!A:P,13,FALSE)</f>
        <v>3.5</v>
      </c>
      <c r="K791" s="5">
        <f>VLOOKUP(globalfreelancepreprocesseddata!A791,worksheet!A:P,14,FALSE)</f>
        <v>1</v>
      </c>
      <c r="L791" s="7">
        <f>VLOOKUP(globalfreelancepreprocesseddata!A791,worksheet!A:P,16,FALSE)</f>
        <v>0.86</v>
      </c>
    </row>
    <row r="792" spans="1:12" x14ac:dyDescent="0.35">
      <c r="A792" s="5" t="s">
        <v>1653</v>
      </c>
      <c r="B792" s="5" t="str">
        <f>VLOOKUP(globalfreelancepreprocesseddata!A792,worksheet!A:P,3,FALSE)</f>
        <v>Jonathan Jones</v>
      </c>
      <c r="C792" s="5" t="str">
        <f>VLOOKUP(globalfreelancepreprocesseddata!A792,worksheet!A:P,5,FALSE)</f>
        <v>Male</v>
      </c>
      <c r="D792" s="5">
        <f>VLOOKUP(globalfreelancepreprocesseddata!A792,worksheet!A:P,6,FALSE)</f>
        <v>24</v>
      </c>
      <c r="E792" s="5" t="str">
        <f>VLOOKUP(globalfreelancepreprocesseddata!A792,worksheet!A:P,7,FALSE)</f>
        <v>United States</v>
      </c>
      <c r="F792" s="5" t="str">
        <f>VLOOKUP(globalfreelancepreprocesseddata!A792,worksheet!A:P,8,FALSE)</f>
        <v>English</v>
      </c>
      <c r="G792" s="5" t="str">
        <f>VLOOKUP(globalfreelancepreprocesseddata!A792,worksheet!A:P,9,FALSE)</f>
        <v>Cybersecurity</v>
      </c>
      <c r="H792" s="5">
        <f>VLOOKUP(globalfreelancepreprocesseddata!A792,worksheet!A:P,10,FALSE)</f>
        <v>4</v>
      </c>
      <c r="I792" s="6">
        <f>VLOOKUP(globalfreelancepreprocesseddata!A792,worksheet!A:P,12,FALSE)</f>
        <v>50</v>
      </c>
      <c r="J792" s="5">
        <f>VLOOKUP(globalfreelancepreprocesseddata!A792,worksheet!A:P,13,FALSE)</f>
        <v>3.1</v>
      </c>
      <c r="K792" s="5">
        <f>VLOOKUP(globalfreelancepreprocesseddata!A792,worksheet!A:P,14,FALSE)</f>
        <v>0</v>
      </c>
      <c r="L792" s="7">
        <f>VLOOKUP(globalfreelancepreprocesseddata!A792,worksheet!A:P,16,FALSE)</f>
        <v>0.95</v>
      </c>
    </row>
    <row r="793" spans="1:12" x14ac:dyDescent="0.35">
      <c r="A793" s="5" t="s">
        <v>1655</v>
      </c>
      <c r="B793" s="5" t="str">
        <f>VLOOKUP(globalfreelancepreprocesseddata!A793,worksheet!A:P,3,FALSE)</f>
        <v>Gina Williams</v>
      </c>
      <c r="C793" s="5" t="str">
        <f>VLOOKUP(globalfreelancepreprocesseddata!A793,worksheet!A:P,5,FALSE)</f>
        <v>Female</v>
      </c>
      <c r="D793" s="5">
        <f>VLOOKUP(globalfreelancepreprocesseddata!A793,worksheet!A:P,6,FALSE)</f>
        <v>35</v>
      </c>
      <c r="E793" s="5" t="str">
        <f>VLOOKUP(globalfreelancepreprocesseddata!A793,worksheet!A:P,7,FALSE)</f>
        <v>Brazil</v>
      </c>
      <c r="F793" s="5" t="str">
        <f>VLOOKUP(globalfreelancepreprocesseddata!A793,worksheet!A:P,8,FALSE)</f>
        <v>Portuguese</v>
      </c>
      <c r="G793" s="5" t="str">
        <f>VLOOKUP(globalfreelancepreprocesseddata!A793,worksheet!A:P,9,FALSE)</f>
        <v>Cybersecurity</v>
      </c>
      <c r="H793" s="5">
        <f>VLOOKUP(globalfreelancepreprocesseddata!A793,worksheet!A:P,10,FALSE)</f>
        <v>7</v>
      </c>
      <c r="I793" s="6">
        <f>VLOOKUP(globalfreelancepreprocesseddata!A793,worksheet!A:P,12,FALSE)</f>
        <v>40</v>
      </c>
      <c r="J793" s="5">
        <f>VLOOKUP(globalfreelancepreprocesseddata!A793,worksheet!A:P,13,FALSE)</f>
        <v>3.9</v>
      </c>
      <c r="K793" s="5">
        <f>VLOOKUP(globalfreelancepreprocesseddata!A793,worksheet!A:P,14,FALSE)</f>
        <v>0</v>
      </c>
      <c r="L793" s="7">
        <f>VLOOKUP(globalfreelancepreprocesseddata!A793,worksheet!A:P,16,FALSE)</f>
        <v>0.72</v>
      </c>
    </row>
    <row r="794" spans="1:12" x14ac:dyDescent="0.35">
      <c r="A794" s="5" t="s">
        <v>1657</v>
      </c>
      <c r="B794" s="5" t="str">
        <f>VLOOKUP(globalfreelancepreprocesseddata!A794,worksheet!A:P,3,FALSE)</f>
        <v>Kelly Lawson</v>
      </c>
      <c r="C794" s="5" t="str">
        <f>VLOOKUP(globalfreelancepreprocesseddata!A794,worksheet!A:P,5,FALSE)</f>
        <v>Female</v>
      </c>
      <c r="D794" s="5">
        <f>VLOOKUP(globalfreelancepreprocesseddata!A794,worksheet!A:P,6,FALSE)</f>
        <v>20</v>
      </c>
      <c r="E794" s="5" t="str">
        <f>VLOOKUP(globalfreelancepreprocesseddata!A794,worksheet!A:P,7,FALSE)</f>
        <v>Spain</v>
      </c>
      <c r="F794" s="5" t="str">
        <f>VLOOKUP(globalfreelancepreprocesseddata!A794,worksheet!A:P,8,FALSE)</f>
        <v>Spanish</v>
      </c>
      <c r="G794" s="5" t="str">
        <f>VLOOKUP(globalfreelancepreprocesseddata!A794,worksheet!A:P,9,FALSE)</f>
        <v>AI</v>
      </c>
      <c r="H794" s="5">
        <f>VLOOKUP(globalfreelancepreprocesseddata!A794,worksheet!A:P,10,FALSE)</f>
        <v>1</v>
      </c>
      <c r="I794" s="6">
        <f>VLOOKUP(globalfreelancepreprocesseddata!A794,worksheet!A:P,12,FALSE)</f>
        <v>40</v>
      </c>
      <c r="J794" s="5">
        <f>VLOOKUP(globalfreelancepreprocesseddata!A794,worksheet!A:P,13,FALSE)</f>
        <v>3.5</v>
      </c>
      <c r="K794" s="5">
        <f>VLOOKUP(globalfreelancepreprocesseddata!A794,worksheet!A:P,14,FALSE)</f>
        <v>0</v>
      </c>
      <c r="L794" s="7">
        <f>VLOOKUP(globalfreelancepreprocesseddata!A794,worksheet!A:P,16,FALSE)</f>
        <v>0.71</v>
      </c>
    </row>
    <row r="795" spans="1:12" x14ac:dyDescent="0.35">
      <c r="A795" s="5" t="s">
        <v>1659</v>
      </c>
      <c r="B795" s="5" t="str">
        <f>VLOOKUP(globalfreelancepreprocesseddata!A795,worksheet!A:P,3,FALSE)</f>
        <v>Keith Smith</v>
      </c>
      <c r="C795" s="5" t="str">
        <f>VLOOKUP(globalfreelancepreprocesseddata!A795,worksheet!A:P,5,FALSE)</f>
        <v>Male</v>
      </c>
      <c r="D795" s="5">
        <f>VLOOKUP(globalfreelancepreprocesseddata!A795,worksheet!A:P,6,FALSE)</f>
        <v>26</v>
      </c>
      <c r="E795" s="5" t="str">
        <f>VLOOKUP(globalfreelancepreprocesseddata!A795,worksheet!A:P,7,FALSE)</f>
        <v>Australia</v>
      </c>
      <c r="F795" s="5" t="str">
        <f>VLOOKUP(globalfreelancepreprocesseddata!A795,worksheet!A:P,8,FALSE)</f>
        <v>English</v>
      </c>
      <c r="G795" s="5" t="str">
        <f>VLOOKUP(globalfreelancepreprocesseddata!A795,worksheet!A:P,9,FALSE)</f>
        <v>Data Analysis</v>
      </c>
      <c r="H795" s="5">
        <f>VLOOKUP(globalfreelancepreprocesseddata!A795,worksheet!A:P,10,FALSE)</f>
        <v>5</v>
      </c>
      <c r="I795" s="6">
        <f>VLOOKUP(globalfreelancepreprocesseddata!A795,worksheet!A:P,12,FALSE)</f>
        <v>100</v>
      </c>
      <c r="J795" s="5">
        <f>VLOOKUP(globalfreelancepreprocesseddata!A795,worksheet!A:P,13,FALSE)</f>
        <v>2.5</v>
      </c>
      <c r="K795" s="5">
        <f>VLOOKUP(globalfreelancepreprocesseddata!A795,worksheet!A:P,14,FALSE)</f>
        <v>1</v>
      </c>
      <c r="L795" s="7">
        <f>VLOOKUP(globalfreelancepreprocesseddata!A795,worksheet!A:P,16,FALSE)</f>
        <v>0.93</v>
      </c>
    </row>
    <row r="796" spans="1:12" x14ac:dyDescent="0.35">
      <c r="A796" s="5" t="s">
        <v>1661</v>
      </c>
      <c r="B796" s="5" t="str">
        <f>VLOOKUP(globalfreelancepreprocesseddata!A796,worksheet!A:P,3,FALSE)</f>
        <v>Christopher Hunter</v>
      </c>
      <c r="C796" s="5" t="str">
        <f>VLOOKUP(globalfreelancepreprocesseddata!A796,worksheet!A:P,5,FALSE)</f>
        <v>Male</v>
      </c>
      <c r="D796" s="5">
        <f>VLOOKUP(globalfreelancepreprocesseddata!A796,worksheet!A:P,6,FALSE)</f>
        <v>54</v>
      </c>
      <c r="E796" s="5" t="str">
        <f>VLOOKUP(globalfreelancepreprocesseddata!A796,worksheet!A:P,7,FALSE)</f>
        <v>United Kingdom</v>
      </c>
      <c r="F796" s="5" t="str">
        <f>VLOOKUP(globalfreelancepreprocesseddata!A796,worksheet!A:P,8,FALSE)</f>
        <v>English</v>
      </c>
      <c r="G796" s="5" t="str">
        <f>VLOOKUP(globalfreelancepreprocesseddata!A796,worksheet!A:P,9,FALSE)</f>
        <v>DevOps</v>
      </c>
      <c r="H796" s="5">
        <f>VLOOKUP(globalfreelancepreprocesseddata!A796,worksheet!A:P,10,FALSE)</f>
        <v>29</v>
      </c>
      <c r="I796" s="6" t="str">
        <f>VLOOKUP(globalfreelancepreprocesseddata!A796,worksheet!A:P,12,FALSE)</f>
        <v>$ 40</v>
      </c>
      <c r="J796" s="5">
        <f>VLOOKUP(globalfreelancepreprocesseddata!A796,worksheet!A:P,13,FALSE)</f>
        <v>3.1</v>
      </c>
      <c r="K796" s="5">
        <f>VLOOKUP(globalfreelancepreprocesseddata!A796,worksheet!A:P,14,FALSE)</f>
        <v>1</v>
      </c>
      <c r="L796" s="7">
        <f>VLOOKUP(globalfreelancepreprocesseddata!A796,worksheet!A:P,16,FALSE)</f>
        <v>0.16</v>
      </c>
    </row>
    <row r="797" spans="1:12" x14ac:dyDescent="0.35">
      <c r="A797" s="5" t="s">
        <v>1663</v>
      </c>
      <c r="B797" s="5" t="str">
        <f>VLOOKUP(globalfreelancepreprocesseddata!A797,worksheet!A:P,3,FALSE)</f>
        <v>Dwayne Parks</v>
      </c>
      <c r="C797" s="5" t="str">
        <f>VLOOKUP(globalfreelancepreprocesseddata!A797,worksheet!A:P,5,FALSE)</f>
        <v>Male</v>
      </c>
      <c r="D797" s="5">
        <f>VLOOKUP(globalfreelancepreprocesseddata!A797,worksheet!A:P,6,FALSE)</f>
        <v>53</v>
      </c>
      <c r="E797" s="5" t="str">
        <f>VLOOKUP(globalfreelancepreprocesseddata!A797,worksheet!A:P,7,FALSE)</f>
        <v>Russia</v>
      </c>
      <c r="F797" s="5" t="str">
        <f>VLOOKUP(globalfreelancepreprocesseddata!A797,worksheet!A:P,8,FALSE)</f>
        <v>Russian</v>
      </c>
      <c r="G797" s="5" t="str">
        <f>VLOOKUP(globalfreelancepreprocesseddata!A797,worksheet!A:P,9,FALSE)</f>
        <v>Cybersecurity</v>
      </c>
      <c r="H797" s="5">
        <f>VLOOKUP(globalfreelancepreprocesseddata!A797,worksheet!A:P,10,FALSE)</f>
        <v>12</v>
      </c>
      <c r="I797" s="6">
        <f>VLOOKUP(globalfreelancepreprocesseddata!A797,worksheet!A:P,12,FALSE)</f>
        <v>100</v>
      </c>
      <c r="J797" s="5">
        <f>VLOOKUP(globalfreelancepreprocesseddata!A797,worksheet!A:P,13,FALSE)</f>
        <v>4.7</v>
      </c>
      <c r="K797" s="5">
        <f>VLOOKUP(globalfreelancepreprocesseddata!A797,worksheet!A:P,14,FALSE)</f>
        <v>1</v>
      </c>
      <c r="L797" s="7">
        <f>VLOOKUP(globalfreelancepreprocesseddata!A797,worksheet!A:P,16,FALSE)</f>
        <v>0.87</v>
      </c>
    </row>
    <row r="798" spans="1:12" x14ac:dyDescent="0.35">
      <c r="A798" s="5" t="s">
        <v>1665</v>
      </c>
      <c r="B798" s="5" t="str">
        <f>VLOOKUP(globalfreelancepreprocesseddata!A798,worksheet!A:P,3,FALSE)</f>
        <v>Mary Hall</v>
      </c>
      <c r="C798" s="5" t="str">
        <f>VLOOKUP(globalfreelancepreprocesseddata!A798,worksheet!A:P,5,FALSE)</f>
        <v>Female</v>
      </c>
      <c r="D798" s="5">
        <f>VLOOKUP(globalfreelancepreprocesseddata!A798,worksheet!A:P,6,FALSE)</f>
        <v>33</v>
      </c>
      <c r="E798" s="5" t="str">
        <f>VLOOKUP(globalfreelancepreprocesseddata!A798,worksheet!A:P,7,FALSE)</f>
        <v>Canada</v>
      </c>
      <c r="F798" s="5" t="str">
        <f>VLOOKUP(globalfreelancepreprocesseddata!A798,worksheet!A:P,8,FALSE)</f>
        <v>English</v>
      </c>
      <c r="G798" s="5" t="str">
        <f>VLOOKUP(globalfreelancepreprocesseddata!A798,worksheet!A:P,9,FALSE)</f>
        <v>DevOps</v>
      </c>
      <c r="H798" s="5">
        <f>VLOOKUP(globalfreelancepreprocesseddata!A798,worksheet!A:P,10,FALSE)</f>
        <v>4</v>
      </c>
      <c r="I798" s="6">
        <f>VLOOKUP(globalfreelancepreprocesseddata!A798,worksheet!A:P,12,FALSE)</f>
        <v>40</v>
      </c>
      <c r="J798" s="5">
        <f>VLOOKUP(globalfreelancepreprocesseddata!A798,worksheet!A:P,13,FALSE)</f>
        <v>1.9</v>
      </c>
      <c r="K798" s="5">
        <f>VLOOKUP(globalfreelancepreprocesseddata!A798,worksheet!A:P,14,FALSE)</f>
        <v>0</v>
      </c>
      <c r="L798" s="7">
        <f>VLOOKUP(globalfreelancepreprocesseddata!A798,worksheet!A:P,16,FALSE)</f>
        <v>0.73</v>
      </c>
    </row>
    <row r="799" spans="1:12" x14ac:dyDescent="0.35">
      <c r="A799" s="5" t="s">
        <v>1667</v>
      </c>
      <c r="B799" s="5" t="str">
        <f>VLOOKUP(globalfreelancepreprocesseddata!A799,worksheet!A:P,3,FALSE)</f>
        <v>Jake Gilmore</v>
      </c>
      <c r="C799" s="5" t="str">
        <f>VLOOKUP(globalfreelancepreprocesseddata!A799,worksheet!A:P,5,FALSE)</f>
        <v>Male</v>
      </c>
      <c r="D799" s="5">
        <f>VLOOKUP(globalfreelancepreprocesseddata!A799,worksheet!A:P,6,FALSE)</f>
        <v>43</v>
      </c>
      <c r="E799" s="5" t="str">
        <f>VLOOKUP(globalfreelancepreprocesseddata!A799,worksheet!A:P,7,FALSE)</f>
        <v>Netherlands</v>
      </c>
      <c r="F799" s="5" t="str">
        <f>VLOOKUP(globalfreelancepreprocesseddata!A799,worksheet!A:P,8,FALSE)</f>
        <v>Dutch</v>
      </c>
      <c r="G799" s="5" t="str">
        <f>VLOOKUP(globalfreelancepreprocesseddata!A799,worksheet!A:P,9,FALSE)</f>
        <v>Web Development</v>
      </c>
      <c r="H799" s="5">
        <f>VLOOKUP(globalfreelancepreprocesseddata!A799,worksheet!A:P,10,FALSE)</f>
        <v>12</v>
      </c>
      <c r="I799" s="6">
        <f>VLOOKUP(globalfreelancepreprocesseddata!A799,worksheet!A:P,12,FALSE)</f>
        <v>40</v>
      </c>
      <c r="J799" s="5">
        <f>VLOOKUP(globalfreelancepreprocesseddata!A799,worksheet!A:P,13,FALSE)</f>
        <v>1.6</v>
      </c>
      <c r="K799" s="5">
        <f>VLOOKUP(globalfreelancepreprocesseddata!A799,worksheet!A:P,14,FALSE)</f>
        <v>1</v>
      </c>
      <c r="L799" s="7">
        <f>VLOOKUP(globalfreelancepreprocesseddata!A799,worksheet!A:P,16,FALSE)</f>
        <v>0.74</v>
      </c>
    </row>
    <row r="800" spans="1:12" x14ac:dyDescent="0.35">
      <c r="A800" s="5" t="s">
        <v>1669</v>
      </c>
      <c r="B800" s="5" t="str">
        <f>VLOOKUP(globalfreelancepreprocesseddata!A800,worksheet!A:P,3,FALSE)</f>
        <v>Mark Lopez</v>
      </c>
      <c r="C800" s="5" t="str">
        <f>VLOOKUP(globalfreelancepreprocesseddata!A800,worksheet!A:P,5,FALSE)</f>
        <v>Male</v>
      </c>
      <c r="D800" s="5">
        <f>VLOOKUP(globalfreelancepreprocesseddata!A800,worksheet!A:P,6,FALSE)</f>
        <v>37</v>
      </c>
      <c r="E800" s="5" t="str">
        <f>VLOOKUP(globalfreelancepreprocesseddata!A800,worksheet!A:P,7,FALSE)</f>
        <v>Canada</v>
      </c>
      <c r="F800" s="5" t="str">
        <f>VLOOKUP(globalfreelancepreprocesseddata!A800,worksheet!A:P,8,FALSE)</f>
        <v>English</v>
      </c>
      <c r="G800" s="5" t="str">
        <f>VLOOKUP(globalfreelancepreprocesseddata!A800,worksheet!A:P,9,FALSE)</f>
        <v>DevOps</v>
      </c>
      <c r="H800" s="5">
        <f>VLOOKUP(globalfreelancepreprocesseddata!A800,worksheet!A:P,10,FALSE)</f>
        <v>3</v>
      </c>
      <c r="I800" s="6">
        <f>VLOOKUP(globalfreelancepreprocesseddata!A800,worksheet!A:P,12,FALSE)</f>
        <v>20</v>
      </c>
      <c r="J800" s="5">
        <f>VLOOKUP(globalfreelancepreprocesseddata!A800,worksheet!A:P,13,FALSE)</f>
        <v>2.5</v>
      </c>
      <c r="K800" s="5">
        <f>VLOOKUP(globalfreelancepreprocesseddata!A800,worksheet!A:P,14,FALSE)</f>
        <v>0</v>
      </c>
      <c r="L800" s="7">
        <f>VLOOKUP(globalfreelancepreprocesseddata!A800,worksheet!A:P,16,FALSE)</f>
        <v>0.62</v>
      </c>
    </row>
    <row r="801" spans="1:12" x14ac:dyDescent="0.35">
      <c r="A801" s="5" t="s">
        <v>1671</v>
      </c>
      <c r="B801" s="5" t="str">
        <f>VLOOKUP(globalfreelancepreprocesseddata!A801,worksheet!A:P,3,FALSE)</f>
        <v>Dana Rice</v>
      </c>
      <c r="C801" s="5" t="str">
        <f>VLOOKUP(globalfreelancepreprocesseddata!A801,worksheet!A:P,5,FALSE)</f>
        <v>Female</v>
      </c>
      <c r="D801" s="5">
        <f>VLOOKUP(globalfreelancepreprocesseddata!A801,worksheet!A:P,6,FALSE)</f>
        <v>58</v>
      </c>
      <c r="E801" s="5" t="str">
        <f>VLOOKUP(globalfreelancepreprocesseddata!A801,worksheet!A:P,7,FALSE)</f>
        <v>France</v>
      </c>
      <c r="F801" s="5" t="str">
        <f>VLOOKUP(globalfreelancepreprocesseddata!A801,worksheet!A:P,8,FALSE)</f>
        <v>French</v>
      </c>
      <c r="G801" s="5" t="str">
        <f>VLOOKUP(globalfreelancepreprocesseddata!A801,worksheet!A:P,9,FALSE)</f>
        <v>Data Analysis</v>
      </c>
      <c r="H801" s="5">
        <f>VLOOKUP(globalfreelancepreprocesseddata!A801,worksheet!A:P,10,FALSE)</f>
        <v>15</v>
      </c>
      <c r="I801" s="6">
        <f>VLOOKUP(globalfreelancepreprocesseddata!A801,worksheet!A:P,12,FALSE)</f>
        <v>20</v>
      </c>
      <c r="J801" s="5">
        <f>VLOOKUP(globalfreelancepreprocesseddata!A801,worksheet!A:P,13,FALSE)</f>
        <v>3.5</v>
      </c>
      <c r="K801" s="5">
        <f>VLOOKUP(globalfreelancepreprocesseddata!A801,worksheet!A:P,14,FALSE)</f>
        <v>1</v>
      </c>
      <c r="L801" s="7">
        <f>VLOOKUP(globalfreelancepreprocesseddata!A801,worksheet!A:P,16,FALSE)</f>
        <v>0.98</v>
      </c>
    </row>
    <row r="802" spans="1:12" x14ac:dyDescent="0.35">
      <c r="A802" s="5" t="s">
        <v>1673</v>
      </c>
      <c r="B802" s="5" t="str">
        <f>VLOOKUP(globalfreelancepreprocesseddata!A802,worksheet!A:P,3,FALSE)</f>
        <v>Beth Young</v>
      </c>
      <c r="C802" s="5" t="str">
        <f>VLOOKUP(globalfreelancepreprocesseddata!A802,worksheet!A:P,5,FALSE)</f>
        <v>Female</v>
      </c>
      <c r="D802" s="5">
        <f>VLOOKUP(globalfreelancepreprocesseddata!A802,worksheet!A:P,6,FALSE)</f>
        <v>39</v>
      </c>
      <c r="E802" s="5" t="str">
        <f>VLOOKUP(globalfreelancepreprocesseddata!A802,worksheet!A:P,7,FALSE)</f>
        <v>Spain</v>
      </c>
      <c r="F802" s="5" t="str">
        <f>VLOOKUP(globalfreelancepreprocesseddata!A802,worksheet!A:P,8,FALSE)</f>
        <v>Spanish</v>
      </c>
      <c r="G802" s="5" t="str">
        <f>VLOOKUP(globalfreelancepreprocesseddata!A802,worksheet!A:P,9,FALSE)</f>
        <v>Mobile Apps</v>
      </c>
      <c r="H802" s="5">
        <f>VLOOKUP(globalfreelancepreprocesseddata!A802,worksheet!A:P,10,FALSE)</f>
        <v>15</v>
      </c>
      <c r="I802" s="6">
        <f>VLOOKUP(globalfreelancepreprocesseddata!A802,worksheet!A:P,12,FALSE)</f>
        <v>50</v>
      </c>
      <c r="J802" s="5">
        <f>VLOOKUP(globalfreelancepreprocesseddata!A802,worksheet!A:P,13,FALSE)</f>
        <v>3</v>
      </c>
      <c r="K802" s="5">
        <f>VLOOKUP(globalfreelancepreprocesseddata!A802,worksheet!A:P,14,FALSE)</f>
        <v>0</v>
      </c>
      <c r="L802" s="7">
        <f>VLOOKUP(globalfreelancepreprocesseddata!A802,worksheet!A:P,16,FALSE)</f>
        <v>0.8</v>
      </c>
    </row>
    <row r="803" spans="1:12" x14ac:dyDescent="0.35">
      <c r="A803" s="5" t="s">
        <v>1675</v>
      </c>
      <c r="B803" s="5" t="str">
        <f>VLOOKUP(globalfreelancepreprocesseddata!A803,worksheet!A:P,3,FALSE)</f>
        <v>Ryan Powell</v>
      </c>
      <c r="C803" s="5" t="str">
        <f>VLOOKUP(globalfreelancepreprocesseddata!A803,worksheet!A:P,5,FALSE)</f>
        <v>Male</v>
      </c>
      <c r="D803" s="5">
        <f>VLOOKUP(globalfreelancepreprocesseddata!A803,worksheet!A:P,6,FALSE)</f>
        <v>43</v>
      </c>
      <c r="E803" s="5" t="str">
        <f>VLOOKUP(globalfreelancepreprocesseddata!A803,worksheet!A:P,7,FALSE)</f>
        <v>Turkey</v>
      </c>
      <c r="F803" s="5" t="str">
        <f>VLOOKUP(globalfreelancepreprocesseddata!A803,worksheet!A:P,8,FALSE)</f>
        <v>Turkish</v>
      </c>
      <c r="G803" s="5" t="str">
        <f>VLOOKUP(globalfreelancepreprocesseddata!A803,worksheet!A:P,9,FALSE)</f>
        <v>Graphic Design</v>
      </c>
      <c r="H803" s="5">
        <f>VLOOKUP(globalfreelancepreprocesseddata!A803,worksheet!A:P,10,FALSE)</f>
        <v>13</v>
      </c>
      <c r="I803" s="6" t="str">
        <f>VLOOKUP(globalfreelancepreprocesseddata!A803,worksheet!A:P,12,FALSE)</f>
        <v>$ 20</v>
      </c>
      <c r="J803" s="5">
        <f>VLOOKUP(globalfreelancepreprocesseddata!A803,worksheet!A:P,13,FALSE)</f>
        <v>1.2</v>
      </c>
      <c r="K803" s="5">
        <f>VLOOKUP(globalfreelancepreprocesseddata!A803,worksheet!A:P,14,FALSE)</f>
        <v>1</v>
      </c>
      <c r="L803" s="7">
        <f>VLOOKUP(globalfreelancepreprocesseddata!A803,worksheet!A:P,16,FALSE)</f>
        <v>0.69</v>
      </c>
    </row>
    <row r="804" spans="1:12" x14ac:dyDescent="0.35">
      <c r="A804" s="5" t="s">
        <v>1677</v>
      </c>
      <c r="B804" s="5" t="str">
        <f>VLOOKUP(globalfreelancepreprocesseddata!A804,worksheet!A:P,3,FALSE)</f>
        <v>Amanda Fowler</v>
      </c>
      <c r="C804" s="5" t="str">
        <f>VLOOKUP(globalfreelancepreprocesseddata!A804,worksheet!A:P,5,FALSE)</f>
        <v>Female</v>
      </c>
      <c r="D804" s="5">
        <f>VLOOKUP(globalfreelancepreprocesseddata!A804,worksheet!A:P,6,FALSE)</f>
        <v>40</v>
      </c>
      <c r="E804" s="5" t="str">
        <f>VLOOKUP(globalfreelancepreprocesseddata!A804,worksheet!A:P,7,FALSE)</f>
        <v>Spain</v>
      </c>
      <c r="F804" s="5" t="str">
        <f>VLOOKUP(globalfreelancepreprocesseddata!A804,worksheet!A:P,8,FALSE)</f>
        <v>Spanish</v>
      </c>
      <c r="G804" s="5" t="str">
        <f>VLOOKUP(globalfreelancepreprocesseddata!A804,worksheet!A:P,9,FALSE)</f>
        <v>Blockchain Development</v>
      </c>
      <c r="H804" s="5">
        <f>VLOOKUP(globalfreelancepreprocesseddata!A804,worksheet!A:P,10,FALSE)</f>
        <v>20</v>
      </c>
      <c r="I804" s="6" t="str">
        <f>VLOOKUP(globalfreelancepreprocesseddata!A804,worksheet!A:P,12,FALSE)</f>
        <v>$ 30</v>
      </c>
      <c r="J804" s="5">
        <f>VLOOKUP(globalfreelancepreprocesseddata!A804,worksheet!A:P,13,FALSE)</f>
        <v>3</v>
      </c>
      <c r="K804" s="5">
        <f>VLOOKUP(globalfreelancepreprocesseddata!A804,worksheet!A:P,14,FALSE)</f>
        <v>0</v>
      </c>
      <c r="L804" s="7">
        <f>VLOOKUP(globalfreelancepreprocesseddata!A804,worksheet!A:P,16,FALSE)</f>
        <v>0.9</v>
      </c>
    </row>
    <row r="805" spans="1:12" x14ac:dyDescent="0.35">
      <c r="A805" s="5" t="s">
        <v>1679</v>
      </c>
      <c r="B805" s="5" t="str">
        <f>VLOOKUP(globalfreelancepreprocesseddata!A805,worksheet!A:P,3,FALSE)</f>
        <v>Lindsay Rivera</v>
      </c>
      <c r="C805" s="5" t="str">
        <f>VLOOKUP(globalfreelancepreprocesseddata!A805,worksheet!A:P,5,FALSE)</f>
        <v>Female</v>
      </c>
      <c r="D805" s="5">
        <f>VLOOKUP(globalfreelancepreprocesseddata!A805,worksheet!A:P,6,FALSE)</f>
        <v>51</v>
      </c>
      <c r="E805" s="5" t="str">
        <f>VLOOKUP(globalfreelancepreprocesseddata!A805,worksheet!A:P,7,FALSE)</f>
        <v>United Kingdom</v>
      </c>
      <c r="F805" s="5" t="str">
        <f>VLOOKUP(globalfreelancepreprocesseddata!A805,worksheet!A:P,8,FALSE)</f>
        <v>English</v>
      </c>
      <c r="G805" s="5" t="str">
        <f>VLOOKUP(globalfreelancepreprocesseddata!A805,worksheet!A:P,9,FALSE)</f>
        <v>Machine Learning</v>
      </c>
      <c r="H805" s="5">
        <f>VLOOKUP(globalfreelancepreprocesseddata!A805,worksheet!A:P,10,FALSE)</f>
        <v>30</v>
      </c>
      <c r="I805" s="6">
        <f>VLOOKUP(globalfreelancepreprocesseddata!A805,worksheet!A:P,12,FALSE)</f>
        <v>75</v>
      </c>
      <c r="J805" s="5">
        <f>VLOOKUP(globalfreelancepreprocesseddata!A805,worksheet!A:P,13,FALSE)</f>
        <v>3</v>
      </c>
      <c r="K805" s="5">
        <f>VLOOKUP(globalfreelancepreprocesseddata!A805,worksheet!A:P,14,FALSE)</f>
        <v>1</v>
      </c>
      <c r="L805" s="7">
        <f>VLOOKUP(globalfreelancepreprocesseddata!A805,worksheet!A:P,16,FALSE)</f>
        <v>0.74</v>
      </c>
    </row>
    <row r="806" spans="1:12" x14ac:dyDescent="0.35">
      <c r="A806" s="5" t="s">
        <v>1681</v>
      </c>
      <c r="B806" s="5" t="str">
        <f>VLOOKUP(globalfreelancepreprocesseddata!A806,worksheet!A:P,3,FALSE)</f>
        <v>Mark Ward</v>
      </c>
      <c r="C806" s="5" t="str">
        <f>VLOOKUP(globalfreelancepreprocesseddata!A806,worksheet!A:P,5,FALSE)</f>
        <v>Male</v>
      </c>
      <c r="D806" s="5">
        <f>VLOOKUP(globalfreelancepreprocesseddata!A806,worksheet!A:P,6,FALSE)</f>
        <v>23</v>
      </c>
      <c r="E806" s="5" t="str">
        <f>VLOOKUP(globalfreelancepreprocesseddata!A806,worksheet!A:P,7,FALSE)</f>
        <v>Germany</v>
      </c>
      <c r="F806" s="5" t="str">
        <f>VLOOKUP(globalfreelancepreprocesseddata!A806,worksheet!A:P,8,FALSE)</f>
        <v>German</v>
      </c>
      <c r="G806" s="5" t="str">
        <f>VLOOKUP(globalfreelancepreprocesseddata!A806,worksheet!A:P,9,FALSE)</f>
        <v>AI</v>
      </c>
      <c r="H806" s="5">
        <f>VLOOKUP(globalfreelancepreprocesseddata!A806,worksheet!A:P,10,FALSE)</f>
        <v>4</v>
      </c>
      <c r="I806" s="6">
        <f>VLOOKUP(globalfreelancepreprocesseddata!A806,worksheet!A:P,12,FALSE)</f>
        <v>50</v>
      </c>
      <c r="J806" s="5">
        <f>VLOOKUP(globalfreelancepreprocesseddata!A806,worksheet!A:P,13,FALSE)</f>
        <v>4.5</v>
      </c>
      <c r="K806" s="5">
        <f>VLOOKUP(globalfreelancepreprocesseddata!A806,worksheet!A:P,14,FALSE)</f>
        <v>0</v>
      </c>
      <c r="L806" s="7">
        <f>VLOOKUP(globalfreelancepreprocesseddata!A806,worksheet!A:P,16,FALSE)</f>
        <v>0.98</v>
      </c>
    </row>
    <row r="807" spans="1:12" x14ac:dyDescent="0.35">
      <c r="A807" s="5" t="s">
        <v>1683</v>
      </c>
      <c r="B807" s="5" t="str">
        <f>VLOOKUP(globalfreelancepreprocesseddata!A807,worksheet!A:P,3,FALSE)</f>
        <v>Amanda Smith</v>
      </c>
      <c r="C807" s="5" t="str">
        <f>VLOOKUP(globalfreelancepreprocesseddata!A807,worksheet!A:P,5,FALSE)</f>
        <v>Female</v>
      </c>
      <c r="D807" s="5">
        <f>VLOOKUP(globalfreelancepreprocesseddata!A807,worksheet!A:P,6,FALSE)</f>
        <v>31</v>
      </c>
      <c r="E807" s="5" t="str">
        <f>VLOOKUP(globalfreelancepreprocesseddata!A807,worksheet!A:P,7,FALSE)</f>
        <v>Indonesia</v>
      </c>
      <c r="F807" s="5" t="str">
        <f>VLOOKUP(globalfreelancepreprocesseddata!A807,worksheet!A:P,8,FALSE)</f>
        <v>Indonesian</v>
      </c>
      <c r="G807" s="5" t="str">
        <f>VLOOKUP(globalfreelancepreprocesseddata!A807,worksheet!A:P,9,FALSE)</f>
        <v>Graphic Design</v>
      </c>
      <c r="H807" s="5">
        <f>VLOOKUP(globalfreelancepreprocesseddata!A807,worksheet!A:P,10,FALSE)</f>
        <v>11</v>
      </c>
      <c r="I807" s="6" t="str">
        <f>VLOOKUP(globalfreelancepreprocesseddata!A807,worksheet!A:P,12,FALSE)</f>
        <v>$ 20</v>
      </c>
      <c r="J807" s="5">
        <f>VLOOKUP(globalfreelancepreprocesseddata!A807,worksheet!A:P,13,FALSE)</f>
        <v>3</v>
      </c>
      <c r="K807" s="5">
        <f>VLOOKUP(globalfreelancepreprocesseddata!A807,worksheet!A:P,14,FALSE)</f>
        <v>1</v>
      </c>
      <c r="L807" s="7">
        <f>VLOOKUP(globalfreelancepreprocesseddata!A807,worksheet!A:P,16,FALSE)</f>
        <v>0.84</v>
      </c>
    </row>
    <row r="808" spans="1:12" x14ac:dyDescent="0.35">
      <c r="A808" s="5" t="s">
        <v>1685</v>
      </c>
      <c r="B808" s="5" t="str">
        <f>VLOOKUP(globalfreelancepreprocesseddata!A808,worksheet!A:P,3,FALSE)</f>
        <v>Emily Brown</v>
      </c>
      <c r="C808" s="5" t="str">
        <f>VLOOKUP(globalfreelancepreprocesseddata!A808,worksheet!A:P,5,FALSE)</f>
        <v>Female</v>
      </c>
      <c r="D808" s="5">
        <f>VLOOKUP(globalfreelancepreprocesseddata!A808,worksheet!A:P,6,FALSE)</f>
        <v>44</v>
      </c>
      <c r="E808" s="5" t="str">
        <f>VLOOKUP(globalfreelancepreprocesseddata!A808,worksheet!A:P,7,FALSE)</f>
        <v>Russia</v>
      </c>
      <c r="F808" s="5" t="str">
        <f>VLOOKUP(globalfreelancepreprocesseddata!A808,worksheet!A:P,8,FALSE)</f>
        <v>Russian</v>
      </c>
      <c r="G808" s="5" t="str">
        <f>VLOOKUP(globalfreelancepreprocesseddata!A808,worksheet!A:P,9,FALSE)</f>
        <v>Web Development</v>
      </c>
      <c r="H808" s="5">
        <f>VLOOKUP(globalfreelancepreprocesseddata!A808,worksheet!A:P,10,FALSE)</f>
        <v>3</v>
      </c>
      <c r="I808" s="6">
        <f>VLOOKUP(globalfreelancepreprocesseddata!A808,worksheet!A:P,12,FALSE)</f>
        <v>20</v>
      </c>
      <c r="J808" s="5">
        <f>VLOOKUP(globalfreelancepreprocesseddata!A808,worksheet!A:P,13,FALSE)</f>
        <v>5</v>
      </c>
      <c r="K808" s="5">
        <f>VLOOKUP(globalfreelancepreprocesseddata!A808,worksheet!A:P,14,FALSE)</f>
        <v>1</v>
      </c>
      <c r="L808" s="7">
        <f>VLOOKUP(globalfreelancepreprocesseddata!A808,worksheet!A:P,16,FALSE)</f>
        <v>0.75</v>
      </c>
    </row>
    <row r="809" spans="1:12" x14ac:dyDescent="0.35">
      <c r="A809" s="5" t="s">
        <v>1687</v>
      </c>
      <c r="B809" s="5" t="str">
        <f>VLOOKUP(globalfreelancepreprocesseddata!A809,worksheet!A:P,3,FALSE)</f>
        <v>Dwayne Cardenas</v>
      </c>
      <c r="C809" s="5" t="str">
        <f>VLOOKUP(globalfreelancepreprocesseddata!A809,worksheet!A:P,5,FALSE)</f>
        <v>Male</v>
      </c>
      <c r="D809" s="5">
        <f>VLOOKUP(globalfreelancepreprocesseddata!A809,worksheet!A:P,6,FALSE)</f>
        <v>56</v>
      </c>
      <c r="E809" s="5" t="str">
        <f>VLOOKUP(globalfreelancepreprocesseddata!A809,worksheet!A:P,7,FALSE)</f>
        <v>Germany</v>
      </c>
      <c r="F809" s="5" t="str">
        <f>VLOOKUP(globalfreelancepreprocesseddata!A809,worksheet!A:P,8,FALSE)</f>
        <v>German</v>
      </c>
      <c r="G809" s="5" t="str">
        <f>VLOOKUP(globalfreelancepreprocesseddata!A809,worksheet!A:P,9,FALSE)</f>
        <v>Mobile Apps</v>
      </c>
      <c r="H809" s="5">
        <f>VLOOKUP(globalfreelancepreprocesseddata!A809,worksheet!A:P,10,FALSE)</f>
        <v>23</v>
      </c>
      <c r="I809" s="6">
        <f>VLOOKUP(globalfreelancepreprocesseddata!A809,worksheet!A:P,12,FALSE)</f>
        <v>75</v>
      </c>
      <c r="J809" s="5">
        <f>VLOOKUP(globalfreelancepreprocesseddata!A809,worksheet!A:P,13,FALSE)</f>
        <v>3.9</v>
      </c>
      <c r="K809" s="5">
        <f>VLOOKUP(globalfreelancepreprocesseddata!A809,worksheet!A:P,14,FALSE)</f>
        <v>1</v>
      </c>
      <c r="L809" s="7">
        <f>VLOOKUP(globalfreelancepreprocesseddata!A809,worksheet!A:P,16,FALSE)</f>
        <v>0.16</v>
      </c>
    </row>
    <row r="810" spans="1:12" x14ac:dyDescent="0.35">
      <c r="A810" s="5" t="s">
        <v>1689</v>
      </c>
      <c r="B810" s="5" t="str">
        <f>VLOOKUP(globalfreelancepreprocesseddata!A810,worksheet!A:P,3,FALSE)</f>
        <v>Dr. Rhonda Hernandez</v>
      </c>
      <c r="C810" s="5" t="str">
        <f>VLOOKUP(globalfreelancepreprocesseddata!A810,worksheet!A:P,5,FALSE)</f>
        <v>Female</v>
      </c>
      <c r="D810" s="5">
        <f>VLOOKUP(globalfreelancepreprocesseddata!A810,worksheet!A:P,6,FALSE)</f>
        <v>48</v>
      </c>
      <c r="E810" s="5" t="str">
        <f>VLOOKUP(globalfreelancepreprocesseddata!A810,worksheet!A:P,7,FALSE)</f>
        <v>Australia</v>
      </c>
      <c r="F810" s="5" t="str">
        <f>VLOOKUP(globalfreelancepreprocesseddata!A810,worksheet!A:P,8,FALSE)</f>
        <v>English</v>
      </c>
      <c r="G810" s="5" t="str">
        <f>VLOOKUP(globalfreelancepreprocesseddata!A810,worksheet!A:P,9,FALSE)</f>
        <v>Cybersecurity</v>
      </c>
      <c r="H810" s="5">
        <f>VLOOKUP(globalfreelancepreprocesseddata!A810,worksheet!A:P,10,FALSE)</f>
        <v>5</v>
      </c>
      <c r="I810" s="6">
        <f>VLOOKUP(globalfreelancepreprocesseddata!A810,worksheet!A:P,12,FALSE)</f>
        <v>100</v>
      </c>
      <c r="J810" s="5">
        <f>VLOOKUP(globalfreelancepreprocesseddata!A810,worksheet!A:P,13,FALSE)</f>
        <v>1.8</v>
      </c>
      <c r="K810" s="5">
        <f>VLOOKUP(globalfreelancepreprocesseddata!A810,worksheet!A:P,14,FALSE)</f>
        <v>1</v>
      </c>
      <c r="L810" s="7">
        <f>VLOOKUP(globalfreelancepreprocesseddata!A810,worksheet!A:P,16,FALSE)</f>
        <v>0.97</v>
      </c>
    </row>
    <row r="811" spans="1:12" x14ac:dyDescent="0.35">
      <c r="A811" s="5" t="s">
        <v>1691</v>
      </c>
      <c r="B811" s="5" t="str">
        <f>VLOOKUP(globalfreelancepreprocesseddata!A811,worksheet!A:P,3,FALSE)</f>
        <v>Melody Barker</v>
      </c>
      <c r="C811" s="5" t="str">
        <f>VLOOKUP(globalfreelancepreprocesseddata!A811,worksheet!A:P,5,FALSE)</f>
        <v>Female</v>
      </c>
      <c r="D811" s="5">
        <f>VLOOKUP(globalfreelancepreprocesseddata!A811,worksheet!A:P,6,FALSE)</f>
        <v>46</v>
      </c>
      <c r="E811" s="5" t="str">
        <f>VLOOKUP(globalfreelancepreprocesseddata!A811,worksheet!A:P,7,FALSE)</f>
        <v>Russia</v>
      </c>
      <c r="F811" s="5" t="str">
        <f>VLOOKUP(globalfreelancepreprocesseddata!A811,worksheet!A:P,8,FALSE)</f>
        <v>Russian</v>
      </c>
      <c r="G811" s="5" t="str">
        <f>VLOOKUP(globalfreelancepreprocesseddata!A811,worksheet!A:P,9,FALSE)</f>
        <v>Web Development</v>
      </c>
      <c r="H811" s="5">
        <f>VLOOKUP(globalfreelancepreprocesseddata!A811,worksheet!A:P,10,FALSE)</f>
        <v>28</v>
      </c>
      <c r="I811" s="6">
        <f>VLOOKUP(globalfreelancepreprocesseddata!A811,worksheet!A:P,12,FALSE)</f>
        <v>30</v>
      </c>
      <c r="J811" s="5">
        <f>VLOOKUP(globalfreelancepreprocesseddata!A811,worksheet!A:P,13,FALSE)</f>
        <v>4.2</v>
      </c>
      <c r="K811" s="5">
        <f>VLOOKUP(globalfreelancepreprocesseddata!A811,worksheet!A:P,14,FALSE)</f>
        <v>1</v>
      </c>
      <c r="L811" s="7">
        <f>VLOOKUP(globalfreelancepreprocesseddata!A811,worksheet!A:P,16,FALSE)</f>
        <v>0.16</v>
      </c>
    </row>
    <row r="812" spans="1:12" x14ac:dyDescent="0.35">
      <c r="A812" s="5" t="s">
        <v>1693</v>
      </c>
      <c r="B812" s="5" t="str">
        <f>VLOOKUP(globalfreelancepreprocesseddata!A812,worksheet!A:P,3,FALSE)</f>
        <v>Russell Carpenter</v>
      </c>
      <c r="C812" s="5" t="str">
        <f>VLOOKUP(globalfreelancepreprocesseddata!A812,worksheet!A:P,5,FALSE)</f>
        <v>Male</v>
      </c>
      <c r="D812" s="5">
        <f>VLOOKUP(globalfreelancepreprocesseddata!A812,worksheet!A:P,6,FALSE)</f>
        <v>21</v>
      </c>
      <c r="E812" s="5" t="str">
        <f>VLOOKUP(globalfreelancepreprocesseddata!A812,worksheet!A:P,7,FALSE)</f>
        <v>Egypt</v>
      </c>
      <c r="F812" s="5" t="str">
        <f>VLOOKUP(globalfreelancepreprocesseddata!A812,worksheet!A:P,8,FALSE)</f>
        <v>Arabic</v>
      </c>
      <c r="G812" s="5" t="str">
        <f>VLOOKUP(globalfreelancepreprocesseddata!A812,worksheet!A:P,9,FALSE)</f>
        <v>AI</v>
      </c>
      <c r="H812" s="5">
        <f>VLOOKUP(globalfreelancepreprocesseddata!A812,worksheet!A:P,10,FALSE)</f>
        <v>11</v>
      </c>
      <c r="I812" s="6">
        <f>VLOOKUP(globalfreelancepreprocesseddata!A812,worksheet!A:P,12,FALSE)</f>
        <v>20</v>
      </c>
      <c r="J812" s="5">
        <f>VLOOKUP(globalfreelancepreprocesseddata!A812,worksheet!A:P,13,FALSE)</f>
        <v>2.6</v>
      </c>
      <c r="K812" s="5">
        <f>VLOOKUP(globalfreelancepreprocesseddata!A812,worksheet!A:P,14,FALSE)</f>
        <v>1</v>
      </c>
      <c r="L812" s="7">
        <f>VLOOKUP(globalfreelancepreprocesseddata!A812,worksheet!A:P,16,FALSE)</f>
        <v>0.64</v>
      </c>
    </row>
    <row r="813" spans="1:12" x14ac:dyDescent="0.35">
      <c r="A813" s="5" t="s">
        <v>1695</v>
      </c>
      <c r="B813" s="5" t="str">
        <f>VLOOKUP(globalfreelancepreprocesseddata!A813,worksheet!A:P,3,FALSE)</f>
        <v>Richard Hill</v>
      </c>
      <c r="C813" s="5" t="str">
        <f>VLOOKUP(globalfreelancepreprocesseddata!A813,worksheet!A:P,5,FALSE)</f>
        <v>Male</v>
      </c>
      <c r="D813" s="5">
        <f>VLOOKUP(globalfreelancepreprocesseddata!A813,worksheet!A:P,6,FALSE)</f>
        <v>52</v>
      </c>
      <c r="E813" s="5" t="str">
        <f>VLOOKUP(globalfreelancepreprocesseddata!A813,worksheet!A:P,7,FALSE)</f>
        <v>Russia</v>
      </c>
      <c r="F813" s="5" t="str">
        <f>VLOOKUP(globalfreelancepreprocesseddata!A813,worksheet!A:P,8,FALSE)</f>
        <v>Russian</v>
      </c>
      <c r="G813" s="5" t="str">
        <f>VLOOKUP(globalfreelancepreprocesseddata!A813,worksheet!A:P,9,FALSE)</f>
        <v>Data Analysis</v>
      </c>
      <c r="H813" s="5">
        <f>VLOOKUP(globalfreelancepreprocesseddata!A813,worksheet!A:P,10,FALSE)</f>
        <v>30</v>
      </c>
      <c r="I813" s="6">
        <f>VLOOKUP(globalfreelancepreprocesseddata!A813,worksheet!A:P,12,FALSE)</f>
        <v>30</v>
      </c>
      <c r="J813" s="5">
        <f>VLOOKUP(globalfreelancepreprocesseddata!A813,worksheet!A:P,13,FALSE)</f>
        <v>2</v>
      </c>
      <c r="K813" s="5">
        <f>VLOOKUP(globalfreelancepreprocesseddata!A813,worksheet!A:P,14,FALSE)</f>
        <v>1</v>
      </c>
      <c r="L813" s="7">
        <f>VLOOKUP(globalfreelancepreprocesseddata!A813,worksheet!A:P,16,FALSE)</f>
        <v>0.68</v>
      </c>
    </row>
    <row r="814" spans="1:12" x14ac:dyDescent="0.35">
      <c r="A814" s="5" t="s">
        <v>1697</v>
      </c>
      <c r="B814" s="5" t="str">
        <f>VLOOKUP(globalfreelancepreprocesseddata!A814,worksheet!A:P,3,FALSE)</f>
        <v>Lindsay Potts</v>
      </c>
      <c r="C814" s="5" t="str">
        <f>VLOOKUP(globalfreelancepreprocesseddata!A814,worksheet!A:P,5,FALSE)</f>
        <v>Female</v>
      </c>
      <c r="D814" s="5">
        <f>VLOOKUP(globalfreelancepreprocesseddata!A814,worksheet!A:P,6,FALSE)</f>
        <v>39</v>
      </c>
      <c r="E814" s="5" t="str">
        <f>VLOOKUP(globalfreelancepreprocesseddata!A814,worksheet!A:P,7,FALSE)</f>
        <v>Russia</v>
      </c>
      <c r="F814" s="5" t="str">
        <f>VLOOKUP(globalfreelancepreprocesseddata!A814,worksheet!A:P,8,FALSE)</f>
        <v>Russian</v>
      </c>
      <c r="G814" s="5" t="str">
        <f>VLOOKUP(globalfreelancepreprocesseddata!A814,worksheet!A:P,9,FALSE)</f>
        <v>Graphic Design</v>
      </c>
      <c r="H814" s="5">
        <f>VLOOKUP(globalfreelancepreprocesseddata!A814,worksheet!A:P,10,FALSE)</f>
        <v>20</v>
      </c>
      <c r="I814" s="6">
        <f>VLOOKUP(globalfreelancepreprocesseddata!A814,worksheet!A:P,12,FALSE)</f>
        <v>75</v>
      </c>
      <c r="J814" s="5">
        <f>VLOOKUP(globalfreelancepreprocesseddata!A814,worksheet!A:P,13,FALSE)</f>
        <v>2.7</v>
      </c>
      <c r="K814" s="5">
        <f>VLOOKUP(globalfreelancepreprocesseddata!A814,worksheet!A:P,14,FALSE)</f>
        <v>1</v>
      </c>
      <c r="L814" s="7">
        <f>VLOOKUP(globalfreelancepreprocesseddata!A814,worksheet!A:P,16,FALSE)</f>
        <v>0.67</v>
      </c>
    </row>
    <row r="815" spans="1:12" x14ac:dyDescent="0.35">
      <c r="A815" s="5" t="s">
        <v>1699</v>
      </c>
      <c r="B815" s="5" t="str">
        <f>VLOOKUP(globalfreelancepreprocesseddata!A815,worksheet!A:P,3,FALSE)</f>
        <v>Michelle Campbell</v>
      </c>
      <c r="C815" s="5" t="str">
        <f>VLOOKUP(globalfreelancepreprocesseddata!A815,worksheet!A:P,5,FALSE)</f>
        <v>Female</v>
      </c>
      <c r="D815" s="5">
        <f>VLOOKUP(globalfreelancepreprocesseddata!A815,worksheet!A:P,6,FALSE)</f>
        <v>31</v>
      </c>
      <c r="E815" s="5" t="str">
        <f>VLOOKUP(globalfreelancepreprocesseddata!A815,worksheet!A:P,7,FALSE)</f>
        <v>Australia</v>
      </c>
      <c r="F815" s="5" t="str">
        <f>VLOOKUP(globalfreelancepreprocesseddata!A815,worksheet!A:P,8,FALSE)</f>
        <v>English</v>
      </c>
      <c r="G815" s="5" t="str">
        <f>VLOOKUP(globalfreelancepreprocesseddata!A815,worksheet!A:P,9,FALSE)</f>
        <v>Mobile Apps</v>
      </c>
      <c r="H815" s="5">
        <f>VLOOKUP(globalfreelancepreprocesseddata!A815,worksheet!A:P,10,FALSE)</f>
        <v>11</v>
      </c>
      <c r="I815" s="6">
        <f>VLOOKUP(globalfreelancepreprocesseddata!A815,worksheet!A:P,12,FALSE)</f>
        <v>30</v>
      </c>
      <c r="J815" s="5">
        <f>VLOOKUP(globalfreelancepreprocesseddata!A815,worksheet!A:P,13,FALSE)</f>
        <v>2.2999999999999998</v>
      </c>
      <c r="K815" s="5">
        <f>VLOOKUP(globalfreelancepreprocesseddata!A815,worksheet!A:P,14,FALSE)</f>
        <v>1</v>
      </c>
      <c r="L815" s="7">
        <f>VLOOKUP(globalfreelancepreprocesseddata!A815,worksheet!A:P,16,FALSE)</f>
        <v>0.79</v>
      </c>
    </row>
    <row r="816" spans="1:12" x14ac:dyDescent="0.35">
      <c r="A816" s="5" t="s">
        <v>1701</v>
      </c>
      <c r="B816" s="5" t="str">
        <f>VLOOKUP(globalfreelancepreprocesseddata!A816,worksheet!A:P,3,FALSE)</f>
        <v>Alan Williams</v>
      </c>
      <c r="C816" s="5" t="str">
        <f>VLOOKUP(globalfreelancepreprocesseddata!A816,worksheet!A:P,5,FALSE)</f>
        <v>Male</v>
      </c>
      <c r="D816" s="5">
        <f>VLOOKUP(globalfreelancepreprocesseddata!A816,worksheet!A:P,6,FALSE)</f>
        <v>22</v>
      </c>
      <c r="E816" s="5" t="str">
        <f>VLOOKUP(globalfreelancepreprocesseddata!A816,worksheet!A:P,7,FALSE)</f>
        <v>South Korea</v>
      </c>
      <c r="F816" s="5" t="str">
        <f>VLOOKUP(globalfreelancepreprocesseddata!A816,worksheet!A:P,8,FALSE)</f>
        <v>Korean</v>
      </c>
      <c r="G816" s="5" t="str">
        <f>VLOOKUP(globalfreelancepreprocesseddata!A816,worksheet!A:P,9,FALSE)</f>
        <v>UI/UX Design</v>
      </c>
      <c r="H816" s="5">
        <f>VLOOKUP(globalfreelancepreprocesseddata!A816,worksheet!A:P,10,FALSE)</f>
        <v>4</v>
      </c>
      <c r="I816" s="6">
        <f>VLOOKUP(globalfreelancepreprocesseddata!A816,worksheet!A:P,12,FALSE)</f>
        <v>40</v>
      </c>
      <c r="J816" s="5">
        <f>VLOOKUP(globalfreelancepreprocesseddata!A816,worksheet!A:P,13,FALSE)</f>
        <v>3.8</v>
      </c>
      <c r="K816" s="5">
        <f>VLOOKUP(globalfreelancepreprocesseddata!A816,worksheet!A:P,14,FALSE)</f>
        <v>1</v>
      </c>
      <c r="L816" s="7">
        <f>VLOOKUP(globalfreelancepreprocesseddata!A816,worksheet!A:P,16,FALSE)</f>
        <v>0.01</v>
      </c>
    </row>
    <row r="817" spans="1:12" x14ac:dyDescent="0.35">
      <c r="A817" s="5" t="s">
        <v>1703</v>
      </c>
      <c r="B817" s="5" t="str">
        <f>VLOOKUP(globalfreelancepreprocesseddata!A817,worksheet!A:P,3,FALSE)</f>
        <v>Robin Hinton</v>
      </c>
      <c r="C817" s="5" t="str">
        <f>VLOOKUP(globalfreelancepreprocesseddata!A817,worksheet!A:P,5,FALSE)</f>
        <v>Female</v>
      </c>
      <c r="D817" s="5">
        <f>VLOOKUP(globalfreelancepreprocesseddata!A817,worksheet!A:P,6,FALSE)</f>
        <v>38</v>
      </c>
      <c r="E817" s="5" t="str">
        <f>VLOOKUP(globalfreelancepreprocesseddata!A817,worksheet!A:P,7,FALSE)</f>
        <v>United Kingdom</v>
      </c>
      <c r="F817" s="5" t="str">
        <f>VLOOKUP(globalfreelancepreprocesseddata!A817,worksheet!A:P,8,FALSE)</f>
        <v>English</v>
      </c>
      <c r="G817" s="5" t="str">
        <f>VLOOKUP(globalfreelancepreprocesseddata!A817,worksheet!A:P,9,FALSE)</f>
        <v>UI/UX Design</v>
      </c>
      <c r="H817" s="5">
        <f>VLOOKUP(globalfreelancepreprocesseddata!A817,worksheet!A:P,10,FALSE)</f>
        <v>10</v>
      </c>
      <c r="I817" s="6">
        <f>VLOOKUP(globalfreelancepreprocesseddata!A817,worksheet!A:P,12,FALSE)</f>
        <v>40</v>
      </c>
      <c r="J817" s="5">
        <f>VLOOKUP(globalfreelancepreprocesseddata!A817,worksheet!A:P,13,FALSE)</f>
        <v>3</v>
      </c>
      <c r="K817" s="5">
        <f>VLOOKUP(globalfreelancepreprocesseddata!A817,worksheet!A:P,14,FALSE)</f>
        <v>0</v>
      </c>
      <c r="L817" s="7">
        <f>VLOOKUP(globalfreelancepreprocesseddata!A817,worksheet!A:P,16,FALSE)</f>
        <v>0.66</v>
      </c>
    </row>
    <row r="818" spans="1:12" x14ac:dyDescent="0.35">
      <c r="A818" s="5" t="s">
        <v>1705</v>
      </c>
      <c r="B818" s="5" t="str">
        <f>VLOOKUP(globalfreelancepreprocesseddata!A818,worksheet!A:P,3,FALSE)</f>
        <v>Brian Holland</v>
      </c>
      <c r="C818" s="5" t="str">
        <f>VLOOKUP(globalfreelancepreprocesseddata!A818,worksheet!A:P,5,FALSE)</f>
        <v>Male</v>
      </c>
      <c r="D818" s="5">
        <f>VLOOKUP(globalfreelancepreprocesseddata!A818,worksheet!A:P,6,FALSE)</f>
        <v>44</v>
      </c>
      <c r="E818" s="5" t="str">
        <f>VLOOKUP(globalfreelancepreprocesseddata!A818,worksheet!A:P,7,FALSE)</f>
        <v>Argentina</v>
      </c>
      <c r="F818" s="5" t="str">
        <f>VLOOKUP(globalfreelancepreprocesseddata!A818,worksheet!A:P,8,FALSE)</f>
        <v>Spanish</v>
      </c>
      <c r="G818" s="5" t="str">
        <f>VLOOKUP(globalfreelancepreprocesseddata!A818,worksheet!A:P,9,FALSE)</f>
        <v>Graphic Design</v>
      </c>
      <c r="H818" s="5">
        <f>VLOOKUP(globalfreelancepreprocesseddata!A818,worksheet!A:P,10,FALSE)</f>
        <v>24</v>
      </c>
      <c r="I818" s="6" t="str">
        <f>VLOOKUP(globalfreelancepreprocesseddata!A818,worksheet!A:P,12,FALSE)</f>
        <v>$ 75</v>
      </c>
      <c r="J818" s="5">
        <f>VLOOKUP(globalfreelancepreprocesseddata!A818,worksheet!A:P,13,FALSE)</f>
        <v>4.5999999999999996</v>
      </c>
      <c r="K818" s="5">
        <f>VLOOKUP(globalfreelancepreprocesseddata!A818,worksheet!A:P,14,FALSE)</f>
        <v>1</v>
      </c>
      <c r="L818" s="7">
        <f>VLOOKUP(globalfreelancepreprocesseddata!A818,worksheet!A:P,16,FALSE)</f>
        <v>0.97</v>
      </c>
    </row>
    <row r="819" spans="1:12" x14ac:dyDescent="0.35">
      <c r="A819" s="5" t="s">
        <v>1707</v>
      </c>
      <c r="B819" s="5" t="str">
        <f>VLOOKUP(globalfreelancepreprocesseddata!A819,worksheet!A:P,3,FALSE)</f>
        <v>Adam Stone</v>
      </c>
      <c r="C819" s="5" t="str">
        <f>VLOOKUP(globalfreelancepreprocesseddata!A819,worksheet!A:P,5,FALSE)</f>
        <v>Male</v>
      </c>
      <c r="D819" s="5">
        <f>VLOOKUP(globalfreelancepreprocesseddata!A819,worksheet!A:P,6,FALSE)</f>
        <v>53</v>
      </c>
      <c r="E819" s="5" t="str">
        <f>VLOOKUP(globalfreelancepreprocesseddata!A819,worksheet!A:P,7,FALSE)</f>
        <v>Indonesia</v>
      </c>
      <c r="F819" s="5" t="str">
        <f>VLOOKUP(globalfreelancepreprocesseddata!A819,worksheet!A:P,8,FALSE)</f>
        <v>Indonesian</v>
      </c>
      <c r="G819" s="5" t="str">
        <f>VLOOKUP(globalfreelancepreprocesseddata!A819,worksheet!A:P,9,FALSE)</f>
        <v>Machine Learning</v>
      </c>
      <c r="H819" s="5">
        <f>VLOOKUP(globalfreelancepreprocesseddata!A819,worksheet!A:P,10,FALSE)</f>
        <v>21</v>
      </c>
      <c r="I819" s="6">
        <f>VLOOKUP(globalfreelancepreprocesseddata!A819,worksheet!A:P,12,FALSE)</f>
        <v>100</v>
      </c>
      <c r="J819" s="5">
        <f>VLOOKUP(globalfreelancepreprocesseddata!A819,worksheet!A:P,13,FALSE)</f>
        <v>3.4</v>
      </c>
      <c r="K819" s="5">
        <f>VLOOKUP(globalfreelancepreprocesseddata!A819,worksheet!A:P,14,FALSE)</f>
        <v>0</v>
      </c>
      <c r="L819" s="7">
        <f>VLOOKUP(globalfreelancepreprocesseddata!A819,worksheet!A:P,16,FALSE)</f>
        <v>0.62</v>
      </c>
    </row>
    <row r="820" spans="1:12" x14ac:dyDescent="0.35">
      <c r="A820" s="5" t="s">
        <v>1709</v>
      </c>
      <c r="B820" s="5" t="str">
        <f>VLOOKUP(globalfreelancepreprocesseddata!A820,worksheet!A:P,3,FALSE)</f>
        <v>Curtis Lambert</v>
      </c>
      <c r="C820" s="5" t="str">
        <f>VLOOKUP(globalfreelancepreprocesseddata!A820,worksheet!A:P,5,FALSE)</f>
        <v>Male</v>
      </c>
      <c r="D820" s="5">
        <f>VLOOKUP(globalfreelancepreprocesseddata!A820,worksheet!A:P,6,FALSE)</f>
        <v>22</v>
      </c>
      <c r="E820" s="5" t="str">
        <f>VLOOKUP(globalfreelancepreprocesseddata!A820,worksheet!A:P,7,FALSE)</f>
        <v>China</v>
      </c>
      <c r="F820" s="5" t="str">
        <f>VLOOKUP(globalfreelancepreprocesseddata!A820,worksheet!A:P,8,FALSE)</f>
        <v>Mandarin</v>
      </c>
      <c r="G820" s="5" t="str">
        <f>VLOOKUP(globalfreelancepreprocesseddata!A820,worksheet!A:P,9,FALSE)</f>
        <v>Data Analysis</v>
      </c>
      <c r="H820" s="5">
        <f>VLOOKUP(globalfreelancepreprocesseddata!A820,worksheet!A:P,10,FALSE)</f>
        <v>2</v>
      </c>
      <c r="I820" s="6" t="str">
        <f>VLOOKUP(globalfreelancepreprocesseddata!A820,worksheet!A:P,12,FALSE)</f>
        <v>$ 20</v>
      </c>
      <c r="J820" s="5">
        <f>VLOOKUP(globalfreelancepreprocesseddata!A820,worksheet!A:P,13,FALSE)</f>
        <v>3</v>
      </c>
      <c r="K820" s="5">
        <f>VLOOKUP(globalfreelancepreprocesseddata!A820,worksheet!A:P,14,FALSE)</f>
        <v>1</v>
      </c>
      <c r="L820" s="7">
        <f>VLOOKUP(globalfreelancepreprocesseddata!A820,worksheet!A:P,16,FALSE)</f>
        <v>0.16</v>
      </c>
    </row>
    <row r="821" spans="1:12" x14ac:dyDescent="0.35">
      <c r="A821" s="5" t="s">
        <v>1711</v>
      </c>
      <c r="B821" s="5" t="str">
        <f>VLOOKUP(globalfreelancepreprocesseddata!A821,worksheet!A:P,3,FALSE)</f>
        <v>Alexandra Sims</v>
      </c>
      <c r="C821" s="5" t="str">
        <f>VLOOKUP(globalfreelancepreprocesseddata!A821,worksheet!A:P,5,FALSE)</f>
        <v>Female</v>
      </c>
      <c r="D821" s="5">
        <f>VLOOKUP(globalfreelancepreprocesseddata!A821,worksheet!A:P,6,FALSE)</f>
        <v>40</v>
      </c>
      <c r="E821" s="5" t="str">
        <f>VLOOKUP(globalfreelancepreprocesseddata!A821,worksheet!A:P,7,FALSE)</f>
        <v>India</v>
      </c>
      <c r="F821" s="5" t="str">
        <f>VLOOKUP(globalfreelancepreprocesseddata!A821,worksheet!A:P,8,FALSE)</f>
        <v>Hindi</v>
      </c>
      <c r="G821" s="5" t="str">
        <f>VLOOKUP(globalfreelancepreprocesseddata!A821,worksheet!A:P,9,FALSE)</f>
        <v>Blockchain Development</v>
      </c>
      <c r="H821" s="5">
        <f>VLOOKUP(globalfreelancepreprocesseddata!A821,worksheet!A:P,10,FALSE)</f>
        <v>14</v>
      </c>
      <c r="I821" s="6">
        <f>VLOOKUP(globalfreelancepreprocesseddata!A821,worksheet!A:P,12,FALSE)</f>
        <v>75</v>
      </c>
      <c r="J821" s="5">
        <f>VLOOKUP(globalfreelancepreprocesseddata!A821,worksheet!A:P,13,FALSE)</f>
        <v>0</v>
      </c>
      <c r="K821" s="5">
        <f>VLOOKUP(globalfreelancepreprocesseddata!A821,worksheet!A:P,14,FALSE)</f>
        <v>1</v>
      </c>
      <c r="L821" s="7">
        <f>VLOOKUP(globalfreelancepreprocesseddata!A821,worksheet!A:P,16,FALSE)</f>
        <v>0.79</v>
      </c>
    </row>
    <row r="822" spans="1:12" x14ac:dyDescent="0.35">
      <c r="A822" s="5" t="s">
        <v>1713</v>
      </c>
      <c r="B822" s="5" t="str">
        <f>VLOOKUP(globalfreelancepreprocesseddata!A822,worksheet!A:P,3,FALSE)</f>
        <v>Brenda Spencer</v>
      </c>
      <c r="C822" s="5" t="str">
        <f>VLOOKUP(globalfreelancepreprocesseddata!A822,worksheet!A:P,5,FALSE)</f>
        <v>Female</v>
      </c>
      <c r="D822" s="5">
        <f>VLOOKUP(globalfreelancepreprocesseddata!A822,worksheet!A:P,6,FALSE)</f>
        <v>49</v>
      </c>
      <c r="E822" s="5" t="str">
        <f>VLOOKUP(globalfreelancepreprocesseddata!A822,worksheet!A:P,7,FALSE)</f>
        <v>China</v>
      </c>
      <c r="F822" s="5" t="str">
        <f>VLOOKUP(globalfreelancepreprocesseddata!A822,worksheet!A:P,8,FALSE)</f>
        <v>Mandarin</v>
      </c>
      <c r="G822" s="5" t="str">
        <f>VLOOKUP(globalfreelancepreprocesseddata!A822,worksheet!A:P,9,FALSE)</f>
        <v>Mobile Apps</v>
      </c>
      <c r="H822" s="5">
        <f>VLOOKUP(globalfreelancepreprocesseddata!A822,worksheet!A:P,10,FALSE)</f>
        <v>15</v>
      </c>
      <c r="I822" s="6">
        <f>VLOOKUP(globalfreelancepreprocesseddata!A822,worksheet!A:P,12,FALSE)</f>
        <v>40</v>
      </c>
      <c r="J822" s="5">
        <f>VLOOKUP(globalfreelancepreprocesseddata!A822,worksheet!A:P,13,FALSE)</f>
        <v>3.9</v>
      </c>
      <c r="K822" s="5">
        <f>VLOOKUP(globalfreelancepreprocesseddata!A822,worksheet!A:P,14,FALSE)</f>
        <v>0</v>
      </c>
      <c r="L822" s="7">
        <f>VLOOKUP(globalfreelancepreprocesseddata!A822,worksheet!A:P,16,FALSE)</f>
        <v>0.86</v>
      </c>
    </row>
    <row r="823" spans="1:12" x14ac:dyDescent="0.35">
      <c r="A823" s="5" t="s">
        <v>1715</v>
      </c>
      <c r="B823" s="5" t="str">
        <f>VLOOKUP(globalfreelancepreprocesseddata!A823,worksheet!A:P,3,FALSE)</f>
        <v>Joshua Bush</v>
      </c>
      <c r="C823" s="5" t="str">
        <f>VLOOKUP(globalfreelancepreprocesseddata!A823,worksheet!A:P,5,FALSE)</f>
        <v>Male</v>
      </c>
      <c r="D823" s="5">
        <f>VLOOKUP(globalfreelancepreprocesseddata!A823,worksheet!A:P,6,FALSE)</f>
        <v>30</v>
      </c>
      <c r="E823" s="5" t="str">
        <f>VLOOKUP(globalfreelancepreprocesseddata!A823,worksheet!A:P,7,FALSE)</f>
        <v>Australia</v>
      </c>
      <c r="F823" s="5" t="str">
        <f>VLOOKUP(globalfreelancepreprocesseddata!A823,worksheet!A:P,8,FALSE)</f>
        <v>English</v>
      </c>
      <c r="G823" s="5" t="str">
        <f>VLOOKUP(globalfreelancepreprocesseddata!A823,worksheet!A:P,9,FALSE)</f>
        <v>UI/UX Design</v>
      </c>
      <c r="H823" s="5">
        <f>VLOOKUP(globalfreelancepreprocesseddata!A823,worksheet!A:P,10,FALSE)</f>
        <v>11</v>
      </c>
      <c r="I823" s="6">
        <f>VLOOKUP(globalfreelancepreprocesseddata!A823,worksheet!A:P,12,FALSE)</f>
        <v>30</v>
      </c>
      <c r="J823" s="5">
        <f>VLOOKUP(globalfreelancepreprocesseddata!A823,worksheet!A:P,13,FALSE)</f>
        <v>4.2</v>
      </c>
      <c r="K823" s="5">
        <f>VLOOKUP(globalfreelancepreprocesseddata!A823,worksheet!A:P,14,FALSE)</f>
        <v>0</v>
      </c>
      <c r="L823" s="7">
        <f>VLOOKUP(globalfreelancepreprocesseddata!A823,worksheet!A:P,16,FALSE)</f>
        <v>0.65</v>
      </c>
    </row>
    <row r="824" spans="1:12" x14ac:dyDescent="0.35">
      <c r="A824" s="5" t="s">
        <v>1717</v>
      </c>
      <c r="B824" s="5" t="str">
        <f>VLOOKUP(globalfreelancepreprocesseddata!A824,worksheet!A:P,3,FALSE)</f>
        <v>Erin Martin</v>
      </c>
      <c r="C824" s="5" t="str">
        <f>VLOOKUP(globalfreelancepreprocesseddata!A824,worksheet!A:P,5,FALSE)</f>
        <v>Female</v>
      </c>
      <c r="D824" s="5">
        <f>VLOOKUP(globalfreelancepreprocesseddata!A824,worksheet!A:P,6,FALSE)</f>
        <v>37</v>
      </c>
      <c r="E824" s="5" t="str">
        <f>VLOOKUP(globalfreelancepreprocesseddata!A824,worksheet!A:P,7,FALSE)</f>
        <v>Japan</v>
      </c>
      <c r="F824" s="5" t="str">
        <f>VLOOKUP(globalfreelancepreprocesseddata!A824,worksheet!A:P,8,FALSE)</f>
        <v>Japanese</v>
      </c>
      <c r="G824" s="5" t="str">
        <f>VLOOKUP(globalfreelancepreprocesseddata!A824,worksheet!A:P,9,FALSE)</f>
        <v>AI</v>
      </c>
      <c r="H824" s="5">
        <f>VLOOKUP(globalfreelancepreprocesseddata!A824,worksheet!A:P,10,FALSE)</f>
        <v>6</v>
      </c>
      <c r="I824" s="6">
        <f>VLOOKUP(globalfreelancepreprocesseddata!A824,worksheet!A:P,12,FALSE)</f>
        <v>20</v>
      </c>
      <c r="J824" s="5">
        <f>VLOOKUP(globalfreelancepreprocesseddata!A824,worksheet!A:P,13,FALSE)</f>
        <v>3</v>
      </c>
      <c r="K824" s="5">
        <f>VLOOKUP(globalfreelancepreprocesseddata!A824,worksheet!A:P,14,FALSE)</f>
        <v>1</v>
      </c>
      <c r="L824" s="7">
        <f>VLOOKUP(globalfreelancepreprocesseddata!A824,worksheet!A:P,16,FALSE)</f>
        <v>0.99</v>
      </c>
    </row>
    <row r="825" spans="1:12" x14ac:dyDescent="0.35">
      <c r="A825" s="5" t="s">
        <v>1719</v>
      </c>
      <c r="B825" s="5" t="str">
        <f>VLOOKUP(globalfreelancepreprocesseddata!A825,worksheet!A:P,3,FALSE)</f>
        <v>Alexander Hogan</v>
      </c>
      <c r="C825" s="5" t="str">
        <f>VLOOKUP(globalfreelancepreprocesseddata!A825,worksheet!A:P,5,FALSE)</f>
        <v>Male</v>
      </c>
      <c r="D825" s="5">
        <f>VLOOKUP(globalfreelancepreprocesseddata!A825,worksheet!A:P,6,FALSE)</f>
        <v>21</v>
      </c>
      <c r="E825" s="5" t="str">
        <f>VLOOKUP(globalfreelancepreprocesseddata!A825,worksheet!A:P,7,FALSE)</f>
        <v>Egypt</v>
      </c>
      <c r="F825" s="5" t="str">
        <f>VLOOKUP(globalfreelancepreprocesseddata!A825,worksheet!A:P,8,FALSE)</f>
        <v>Arabic</v>
      </c>
      <c r="G825" s="5" t="str">
        <f>VLOOKUP(globalfreelancepreprocesseddata!A825,worksheet!A:P,9,FALSE)</f>
        <v>Graphic Design</v>
      </c>
      <c r="H825" s="5">
        <f>VLOOKUP(globalfreelancepreprocesseddata!A825,worksheet!A:P,10,FALSE)</f>
        <v>2</v>
      </c>
      <c r="I825" s="6">
        <f>VLOOKUP(globalfreelancepreprocesseddata!A825,worksheet!A:P,12,FALSE)</f>
        <v>100</v>
      </c>
      <c r="J825" s="5">
        <f>VLOOKUP(globalfreelancepreprocesseddata!A825,worksheet!A:P,13,FALSE)</f>
        <v>3.6</v>
      </c>
      <c r="K825" s="5">
        <f>VLOOKUP(globalfreelancepreprocesseddata!A825,worksheet!A:P,14,FALSE)</f>
        <v>0</v>
      </c>
      <c r="L825" s="7">
        <f>VLOOKUP(globalfreelancepreprocesseddata!A825,worksheet!A:P,16,FALSE)</f>
        <v>0.85</v>
      </c>
    </row>
    <row r="826" spans="1:12" x14ac:dyDescent="0.35">
      <c r="A826" s="5" t="s">
        <v>1721</v>
      </c>
      <c r="B826" s="5" t="str">
        <f>VLOOKUP(globalfreelancepreprocesseddata!A826,worksheet!A:P,3,FALSE)</f>
        <v>William Harris</v>
      </c>
      <c r="C826" s="5" t="str">
        <f>VLOOKUP(globalfreelancepreprocesseddata!A826,worksheet!A:P,5,FALSE)</f>
        <v>Male</v>
      </c>
      <c r="D826" s="5">
        <f>VLOOKUP(globalfreelancepreprocesseddata!A826,worksheet!A:P,6,FALSE)</f>
        <v>20</v>
      </c>
      <c r="E826" s="5" t="str">
        <f>VLOOKUP(globalfreelancepreprocesseddata!A826,worksheet!A:P,7,FALSE)</f>
        <v>South Korea</v>
      </c>
      <c r="F826" s="5" t="str">
        <f>VLOOKUP(globalfreelancepreprocesseddata!A826,worksheet!A:P,8,FALSE)</f>
        <v>Korean</v>
      </c>
      <c r="G826" s="5" t="str">
        <f>VLOOKUP(globalfreelancepreprocesseddata!A826,worksheet!A:P,9,FALSE)</f>
        <v>AI</v>
      </c>
      <c r="H826" s="5">
        <f>VLOOKUP(globalfreelancepreprocesseddata!A826,worksheet!A:P,10,FALSE)</f>
        <v>1</v>
      </c>
      <c r="I826" s="6" t="str">
        <f>VLOOKUP(globalfreelancepreprocesseddata!A826,worksheet!A:P,12,FALSE)</f>
        <v>$ 50</v>
      </c>
      <c r="J826" s="5">
        <f>VLOOKUP(globalfreelancepreprocesseddata!A826,worksheet!A:P,13,FALSE)</f>
        <v>3</v>
      </c>
      <c r="K826" s="5">
        <f>VLOOKUP(globalfreelancepreprocesseddata!A826,worksheet!A:P,14,FALSE)</f>
        <v>1</v>
      </c>
      <c r="L826" s="7">
        <f>VLOOKUP(globalfreelancepreprocesseddata!A826,worksheet!A:P,16,FALSE)</f>
        <v>0.81</v>
      </c>
    </row>
    <row r="827" spans="1:12" x14ac:dyDescent="0.35">
      <c r="A827" s="5" t="s">
        <v>1723</v>
      </c>
      <c r="B827" s="5" t="str">
        <f>VLOOKUP(globalfreelancepreprocesseddata!A827,worksheet!A:P,3,FALSE)</f>
        <v>Michael Mcmahon</v>
      </c>
      <c r="C827" s="5" t="str">
        <f>VLOOKUP(globalfreelancepreprocesseddata!A827,worksheet!A:P,5,FALSE)</f>
        <v>Male</v>
      </c>
      <c r="D827" s="5">
        <f>VLOOKUP(globalfreelancepreprocesseddata!A827,worksheet!A:P,6,FALSE)</f>
        <v>20</v>
      </c>
      <c r="E827" s="5" t="str">
        <f>VLOOKUP(globalfreelancepreprocesseddata!A827,worksheet!A:P,7,FALSE)</f>
        <v>China</v>
      </c>
      <c r="F827" s="5" t="str">
        <f>VLOOKUP(globalfreelancepreprocesseddata!A827,worksheet!A:P,8,FALSE)</f>
        <v>Mandarin</v>
      </c>
      <c r="G827" s="5" t="str">
        <f>VLOOKUP(globalfreelancepreprocesseddata!A827,worksheet!A:P,9,FALSE)</f>
        <v>Data Analysis</v>
      </c>
      <c r="H827" s="5">
        <f>VLOOKUP(globalfreelancepreprocesseddata!A827,worksheet!A:P,10,FALSE)</f>
        <v>2</v>
      </c>
      <c r="I827" s="6">
        <f>VLOOKUP(globalfreelancepreprocesseddata!A827,worksheet!A:P,12,FALSE)</f>
        <v>40</v>
      </c>
      <c r="J827" s="5">
        <f>VLOOKUP(globalfreelancepreprocesseddata!A827,worksheet!A:P,13,FALSE)</f>
        <v>2.1</v>
      </c>
      <c r="K827" s="5">
        <f>VLOOKUP(globalfreelancepreprocesseddata!A827,worksheet!A:P,14,FALSE)</f>
        <v>0</v>
      </c>
      <c r="L827" s="7">
        <f>VLOOKUP(globalfreelancepreprocesseddata!A827,worksheet!A:P,16,FALSE)</f>
        <v>0.64</v>
      </c>
    </row>
    <row r="828" spans="1:12" x14ac:dyDescent="0.35">
      <c r="A828" s="5" t="s">
        <v>1725</v>
      </c>
      <c r="B828" s="5" t="str">
        <f>VLOOKUP(globalfreelancepreprocesseddata!A828,worksheet!A:P,3,FALSE)</f>
        <v>Michael Watson</v>
      </c>
      <c r="C828" s="5" t="str">
        <f>VLOOKUP(globalfreelancepreprocesseddata!A828,worksheet!A:P,5,FALSE)</f>
        <v>Male</v>
      </c>
      <c r="D828" s="5">
        <f>VLOOKUP(globalfreelancepreprocesseddata!A828,worksheet!A:P,6,FALSE)</f>
        <v>20</v>
      </c>
      <c r="E828" s="5" t="str">
        <f>VLOOKUP(globalfreelancepreprocesseddata!A828,worksheet!A:P,7,FALSE)</f>
        <v>Argentina</v>
      </c>
      <c r="F828" s="5" t="str">
        <f>VLOOKUP(globalfreelancepreprocesseddata!A828,worksheet!A:P,8,FALSE)</f>
        <v>Spanish</v>
      </c>
      <c r="G828" s="5" t="str">
        <f>VLOOKUP(globalfreelancepreprocesseddata!A828,worksheet!A:P,9,FALSE)</f>
        <v>Machine Learning</v>
      </c>
      <c r="H828" s="5">
        <f>VLOOKUP(globalfreelancepreprocesseddata!A828,worksheet!A:P,10,FALSE)</f>
        <v>2</v>
      </c>
      <c r="I828" s="6">
        <f>VLOOKUP(globalfreelancepreprocesseddata!A828,worksheet!A:P,12,FALSE)</f>
        <v>20</v>
      </c>
      <c r="J828" s="5">
        <f>VLOOKUP(globalfreelancepreprocesseddata!A828,worksheet!A:P,13,FALSE)</f>
        <v>3.9</v>
      </c>
      <c r="K828" s="5">
        <f>VLOOKUP(globalfreelancepreprocesseddata!A828,worksheet!A:P,14,FALSE)</f>
        <v>0</v>
      </c>
      <c r="L828" s="7">
        <f>VLOOKUP(globalfreelancepreprocesseddata!A828,worksheet!A:P,16,FALSE)</f>
        <v>0.84</v>
      </c>
    </row>
    <row r="829" spans="1:12" x14ac:dyDescent="0.35">
      <c r="A829" s="5" t="s">
        <v>1727</v>
      </c>
      <c r="B829" s="5" t="str">
        <f>VLOOKUP(globalfreelancepreprocesseddata!A829,worksheet!A:P,3,FALSE)</f>
        <v>Lori Perez</v>
      </c>
      <c r="C829" s="5" t="str">
        <f>VLOOKUP(globalfreelancepreprocesseddata!A829,worksheet!A:P,5,FALSE)</f>
        <v>Female</v>
      </c>
      <c r="D829" s="5">
        <f>VLOOKUP(globalfreelancepreprocesseddata!A829,worksheet!A:P,6,FALSE)</f>
        <v>26</v>
      </c>
      <c r="E829" s="5" t="str">
        <f>VLOOKUP(globalfreelancepreprocesseddata!A829,worksheet!A:P,7,FALSE)</f>
        <v>Russia</v>
      </c>
      <c r="F829" s="5" t="str">
        <f>VLOOKUP(globalfreelancepreprocesseddata!A829,worksheet!A:P,8,FALSE)</f>
        <v>Russian</v>
      </c>
      <c r="G829" s="5" t="str">
        <f>VLOOKUP(globalfreelancepreprocesseddata!A829,worksheet!A:P,9,FALSE)</f>
        <v>Machine Learning</v>
      </c>
      <c r="H829" s="5">
        <f>VLOOKUP(globalfreelancepreprocesseddata!A829,worksheet!A:P,10,FALSE)</f>
        <v>2</v>
      </c>
      <c r="I829" s="6">
        <f>VLOOKUP(globalfreelancepreprocesseddata!A829,worksheet!A:P,12,FALSE)</f>
        <v>40</v>
      </c>
      <c r="J829" s="5">
        <f>VLOOKUP(globalfreelancepreprocesseddata!A829,worksheet!A:P,13,FALSE)</f>
        <v>0</v>
      </c>
      <c r="K829" s="5">
        <f>VLOOKUP(globalfreelancepreprocesseddata!A829,worksheet!A:P,14,FALSE)</f>
        <v>1</v>
      </c>
      <c r="L829" s="7">
        <f>VLOOKUP(globalfreelancepreprocesseddata!A829,worksheet!A:P,16,FALSE)</f>
        <v>0.66</v>
      </c>
    </row>
    <row r="830" spans="1:12" x14ac:dyDescent="0.35">
      <c r="A830" s="5" t="s">
        <v>1729</v>
      </c>
      <c r="B830" s="5" t="str">
        <f>VLOOKUP(globalfreelancepreprocesseddata!A830,worksheet!A:P,3,FALSE)</f>
        <v>Lindsay Le</v>
      </c>
      <c r="C830" s="5" t="str">
        <f>VLOOKUP(globalfreelancepreprocesseddata!A830,worksheet!A:P,5,FALSE)</f>
        <v>Female</v>
      </c>
      <c r="D830" s="5">
        <f>VLOOKUP(globalfreelancepreprocesseddata!A830,worksheet!A:P,6,FALSE)</f>
        <v>50</v>
      </c>
      <c r="E830" s="5" t="str">
        <f>VLOOKUP(globalfreelancepreprocesseddata!A830,worksheet!A:P,7,FALSE)</f>
        <v>South Korea</v>
      </c>
      <c r="F830" s="5" t="str">
        <f>VLOOKUP(globalfreelancepreprocesseddata!A830,worksheet!A:P,8,FALSE)</f>
        <v>Korean</v>
      </c>
      <c r="G830" s="5" t="str">
        <f>VLOOKUP(globalfreelancepreprocesseddata!A830,worksheet!A:P,9,FALSE)</f>
        <v>Web Development</v>
      </c>
      <c r="H830" s="5">
        <f>VLOOKUP(globalfreelancepreprocesseddata!A830,worksheet!A:P,10,FALSE)</f>
        <v>12</v>
      </c>
      <c r="I830" s="6">
        <f>VLOOKUP(globalfreelancepreprocesseddata!A830,worksheet!A:P,12,FALSE)</f>
        <v>75</v>
      </c>
      <c r="J830" s="5">
        <f>VLOOKUP(globalfreelancepreprocesseddata!A830,worksheet!A:P,13,FALSE)</f>
        <v>0</v>
      </c>
      <c r="K830" s="5">
        <f>VLOOKUP(globalfreelancepreprocesseddata!A830,worksheet!A:P,14,FALSE)</f>
        <v>0</v>
      </c>
      <c r="L830" s="7">
        <f>VLOOKUP(globalfreelancepreprocesseddata!A830,worksheet!A:P,16,FALSE)</f>
        <v>0.75</v>
      </c>
    </row>
    <row r="831" spans="1:12" x14ac:dyDescent="0.35">
      <c r="A831" s="5" t="s">
        <v>1731</v>
      </c>
      <c r="B831" s="5" t="str">
        <f>VLOOKUP(globalfreelancepreprocesseddata!A831,worksheet!A:P,3,FALSE)</f>
        <v>Scott Long</v>
      </c>
      <c r="C831" s="5" t="str">
        <f>VLOOKUP(globalfreelancepreprocesseddata!A831,worksheet!A:P,5,FALSE)</f>
        <v>Male</v>
      </c>
      <c r="D831" s="5">
        <f>VLOOKUP(globalfreelancepreprocesseddata!A831,worksheet!A:P,6,FALSE)</f>
        <v>50</v>
      </c>
      <c r="E831" s="5" t="str">
        <f>VLOOKUP(globalfreelancepreprocesseddata!A831,worksheet!A:P,7,FALSE)</f>
        <v>Spain</v>
      </c>
      <c r="F831" s="5" t="str">
        <f>VLOOKUP(globalfreelancepreprocesseddata!A831,worksheet!A:P,8,FALSE)</f>
        <v>Spanish</v>
      </c>
      <c r="G831" s="5" t="str">
        <f>VLOOKUP(globalfreelancepreprocesseddata!A831,worksheet!A:P,9,FALSE)</f>
        <v>AI</v>
      </c>
      <c r="H831" s="5">
        <f>VLOOKUP(globalfreelancepreprocesseddata!A831,worksheet!A:P,10,FALSE)</f>
        <v>28</v>
      </c>
      <c r="I831" s="6">
        <f>VLOOKUP(globalfreelancepreprocesseddata!A831,worksheet!A:P,12,FALSE)</f>
        <v>30</v>
      </c>
      <c r="J831" s="5">
        <f>VLOOKUP(globalfreelancepreprocesseddata!A831,worksheet!A:P,13,FALSE)</f>
        <v>1.8</v>
      </c>
      <c r="K831" s="5">
        <f>VLOOKUP(globalfreelancepreprocesseddata!A831,worksheet!A:P,14,FALSE)</f>
        <v>1</v>
      </c>
      <c r="L831" s="7">
        <f>VLOOKUP(globalfreelancepreprocesseddata!A831,worksheet!A:P,16,FALSE)</f>
        <v>0.16</v>
      </c>
    </row>
    <row r="832" spans="1:12" x14ac:dyDescent="0.35">
      <c r="A832" s="5" t="s">
        <v>1733</v>
      </c>
      <c r="B832" s="5" t="str">
        <f>VLOOKUP(globalfreelancepreprocesseddata!A832,worksheet!A:P,3,FALSE)</f>
        <v>Diana Ferguson</v>
      </c>
      <c r="C832" s="5" t="str">
        <f>VLOOKUP(globalfreelancepreprocesseddata!A832,worksheet!A:P,5,FALSE)</f>
        <v>Female</v>
      </c>
      <c r="D832" s="5">
        <f>VLOOKUP(globalfreelancepreprocesseddata!A832,worksheet!A:P,6,FALSE)</f>
        <v>54</v>
      </c>
      <c r="E832" s="5" t="str">
        <f>VLOOKUP(globalfreelancepreprocesseddata!A832,worksheet!A:P,7,FALSE)</f>
        <v>Indonesia</v>
      </c>
      <c r="F832" s="5" t="str">
        <f>VLOOKUP(globalfreelancepreprocesseddata!A832,worksheet!A:P,8,FALSE)</f>
        <v>Indonesian</v>
      </c>
      <c r="G832" s="5" t="str">
        <f>VLOOKUP(globalfreelancepreprocesseddata!A832,worksheet!A:P,9,FALSE)</f>
        <v>AI</v>
      </c>
      <c r="H832" s="5">
        <f>VLOOKUP(globalfreelancepreprocesseddata!A832,worksheet!A:P,10,FALSE)</f>
        <v>4</v>
      </c>
      <c r="I832" s="6">
        <f>VLOOKUP(globalfreelancepreprocesseddata!A832,worksheet!A:P,12,FALSE)</f>
        <v>20</v>
      </c>
      <c r="J832" s="5">
        <f>VLOOKUP(globalfreelancepreprocesseddata!A832,worksheet!A:P,13,FALSE)</f>
        <v>1.1000000000000001</v>
      </c>
      <c r="K832" s="5">
        <f>VLOOKUP(globalfreelancepreprocesseddata!A832,worksheet!A:P,14,FALSE)</f>
        <v>1</v>
      </c>
      <c r="L832" s="7">
        <f>VLOOKUP(globalfreelancepreprocesseddata!A832,worksheet!A:P,16,FALSE)</f>
        <v>0.63</v>
      </c>
    </row>
    <row r="833" spans="1:12" x14ac:dyDescent="0.35">
      <c r="A833" s="5" t="s">
        <v>1735</v>
      </c>
      <c r="B833" s="5" t="str">
        <f>VLOOKUP(globalfreelancepreprocesseddata!A833,worksheet!A:P,3,FALSE)</f>
        <v>Joseph Miller</v>
      </c>
      <c r="C833" s="5" t="str">
        <f>VLOOKUP(globalfreelancepreprocesseddata!A833,worksheet!A:P,5,FALSE)</f>
        <v>Male</v>
      </c>
      <c r="D833" s="5">
        <f>VLOOKUP(globalfreelancepreprocesseddata!A833,worksheet!A:P,6,FALSE)</f>
        <v>54</v>
      </c>
      <c r="E833" s="5" t="str">
        <f>VLOOKUP(globalfreelancepreprocesseddata!A833,worksheet!A:P,7,FALSE)</f>
        <v>Spain</v>
      </c>
      <c r="F833" s="5" t="str">
        <f>VLOOKUP(globalfreelancepreprocesseddata!A833,worksheet!A:P,8,FALSE)</f>
        <v>Spanish</v>
      </c>
      <c r="G833" s="5" t="str">
        <f>VLOOKUP(globalfreelancepreprocesseddata!A833,worksheet!A:P,9,FALSE)</f>
        <v>Blockchain Development</v>
      </c>
      <c r="H833" s="5">
        <f>VLOOKUP(globalfreelancepreprocesseddata!A833,worksheet!A:P,10,FALSE)</f>
        <v>3</v>
      </c>
      <c r="I833" s="6">
        <f>VLOOKUP(globalfreelancepreprocesseddata!A833,worksheet!A:P,12,FALSE)</f>
        <v>20</v>
      </c>
      <c r="J833" s="5">
        <f>VLOOKUP(globalfreelancepreprocesseddata!A833,worksheet!A:P,13,FALSE)</f>
        <v>1.6</v>
      </c>
      <c r="K833" s="5">
        <f>VLOOKUP(globalfreelancepreprocesseddata!A833,worksheet!A:P,14,FALSE)</f>
        <v>1</v>
      </c>
      <c r="L833" s="7">
        <f>VLOOKUP(globalfreelancepreprocesseddata!A833,worksheet!A:P,16,FALSE)</f>
        <v>0.7</v>
      </c>
    </row>
    <row r="834" spans="1:12" x14ac:dyDescent="0.35">
      <c r="A834" s="5" t="s">
        <v>1737</v>
      </c>
      <c r="B834" s="5" t="str">
        <f>VLOOKUP(globalfreelancepreprocesseddata!A834,worksheet!A:P,3,FALSE)</f>
        <v>Julia Reid</v>
      </c>
      <c r="C834" s="5" t="str">
        <f>VLOOKUP(globalfreelancepreprocesseddata!A834,worksheet!A:P,5,FALSE)</f>
        <v>Female</v>
      </c>
      <c r="D834" s="5">
        <f>VLOOKUP(globalfreelancepreprocesseddata!A834,worksheet!A:P,6,FALSE)</f>
        <v>34</v>
      </c>
      <c r="E834" s="5" t="str">
        <f>VLOOKUP(globalfreelancepreprocesseddata!A834,worksheet!A:P,7,FALSE)</f>
        <v>Egypt</v>
      </c>
      <c r="F834" s="5" t="str">
        <f>VLOOKUP(globalfreelancepreprocesseddata!A834,worksheet!A:P,8,FALSE)</f>
        <v>Arabic</v>
      </c>
      <c r="G834" s="5" t="str">
        <f>VLOOKUP(globalfreelancepreprocesseddata!A834,worksheet!A:P,9,FALSE)</f>
        <v>Machine Learning</v>
      </c>
      <c r="H834" s="5">
        <f>VLOOKUP(globalfreelancepreprocesseddata!A834,worksheet!A:P,10,FALSE)</f>
        <v>4</v>
      </c>
      <c r="I834" s="6">
        <f>VLOOKUP(globalfreelancepreprocesseddata!A834,worksheet!A:P,12,FALSE)</f>
        <v>30</v>
      </c>
      <c r="J834" s="5">
        <f>VLOOKUP(globalfreelancepreprocesseddata!A834,worksheet!A:P,13,FALSE)</f>
        <v>3.1</v>
      </c>
      <c r="K834" s="5">
        <f>VLOOKUP(globalfreelancepreprocesseddata!A834,worksheet!A:P,14,FALSE)</f>
        <v>1</v>
      </c>
      <c r="L834" s="7">
        <f>VLOOKUP(globalfreelancepreprocesseddata!A834,worksheet!A:P,16,FALSE)</f>
        <v>0.9</v>
      </c>
    </row>
    <row r="835" spans="1:12" x14ac:dyDescent="0.35">
      <c r="A835" s="5" t="s">
        <v>1739</v>
      </c>
      <c r="B835" s="5" t="str">
        <f>VLOOKUP(globalfreelancepreprocesseddata!A835,worksheet!A:P,3,FALSE)</f>
        <v>Samantha Matthews</v>
      </c>
      <c r="C835" s="5" t="str">
        <f>VLOOKUP(globalfreelancepreprocesseddata!A835,worksheet!A:P,5,FALSE)</f>
        <v>Female</v>
      </c>
      <c r="D835" s="5">
        <f>VLOOKUP(globalfreelancepreprocesseddata!A835,worksheet!A:P,6,FALSE)</f>
        <v>20</v>
      </c>
      <c r="E835" s="5" t="str">
        <f>VLOOKUP(globalfreelancepreprocesseddata!A835,worksheet!A:P,7,FALSE)</f>
        <v>Italy</v>
      </c>
      <c r="F835" s="5" t="str">
        <f>VLOOKUP(globalfreelancepreprocesseddata!A835,worksheet!A:P,8,FALSE)</f>
        <v>Italian</v>
      </c>
      <c r="G835" s="5" t="str">
        <f>VLOOKUP(globalfreelancepreprocesseddata!A835,worksheet!A:P,9,FALSE)</f>
        <v>DevOps</v>
      </c>
      <c r="H835" s="5">
        <f>VLOOKUP(globalfreelancepreprocesseddata!A835,worksheet!A:P,10,FALSE)</f>
        <v>1</v>
      </c>
      <c r="I835" s="6">
        <f>VLOOKUP(globalfreelancepreprocesseddata!A835,worksheet!A:P,12,FALSE)</f>
        <v>50</v>
      </c>
      <c r="J835" s="5">
        <f>VLOOKUP(globalfreelancepreprocesseddata!A835,worksheet!A:P,13,FALSE)</f>
        <v>3.4</v>
      </c>
      <c r="K835" s="5">
        <f>VLOOKUP(globalfreelancepreprocesseddata!A835,worksheet!A:P,14,FALSE)</f>
        <v>1</v>
      </c>
      <c r="L835" s="7">
        <f>VLOOKUP(globalfreelancepreprocesseddata!A835,worksheet!A:P,16,FALSE)</f>
        <v>0.79</v>
      </c>
    </row>
    <row r="836" spans="1:12" x14ac:dyDescent="0.35">
      <c r="A836" s="5" t="s">
        <v>1741</v>
      </c>
      <c r="B836" s="5" t="str">
        <f>VLOOKUP(globalfreelancepreprocesseddata!A836,worksheet!A:P,3,FALSE)</f>
        <v>Brian Bailey</v>
      </c>
      <c r="C836" s="5" t="str">
        <f>VLOOKUP(globalfreelancepreprocesseddata!A836,worksheet!A:P,5,FALSE)</f>
        <v>Male</v>
      </c>
      <c r="D836" s="5">
        <f>VLOOKUP(globalfreelancepreprocesseddata!A836,worksheet!A:P,6,FALSE)</f>
        <v>29</v>
      </c>
      <c r="E836" s="5" t="str">
        <f>VLOOKUP(globalfreelancepreprocesseddata!A836,worksheet!A:P,7,FALSE)</f>
        <v>Germany</v>
      </c>
      <c r="F836" s="5" t="str">
        <f>VLOOKUP(globalfreelancepreprocesseddata!A836,worksheet!A:P,8,FALSE)</f>
        <v>German</v>
      </c>
      <c r="G836" s="5" t="str">
        <f>VLOOKUP(globalfreelancepreprocesseddata!A836,worksheet!A:P,9,FALSE)</f>
        <v>AI</v>
      </c>
      <c r="H836" s="5">
        <f>VLOOKUP(globalfreelancepreprocesseddata!A836,worksheet!A:P,10,FALSE)</f>
        <v>8</v>
      </c>
      <c r="I836" s="6">
        <f>VLOOKUP(globalfreelancepreprocesseddata!A836,worksheet!A:P,12,FALSE)</f>
        <v>40</v>
      </c>
      <c r="J836" s="5">
        <f>VLOOKUP(globalfreelancepreprocesseddata!A836,worksheet!A:P,13,FALSE)</f>
        <v>3.1</v>
      </c>
      <c r="K836" s="5">
        <f>VLOOKUP(globalfreelancepreprocesseddata!A836,worksheet!A:P,14,FALSE)</f>
        <v>0</v>
      </c>
      <c r="L836" s="7">
        <f>VLOOKUP(globalfreelancepreprocesseddata!A836,worksheet!A:P,16,FALSE)</f>
        <v>0.6</v>
      </c>
    </row>
    <row r="837" spans="1:12" x14ac:dyDescent="0.35">
      <c r="A837" s="5" t="s">
        <v>1743</v>
      </c>
      <c r="B837" s="5" t="str">
        <f>VLOOKUP(globalfreelancepreprocesseddata!A837,worksheet!A:P,3,FALSE)</f>
        <v>Toni Hinton</v>
      </c>
      <c r="C837" s="5" t="str">
        <f>VLOOKUP(globalfreelancepreprocesseddata!A837,worksheet!A:P,5,FALSE)</f>
        <v>Female</v>
      </c>
      <c r="D837" s="5">
        <f>VLOOKUP(globalfreelancepreprocesseddata!A837,worksheet!A:P,6,FALSE)</f>
        <v>57</v>
      </c>
      <c r="E837" s="5" t="str">
        <f>VLOOKUP(globalfreelancepreprocesseddata!A837,worksheet!A:P,7,FALSE)</f>
        <v>United Kingdom</v>
      </c>
      <c r="F837" s="5" t="str">
        <f>VLOOKUP(globalfreelancepreprocesseddata!A837,worksheet!A:P,8,FALSE)</f>
        <v>English</v>
      </c>
      <c r="G837" s="5" t="str">
        <f>VLOOKUP(globalfreelancepreprocesseddata!A837,worksheet!A:P,9,FALSE)</f>
        <v>DevOps</v>
      </c>
      <c r="H837" s="5">
        <f>VLOOKUP(globalfreelancepreprocesseddata!A837,worksheet!A:P,10,FALSE)</f>
        <v>11</v>
      </c>
      <c r="I837" s="6" t="str">
        <f>VLOOKUP(globalfreelancepreprocesseddata!A837,worksheet!A:P,12,FALSE)</f>
        <v>$ 75</v>
      </c>
      <c r="J837" s="5">
        <f>VLOOKUP(globalfreelancepreprocesseddata!A837,worksheet!A:P,13,FALSE)</f>
        <v>2.2999999999999998</v>
      </c>
      <c r="K837" s="5">
        <f>VLOOKUP(globalfreelancepreprocesseddata!A837,worksheet!A:P,14,FALSE)</f>
        <v>0</v>
      </c>
      <c r="L837" s="7">
        <f>VLOOKUP(globalfreelancepreprocesseddata!A837,worksheet!A:P,16,FALSE)</f>
        <v>0.16</v>
      </c>
    </row>
    <row r="838" spans="1:12" x14ac:dyDescent="0.35">
      <c r="A838" s="5" t="s">
        <v>1745</v>
      </c>
      <c r="B838" s="5" t="str">
        <f>VLOOKUP(globalfreelancepreprocesseddata!A838,worksheet!A:P,3,FALSE)</f>
        <v>Robin Ortiz</v>
      </c>
      <c r="C838" s="5" t="str">
        <f>VLOOKUP(globalfreelancepreprocesseddata!A838,worksheet!A:P,5,FALSE)</f>
        <v>Female</v>
      </c>
      <c r="D838" s="5">
        <f>VLOOKUP(globalfreelancepreprocesseddata!A838,worksheet!A:P,6,FALSE)</f>
        <v>36</v>
      </c>
      <c r="E838" s="5" t="str">
        <f>VLOOKUP(globalfreelancepreprocesseddata!A838,worksheet!A:P,7,FALSE)</f>
        <v>Netherlands</v>
      </c>
      <c r="F838" s="5" t="str">
        <f>VLOOKUP(globalfreelancepreprocesseddata!A838,worksheet!A:P,8,FALSE)</f>
        <v>Dutch</v>
      </c>
      <c r="G838" s="5" t="str">
        <f>VLOOKUP(globalfreelancepreprocesseddata!A838,worksheet!A:P,9,FALSE)</f>
        <v>AI</v>
      </c>
      <c r="H838" s="5">
        <f>VLOOKUP(globalfreelancepreprocesseddata!A838,worksheet!A:P,10,FALSE)</f>
        <v>8</v>
      </c>
      <c r="I838" s="6" t="str">
        <f>VLOOKUP(globalfreelancepreprocesseddata!A838,worksheet!A:P,12,FALSE)</f>
        <v>$ 40</v>
      </c>
      <c r="J838" s="5">
        <f>VLOOKUP(globalfreelancepreprocesseddata!A838,worksheet!A:P,13,FALSE)</f>
        <v>3</v>
      </c>
      <c r="K838" s="5">
        <f>VLOOKUP(globalfreelancepreprocesseddata!A838,worksheet!A:P,14,FALSE)</f>
        <v>0</v>
      </c>
      <c r="L838" s="7">
        <f>VLOOKUP(globalfreelancepreprocesseddata!A838,worksheet!A:P,16,FALSE)</f>
        <v>0.8</v>
      </c>
    </row>
    <row r="839" spans="1:12" x14ac:dyDescent="0.35">
      <c r="A839" s="5" t="s">
        <v>1747</v>
      </c>
      <c r="B839" s="5" t="str">
        <f>VLOOKUP(globalfreelancepreprocesseddata!A839,worksheet!A:P,3,FALSE)</f>
        <v>Adam Griffith</v>
      </c>
      <c r="C839" s="5" t="str">
        <f>VLOOKUP(globalfreelancepreprocesseddata!A839,worksheet!A:P,5,FALSE)</f>
        <v>Male</v>
      </c>
      <c r="D839" s="5">
        <f>VLOOKUP(globalfreelancepreprocesseddata!A839,worksheet!A:P,6,FALSE)</f>
        <v>51</v>
      </c>
      <c r="E839" s="5" t="str">
        <f>VLOOKUP(globalfreelancepreprocesseddata!A839,worksheet!A:P,7,FALSE)</f>
        <v>South Korea</v>
      </c>
      <c r="F839" s="5" t="str">
        <f>VLOOKUP(globalfreelancepreprocesseddata!A839,worksheet!A:P,8,FALSE)</f>
        <v>Korean</v>
      </c>
      <c r="G839" s="5" t="str">
        <f>VLOOKUP(globalfreelancepreprocesseddata!A839,worksheet!A:P,9,FALSE)</f>
        <v>Web Development</v>
      </c>
      <c r="H839" s="5">
        <f>VLOOKUP(globalfreelancepreprocesseddata!A839,worksheet!A:P,10,FALSE)</f>
        <v>32</v>
      </c>
      <c r="I839" s="6">
        <f>VLOOKUP(globalfreelancepreprocesseddata!A839,worksheet!A:P,12,FALSE)</f>
        <v>50</v>
      </c>
      <c r="J839" s="5">
        <f>VLOOKUP(globalfreelancepreprocesseddata!A839,worksheet!A:P,13,FALSE)</f>
        <v>3.2</v>
      </c>
      <c r="K839" s="5">
        <f>VLOOKUP(globalfreelancepreprocesseddata!A839,worksheet!A:P,14,FALSE)</f>
        <v>0</v>
      </c>
      <c r="L839" s="7">
        <f>VLOOKUP(globalfreelancepreprocesseddata!A839,worksheet!A:P,16,FALSE)</f>
        <v>0.88</v>
      </c>
    </row>
    <row r="840" spans="1:12" x14ac:dyDescent="0.35">
      <c r="A840" s="5" t="s">
        <v>1749</v>
      </c>
      <c r="B840" s="5" t="str">
        <f>VLOOKUP(globalfreelancepreprocesseddata!A840,worksheet!A:P,3,FALSE)</f>
        <v>Daniel Roberson</v>
      </c>
      <c r="C840" s="5" t="str">
        <f>VLOOKUP(globalfreelancepreprocesseddata!A840,worksheet!A:P,5,FALSE)</f>
        <v>Male</v>
      </c>
      <c r="D840" s="5">
        <f>VLOOKUP(globalfreelancepreprocesseddata!A840,worksheet!A:P,6,FALSE)</f>
        <v>44</v>
      </c>
      <c r="E840" s="5" t="str">
        <f>VLOOKUP(globalfreelancepreprocesseddata!A840,worksheet!A:P,7,FALSE)</f>
        <v>India</v>
      </c>
      <c r="F840" s="5" t="str">
        <f>VLOOKUP(globalfreelancepreprocesseddata!A840,worksheet!A:P,8,FALSE)</f>
        <v>Hindi</v>
      </c>
      <c r="G840" s="5" t="str">
        <f>VLOOKUP(globalfreelancepreprocesseddata!A840,worksheet!A:P,9,FALSE)</f>
        <v>UI/UX Design</v>
      </c>
      <c r="H840" s="5">
        <f>VLOOKUP(globalfreelancepreprocesseddata!A840,worksheet!A:P,10,FALSE)</f>
        <v>4</v>
      </c>
      <c r="I840" s="6" t="str">
        <f>VLOOKUP(globalfreelancepreprocesseddata!A840,worksheet!A:P,12,FALSE)</f>
        <v>$ 30</v>
      </c>
      <c r="J840" s="5">
        <f>VLOOKUP(globalfreelancepreprocesseddata!A840,worksheet!A:P,13,FALSE)</f>
        <v>0</v>
      </c>
      <c r="K840" s="5">
        <f>VLOOKUP(globalfreelancepreprocesseddata!A840,worksheet!A:P,14,FALSE)</f>
        <v>0</v>
      </c>
      <c r="L840" s="7">
        <f>VLOOKUP(globalfreelancepreprocesseddata!A840,worksheet!A:P,16,FALSE)</f>
        <v>0.8</v>
      </c>
    </row>
    <row r="841" spans="1:12" x14ac:dyDescent="0.35">
      <c r="A841" s="5" t="s">
        <v>1751</v>
      </c>
      <c r="B841" s="5" t="str">
        <f>VLOOKUP(globalfreelancepreprocesseddata!A841,worksheet!A:P,3,FALSE)</f>
        <v>Dale Haynes</v>
      </c>
      <c r="C841" s="5" t="str">
        <f>VLOOKUP(globalfreelancepreprocesseddata!A841,worksheet!A:P,5,FALSE)</f>
        <v>Male</v>
      </c>
      <c r="D841" s="5">
        <f>VLOOKUP(globalfreelancepreprocesseddata!A841,worksheet!A:P,6,FALSE)</f>
        <v>58</v>
      </c>
      <c r="E841" s="5" t="str">
        <f>VLOOKUP(globalfreelancepreprocesseddata!A841,worksheet!A:P,7,FALSE)</f>
        <v>Spain</v>
      </c>
      <c r="F841" s="5" t="str">
        <f>VLOOKUP(globalfreelancepreprocesseddata!A841,worksheet!A:P,8,FALSE)</f>
        <v>Spanish</v>
      </c>
      <c r="G841" s="5" t="str">
        <f>VLOOKUP(globalfreelancepreprocesseddata!A841,worksheet!A:P,9,FALSE)</f>
        <v>Cybersecurity</v>
      </c>
      <c r="H841" s="5">
        <f>VLOOKUP(globalfreelancepreprocesseddata!A841,worksheet!A:P,10,FALSE)</f>
        <v>33</v>
      </c>
      <c r="I841" s="6">
        <f>VLOOKUP(globalfreelancepreprocesseddata!A841,worksheet!A:P,12,FALSE)</f>
        <v>30</v>
      </c>
      <c r="J841" s="5">
        <f>VLOOKUP(globalfreelancepreprocesseddata!A841,worksheet!A:P,13,FALSE)</f>
        <v>3.3</v>
      </c>
      <c r="K841" s="5">
        <f>VLOOKUP(globalfreelancepreprocesseddata!A841,worksheet!A:P,14,FALSE)</f>
        <v>1</v>
      </c>
      <c r="L841" s="7">
        <f>VLOOKUP(globalfreelancepreprocesseddata!A841,worksheet!A:P,16,FALSE)</f>
        <v>0.71</v>
      </c>
    </row>
    <row r="842" spans="1:12" x14ac:dyDescent="0.35">
      <c r="A842" s="5" t="s">
        <v>1753</v>
      </c>
      <c r="B842" s="5" t="str">
        <f>VLOOKUP(globalfreelancepreprocesseddata!A842,worksheet!A:P,3,FALSE)</f>
        <v>Emily Scott</v>
      </c>
      <c r="C842" s="5" t="str">
        <f>VLOOKUP(globalfreelancepreprocesseddata!A842,worksheet!A:P,5,FALSE)</f>
        <v>Female</v>
      </c>
      <c r="D842" s="5">
        <f>VLOOKUP(globalfreelancepreprocesseddata!A842,worksheet!A:P,6,FALSE)</f>
        <v>38</v>
      </c>
      <c r="E842" s="5" t="str">
        <f>VLOOKUP(globalfreelancepreprocesseddata!A842,worksheet!A:P,7,FALSE)</f>
        <v>South Africa</v>
      </c>
      <c r="F842" s="5" t="str">
        <f>VLOOKUP(globalfreelancepreprocesseddata!A842,worksheet!A:P,8,FALSE)</f>
        <v>Afrikaans</v>
      </c>
      <c r="G842" s="5" t="str">
        <f>VLOOKUP(globalfreelancepreprocesseddata!A842,worksheet!A:P,9,FALSE)</f>
        <v>Mobile Apps</v>
      </c>
      <c r="H842" s="5">
        <f>VLOOKUP(globalfreelancepreprocesseddata!A842,worksheet!A:P,10,FALSE)</f>
        <v>14</v>
      </c>
      <c r="I842" s="6">
        <f>VLOOKUP(globalfreelancepreprocesseddata!A842,worksheet!A:P,12,FALSE)</f>
        <v>40</v>
      </c>
      <c r="J842" s="5">
        <f>VLOOKUP(globalfreelancepreprocesseddata!A842,worksheet!A:P,13,FALSE)</f>
        <v>1.1000000000000001</v>
      </c>
      <c r="K842" s="5">
        <f>VLOOKUP(globalfreelancepreprocesseddata!A842,worksheet!A:P,14,FALSE)</f>
        <v>1</v>
      </c>
      <c r="L842" s="7">
        <f>VLOOKUP(globalfreelancepreprocesseddata!A842,worksheet!A:P,16,FALSE)</f>
        <v>0.76</v>
      </c>
    </row>
    <row r="843" spans="1:12" x14ac:dyDescent="0.35">
      <c r="A843" s="5" t="s">
        <v>1755</v>
      </c>
      <c r="B843" s="5" t="str">
        <f>VLOOKUP(globalfreelancepreprocesseddata!A843,worksheet!A:P,3,FALSE)</f>
        <v>David Brown</v>
      </c>
      <c r="C843" s="5" t="str">
        <f>VLOOKUP(globalfreelancepreprocesseddata!A843,worksheet!A:P,5,FALSE)</f>
        <v>Male</v>
      </c>
      <c r="D843" s="5">
        <f>VLOOKUP(globalfreelancepreprocesseddata!A843,worksheet!A:P,6,FALSE)</f>
        <v>24</v>
      </c>
      <c r="E843" s="5" t="str">
        <f>VLOOKUP(globalfreelancepreprocesseddata!A843,worksheet!A:P,7,FALSE)</f>
        <v>United States</v>
      </c>
      <c r="F843" s="5" t="str">
        <f>VLOOKUP(globalfreelancepreprocesseddata!A843,worksheet!A:P,8,FALSE)</f>
        <v>English</v>
      </c>
      <c r="G843" s="5" t="str">
        <f>VLOOKUP(globalfreelancepreprocesseddata!A843,worksheet!A:P,9,FALSE)</f>
        <v>UI/UX Design</v>
      </c>
      <c r="H843" s="5">
        <f>VLOOKUP(globalfreelancepreprocesseddata!A843,worksheet!A:P,10,FALSE)</f>
        <v>6</v>
      </c>
      <c r="I843" s="6" t="str">
        <f>VLOOKUP(globalfreelancepreprocesseddata!A843,worksheet!A:P,12,FALSE)</f>
        <v>$ 30</v>
      </c>
      <c r="J843" s="5">
        <f>VLOOKUP(globalfreelancepreprocesseddata!A843,worksheet!A:P,13,FALSE)</f>
        <v>4.5999999999999996</v>
      </c>
      <c r="K843" s="5">
        <f>VLOOKUP(globalfreelancepreprocesseddata!A843,worksheet!A:P,14,FALSE)</f>
        <v>1</v>
      </c>
      <c r="L843" s="7">
        <f>VLOOKUP(globalfreelancepreprocesseddata!A843,worksheet!A:P,16,FALSE)</f>
        <v>0.93</v>
      </c>
    </row>
    <row r="844" spans="1:12" x14ac:dyDescent="0.35">
      <c r="A844" s="5" t="s">
        <v>1757</v>
      </c>
      <c r="B844" s="5" t="str">
        <f>VLOOKUP(globalfreelancepreprocesseddata!A844,worksheet!A:P,3,FALSE)</f>
        <v>Stephanie Guzman</v>
      </c>
      <c r="C844" s="5" t="str">
        <f>VLOOKUP(globalfreelancepreprocesseddata!A844,worksheet!A:P,5,FALSE)</f>
        <v>Female</v>
      </c>
      <c r="D844" s="5">
        <f>VLOOKUP(globalfreelancepreprocesseddata!A844,worksheet!A:P,6,FALSE)</f>
        <v>30</v>
      </c>
      <c r="E844" s="5" t="str">
        <f>VLOOKUP(globalfreelancepreprocesseddata!A844,worksheet!A:P,7,FALSE)</f>
        <v>Turkey</v>
      </c>
      <c r="F844" s="5" t="str">
        <f>VLOOKUP(globalfreelancepreprocesseddata!A844,worksheet!A:P,8,FALSE)</f>
        <v>Turkish</v>
      </c>
      <c r="G844" s="5" t="str">
        <f>VLOOKUP(globalfreelancepreprocesseddata!A844,worksheet!A:P,9,FALSE)</f>
        <v>Blockchain Development</v>
      </c>
      <c r="H844" s="5">
        <f>VLOOKUP(globalfreelancepreprocesseddata!A844,worksheet!A:P,10,FALSE)</f>
        <v>5</v>
      </c>
      <c r="I844" s="6" t="str">
        <f>VLOOKUP(globalfreelancepreprocesseddata!A844,worksheet!A:P,12,FALSE)</f>
        <v>$ 30</v>
      </c>
      <c r="J844" s="5">
        <f>VLOOKUP(globalfreelancepreprocesseddata!A844,worksheet!A:P,13,FALSE)</f>
        <v>3</v>
      </c>
      <c r="K844" s="5">
        <f>VLOOKUP(globalfreelancepreprocesseddata!A844,worksheet!A:P,14,FALSE)</f>
        <v>0</v>
      </c>
      <c r="L844" s="7">
        <f>VLOOKUP(globalfreelancepreprocesseddata!A844,worksheet!A:P,16,FALSE)</f>
        <v>0.16</v>
      </c>
    </row>
    <row r="845" spans="1:12" x14ac:dyDescent="0.35">
      <c r="A845" s="5" t="s">
        <v>1759</v>
      </c>
      <c r="B845" s="5" t="str">
        <f>VLOOKUP(globalfreelancepreprocesseddata!A845,worksheet!A:P,3,FALSE)</f>
        <v>Maxwell Johnson</v>
      </c>
      <c r="C845" s="5" t="str">
        <f>VLOOKUP(globalfreelancepreprocesseddata!A845,worksheet!A:P,5,FALSE)</f>
        <v>Male</v>
      </c>
      <c r="D845" s="5">
        <f>VLOOKUP(globalfreelancepreprocesseddata!A845,worksheet!A:P,6,FALSE)</f>
        <v>25</v>
      </c>
      <c r="E845" s="5" t="str">
        <f>VLOOKUP(globalfreelancepreprocesseddata!A845,worksheet!A:P,7,FALSE)</f>
        <v>Indonesia</v>
      </c>
      <c r="F845" s="5" t="str">
        <f>VLOOKUP(globalfreelancepreprocesseddata!A845,worksheet!A:P,8,FALSE)</f>
        <v>Indonesian</v>
      </c>
      <c r="G845" s="5" t="str">
        <f>VLOOKUP(globalfreelancepreprocesseddata!A845,worksheet!A:P,9,FALSE)</f>
        <v>Cybersecurity</v>
      </c>
      <c r="H845" s="5">
        <f>VLOOKUP(globalfreelancepreprocesseddata!A845,worksheet!A:P,10,FALSE)</f>
        <v>3</v>
      </c>
      <c r="I845" s="6">
        <f>VLOOKUP(globalfreelancepreprocesseddata!A845,worksheet!A:P,12,FALSE)</f>
        <v>75</v>
      </c>
      <c r="J845" s="5">
        <f>VLOOKUP(globalfreelancepreprocesseddata!A845,worksheet!A:P,13,FALSE)</f>
        <v>3</v>
      </c>
      <c r="K845" s="5">
        <f>VLOOKUP(globalfreelancepreprocesseddata!A845,worksheet!A:P,14,FALSE)</f>
        <v>0</v>
      </c>
      <c r="L845" s="7">
        <f>VLOOKUP(globalfreelancepreprocesseddata!A845,worksheet!A:P,16,FALSE)</f>
        <v>0.83</v>
      </c>
    </row>
    <row r="846" spans="1:12" x14ac:dyDescent="0.35">
      <c r="A846" s="5" t="s">
        <v>1761</v>
      </c>
      <c r="B846" s="5" t="str">
        <f>VLOOKUP(globalfreelancepreprocesseddata!A846,worksheet!A:P,3,FALSE)</f>
        <v>Reginald Stephens</v>
      </c>
      <c r="C846" s="5" t="str">
        <f>VLOOKUP(globalfreelancepreprocesseddata!A846,worksheet!A:P,5,FALSE)</f>
        <v>Male</v>
      </c>
      <c r="D846" s="5">
        <f>VLOOKUP(globalfreelancepreprocesseddata!A846,worksheet!A:P,6,FALSE)</f>
        <v>54</v>
      </c>
      <c r="E846" s="5" t="str">
        <f>VLOOKUP(globalfreelancepreprocesseddata!A846,worksheet!A:P,7,FALSE)</f>
        <v>Indonesia</v>
      </c>
      <c r="F846" s="5" t="str">
        <f>VLOOKUP(globalfreelancepreprocesseddata!A846,worksheet!A:P,8,FALSE)</f>
        <v>Indonesian</v>
      </c>
      <c r="G846" s="5" t="str">
        <f>VLOOKUP(globalfreelancepreprocesseddata!A846,worksheet!A:P,9,FALSE)</f>
        <v>Mobile Apps</v>
      </c>
      <c r="H846" s="5">
        <f>VLOOKUP(globalfreelancepreprocesseddata!A846,worksheet!A:P,10,FALSE)</f>
        <v>17</v>
      </c>
      <c r="I846" s="6">
        <f>VLOOKUP(globalfreelancepreprocesseddata!A846,worksheet!A:P,12,FALSE)</f>
        <v>100</v>
      </c>
      <c r="J846" s="5">
        <f>VLOOKUP(globalfreelancepreprocesseddata!A846,worksheet!A:P,13,FALSE)</f>
        <v>0</v>
      </c>
      <c r="K846" s="5">
        <f>VLOOKUP(globalfreelancepreprocesseddata!A846,worksheet!A:P,14,FALSE)</f>
        <v>0</v>
      </c>
      <c r="L846" s="7">
        <f>VLOOKUP(globalfreelancepreprocesseddata!A846,worksheet!A:P,16,FALSE)</f>
        <v>0.71</v>
      </c>
    </row>
    <row r="847" spans="1:12" x14ac:dyDescent="0.35">
      <c r="A847" s="5" t="s">
        <v>1763</v>
      </c>
      <c r="B847" s="5" t="str">
        <f>VLOOKUP(globalfreelancepreprocesseddata!A847,worksheet!A:P,3,FALSE)</f>
        <v>Justin Jones</v>
      </c>
      <c r="C847" s="5" t="str">
        <f>VLOOKUP(globalfreelancepreprocesseddata!A847,worksheet!A:P,5,FALSE)</f>
        <v>Male</v>
      </c>
      <c r="D847" s="5">
        <f>VLOOKUP(globalfreelancepreprocesseddata!A847,worksheet!A:P,6,FALSE)</f>
        <v>54</v>
      </c>
      <c r="E847" s="5" t="str">
        <f>VLOOKUP(globalfreelancepreprocesseddata!A847,worksheet!A:P,7,FALSE)</f>
        <v>Italy</v>
      </c>
      <c r="F847" s="5" t="str">
        <f>VLOOKUP(globalfreelancepreprocesseddata!A847,worksheet!A:P,8,FALSE)</f>
        <v>Italian</v>
      </c>
      <c r="G847" s="5" t="str">
        <f>VLOOKUP(globalfreelancepreprocesseddata!A847,worksheet!A:P,9,FALSE)</f>
        <v>Cybersecurity</v>
      </c>
      <c r="H847" s="5">
        <f>VLOOKUP(globalfreelancepreprocesseddata!A847,worksheet!A:P,10,FALSE)</f>
        <v>9</v>
      </c>
      <c r="I847" s="6" t="str">
        <f>VLOOKUP(globalfreelancepreprocesseddata!A847,worksheet!A:P,12,FALSE)</f>
        <v>$ 20</v>
      </c>
      <c r="J847" s="5">
        <f>VLOOKUP(globalfreelancepreprocesseddata!A847,worksheet!A:P,13,FALSE)</f>
        <v>0</v>
      </c>
      <c r="K847" s="5">
        <f>VLOOKUP(globalfreelancepreprocesseddata!A847,worksheet!A:P,14,FALSE)</f>
        <v>1</v>
      </c>
      <c r="L847" s="7">
        <f>VLOOKUP(globalfreelancepreprocesseddata!A847,worksheet!A:P,16,FALSE)</f>
        <v>0.96</v>
      </c>
    </row>
    <row r="848" spans="1:12" x14ac:dyDescent="0.35">
      <c r="A848" s="5" t="s">
        <v>1765</v>
      </c>
      <c r="B848" s="5" t="str">
        <f>VLOOKUP(globalfreelancepreprocesseddata!A848,worksheet!A:P,3,FALSE)</f>
        <v>Kristine Garcia</v>
      </c>
      <c r="C848" s="5" t="str">
        <f>VLOOKUP(globalfreelancepreprocesseddata!A848,worksheet!A:P,5,FALSE)</f>
        <v>Female</v>
      </c>
      <c r="D848" s="5">
        <f>VLOOKUP(globalfreelancepreprocesseddata!A848,worksheet!A:P,6,FALSE)</f>
        <v>53</v>
      </c>
      <c r="E848" s="5" t="str">
        <f>VLOOKUP(globalfreelancepreprocesseddata!A848,worksheet!A:P,7,FALSE)</f>
        <v>France</v>
      </c>
      <c r="F848" s="5" t="str">
        <f>VLOOKUP(globalfreelancepreprocesseddata!A848,worksheet!A:P,8,FALSE)</f>
        <v>French</v>
      </c>
      <c r="G848" s="5" t="str">
        <f>VLOOKUP(globalfreelancepreprocesseddata!A848,worksheet!A:P,9,FALSE)</f>
        <v>Graphic Design</v>
      </c>
      <c r="H848" s="5">
        <f>VLOOKUP(globalfreelancepreprocesseddata!A848,worksheet!A:P,10,FALSE)</f>
        <v>16</v>
      </c>
      <c r="I848" s="6">
        <f>VLOOKUP(globalfreelancepreprocesseddata!A848,worksheet!A:P,12,FALSE)</f>
        <v>40</v>
      </c>
      <c r="J848" s="5">
        <f>VLOOKUP(globalfreelancepreprocesseddata!A848,worksheet!A:P,13,FALSE)</f>
        <v>0</v>
      </c>
      <c r="K848" s="5">
        <f>VLOOKUP(globalfreelancepreprocesseddata!A848,worksheet!A:P,14,FALSE)</f>
        <v>1</v>
      </c>
      <c r="L848" s="7">
        <f>VLOOKUP(globalfreelancepreprocesseddata!A848,worksheet!A:P,16,FALSE)</f>
        <v>0.16</v>
      </c>
    </row>
    <row r="849" spans="1:12" x14ac:dyDescent="0.35">
      <c r="A849" s="5" t="s">
        <v>1767</v>
      </c>
      <c r="B849" s="5" t="str">
        <f>VLOOKUP(globalfreelancepreprocesseddata!A849,worksheet!A:P,3,FALSE)</f>
        <v>John Nguyen</v>
      </c>
      <c r="C849" s="5" t="str">
        <f>VLOOKUP(globalfreelancepreprocesseddata!A849,worksheet!A:P,5,FALSE)</f>
        <v>Male</v>
      </c>
      <c r="D849" s="5">
        <f>VLOOKUP(globalfreelancepreprocesseddata!A849,worksheet!A:P,6,FALSE)</f>
        <v>22</v>
      </c>
      <c r="E849" s="5" t="str">
        <f>VLOOKUP(globalfreelancepreprocesseddata!A849,worksheet!A:P,7,FALSE)</f>
        <v>Russia</v>
      </c>
      <c r="F849" s="5" t="str">
        <f>VLOOKUP(globalfreelancepreprocesseddata!A849,worksheet!A:P,8,FALSE)</f>
        <v>Russian</v>
      </c>
      <c r="G849" s="5" t="str">
        <f>VLOOKUP(globalfreelancepreprocesseddata!A849,worksheet!A:P,9,FALSE)</f>
        <v>AI</v>
      </c>
      <c r="H849" s="5">
        <f>VLOOKUP(globalfreelancepreprocesseddata!A849,worksheet!A:P,10,FALSE)</f>
        <v>3</v>
      </c>
      <c r="I849" s="6">
        <f>VLOOKUP(globalfreelancepreprocesseddata!A849,worksheet!A:P,12,FALSE)</f>
        <v>75</v>
      </c>
      <c r="J849" s="5">
        <f>VLOOKUP(globalfreelancepreprocesseddata!A849,worksheet!A:P,13,FALSE)</f>
        <v>3.4</v>
      </c>
      <c r="K849" s="5">
        <f>VLOOKUP(globalfreelancepreprocesseddata!A849,worksheet!A:P,14,FALSE)</f>
        <v>1</v>
      </c>
      <c r="L849" s="7">
        <f>VLOOKUP(globalfreelancepreprocesseddata!A849,worksheet!A:P,16,FALSE)</f>
        <v>0.65</v>
      </c>
    </row>
    <row r="850" spans="1:12" x14ac:dyDescent="0.35">
      <c r="A850" s="5" t="s">
        <v>1769</v>
      </c>
      <c r="B850" s="5" t="str">
        <f>VLOOKUP(globalfreelancepreprocesseddata!A850,worksheet!A:P,3,FALSE)</f>
        <v>Anna Fleming</v>
      </c>
      <c r="C850" s="5" t="str">
        <f>VLOOKUP(globalfreelancepreprocesseddata!A850,worksheet!A:P,5,FALSE)</f>
        <v>Female</v>
      </c>
      <c r="D850" s="5">
        <f>VLOOKUP(globalfreelancepreprocesseddata!A850,worksheet!A:P,6,FALSE)</f>
        <v>23</v>
      </c>
      <c r="E850" s="5" t="str">
        <f>VLOOKUP(globalfreelancepreprocesseddata!A850,worksheet!A:P,7,FALSE)</f>
        <v>Mexico</v>
      </c>
      <c r="F850" s="5" t="str">
        <f>VLOOKUP(globalfreelancepreprocesseddata!A850,worksheet!A:P,8,FALSE)</f>
        <v>Spanish</v>
      </c>
      <c r="G850" s="5" t="str">
        <f>VLOOKUP(globalfreelancepreprocesseddata!A850,worksheet!A:P,9,FALSE)</f>
        <v>Data Analysis</v>
      </c>
      <c r="H850" s="5">
        <f>VLOOKUP(globalfreelancepreprocesseddata!A850,worksheet!A:P,10,FALSE)</f>
        <v>2</v>
      </c>
      <c r="I850" s="6" t="str">
        <f>VLOOKUP(globalfreelancepreprocesseddata!A850,worksheet!A:P,12,FALSE)</f>
        <v>$ 20</v>
      </c>
      <c r="J850" s="5">
        <f>VLOOKUP(globalfreelancepreprocesseddata!A850,worksheet!A:P,13,FALSE)</f>
        <v>1.3</v>
      </c>
      <c r="K850" s="5">
        <f>VLOOKUP(globalfreelancepreprocesseddata!A850,worksheet!A:P,14,FALSE)</f>
        <v>0</v>
      </c>
      <c r="L850" s="7">
        <f>VLOOKUP(globalfreelancepreprocesseddata!A850,worksheet!A:P,16,FALSE)</f>
        <v>0.16</v>
      </c>
    </row>
    <row r="851" spans="1:12" x14ac:dyDescent="0.35">
      <c r="A851" s="5" t="s">
        <v>1771</v>
      </c>
      <c r="B851" s="5" t="str">
        <f>VLOOKUP(globalfreelancepreprocesseddata!A851,worksheet!A:P,3,FALSE)</f>
        <v>Linda Williamson</v>
      </c>
      <c r="C851" s="5" t="str">
        <f>VLOOKUP(globalfreelancepreprocesseddata!A851,worksheet!A:P,5,FALSE)</f>
        <v>Female</v>
      </c>
      <c r="D851" s="5">
        <f>VLOOKUP(globalfreelancepreprocesseddata!A851,worksheet!A:P,6,FALSE)</f>
        <v>47</v>
      </c>
      <c r="E851" s="5" t="str">
        <f>VLOOKUP(globalfreelancepreprocesseddata!A851,worksheet!A:P,7,FALSE)</f>
        <v>France</v>
      </c>
      <c r="F851" s="5" t="str">
        <f>VLOOKUP(globalfreelancepreprocesseddata!A851,worksheet!A:P,8,FALSE)</f>
        <v>French</v>
      </c>
      <c r="G851" s="5" t="str">
        <f>VLOOKUP(globalfreelancepreprocesseddata!A851,worksheet!A:P,9,FALSE)</f>
        <v>Cybersecurity</v>
      </c>
      <c r="H851" s="5">
        <f>VLOOKUP(globalfreelancepreprocesseddata!A851,worksheet!A:P,10,FALSE)</f>
        <v>16</v>
      </c>
      <c r="I851" s="6">
        <f>VLOOKUP(globalfreelancepreprocesseddata!A851,worksheet!A:P,12,FALSE)</f>
        <v>50</v>
      </c>
      <c r="J851" s="5">
        <f>VLOOKUP(globalfreelancepreprocesseddata!A851,worksheet!A:P,13,FALSE)</f>
        <v>1.9</v>
      </c>
      <c r="K851" s="5">
        <f>VLOOKUP(globalfreelancepreprocesseddata!A851,worksheet!A:P,14,FALSE)</f>
        <v>0</v>
      </c>
      <c r="L851" s="7">
        <f>VLOOKUP(globalfreelancepreprocesseddata!A851,worksheet!A:P,16,FALSE)</f>
        <v>0.71</v>
      </c>
    </row>
    <row r="852" spans="1:12" x14ac:dyDescent="0.35">
      <c r="A852" s="5" t="s">
        <v>1773</v>
      </c>
      <c r="B852" s="5" t="str">
        <f>VLOOKUP(globalfreelancepreprocesseddata!A852,worksheet!A:P,3,FALSE)</f>
        <v>Roy Wilson</v>
      </c>
      <c r="C852" s="5" t="str">
        <f>VLOOKUP(globalfreelancepreprocesseddata!A852,worksheet!A:P,5,FALSE)</f>
        <v>Male</v>
      </c>
      <c r="D852" s="5">
        <f>VLOOKUP(globalfreelancepreprocesseddata!A852,worksheet!A:P,6,FALSE)</f>
        <v>24</v>
      </c>
      <c r="E852" s="5" t="str">
        <f>VLOOKUP(globalfreelancepreprocesseddata!A852,worksheet!A:P,7,FALSE)</f>
        <v>France</v>
      </c>
      <c r="F852" s="5" t="str">
        <f>VLOOKUP(globalfreelancepreprocesseddata!A852,worksheet!A:P,8,FALSE)</f>
        <v>French</v>
      </c>
      <c r="G852" s="5" t="str">
        <f>VLOOKUP(globalfreelancepreprocesseddata!A852,worksheet!A:P,9,FALSE)</f>
        <v>Web Development</v>
      </c>
      <c r="H852" s="5">
        <f>VLOOKUP(globalfreelancepreprocesseddata!A852,worksheet!A:P,10,FALSE)</f>
        <v>6</v>
      </c>
      <c r="I852" s="6">
        <f>VLOOKUP(globalfreelancepreprocesseddata!A852,worksheet!A:P,12,FALSE)</f>
        <v>50</v>
      </c>
      <c r="J852" s="5">
        <f>VLOOKUP(globalfreelancepreprocesseddata!A852,worksheet!A:P,13,FALSE)</f>
        <v>1.4</v>
      </c>
      <c r="K852" s="5">
        <f>VLOOKUP(globalfreelancepreprocesseddata!A852,worksheet!A:P,14,FALSE)</f>
        <v>1</v>
      </c>
      <c r="L852" s="7">
        <f>VLOOKUP(globalfreelancepreprocesseddata!A852,worksheet!A:P,16,FALSE)</f>
        <v>0.63</v>
      </c>
    </row>
    <row r="853" spans="1:12" x14ac:dyDescent="0.35">
      <c r="A853" s="5" t="s">
        <v>1775</v>
      </c>
      <c r="B853" s="5" t="str">
        <f>VLOOKUP(globalfreelancepreprocesseddata!A853,worksheet!A:P,3,FALSE)</f>
        <v>Jennifer Pierce</v>
      </c>
      <c r="C853" s="5" t="str">
        <f>VLOOKUP(globalfreelancepreprocesseddata!A853,worksheet!A:P,5,FALSE)</f>
        <v>Female</v>
      </c>
      <c r="D853" s="5">
        <f>VLOOKUP(globalfreelancepreprocesseddata!A853,worksheet!A:P,6,FALSE)</f>
        <v>57</v>
      </c>
      <c r="E853" s="5" t="str">
        <f>VLOOKUP(globalfreelancepreprocesseddata!A853,worksheet!A:P,7,FALSE)</f>
        <v>India</v>
      </c>
      <c r="F853" s="5" t="str">
        <f>VLOOKUP(globalfreelancepreprocesseddata!A853,worksheet!A:P,8,FALSE)</f>
        <v>Hindi</v>
      </c>
      <c r="G853" s="5" t="str">
        <f>VLOOKUP(globalfreelancepreprocesseddata!A853,worksheet!A:P,9,FALSE)</f>
        <v>UI/UX Design</v>
      </c>
      <c r="H853" s="5">
        <f>VLOOKUP(globalfreelancepreprocesseddata!A853,worksheet!A:P,10,FALSE)</f>
        <v>10</v>
      </c>
      <c r="I853" s="6">
        <f>VLOOKUP(globalfreelancepreprocesseddata!A853,worksheet!A:P,12,FALSE)</f>
        <v>100</v>
      </c>
      <c r="J853" s="5">
        <f>VLOOKUP(globalfreelancepreprocesseddata!A853,worksheet!A:P,13,FALSE)</f>
        <v>4.3</v>
      </c>
      <c r="K853" s="5">
        <f>VLOOKUP(globalfreelancepreprocesseddata!A853,worksheet!A:P,14,FALSE)</f>
        <v>0</v>
      </c>
      <c r="L853" s="7">
        <f>VLOOKUP(globalfreelancepreprocesseddata!A853,worksheet!A:P,16,FALSE)</f>
        <v>0.16</v>
      </c>
    </row>
    <row r="854" spans="1:12" x14ac:dyDescent="0.35">
      <c r="A854" s="5" t="s">
        <v>1777</v>
      </c>
      <c r="B854" s="5" t="str">
        <f>VLOOKUP(globalfreelancepreprocesseddata!A854,worksheet!A:P,3,FALSE)</f>
        <v>Jason Johnson</v>
      </c>
      <c r="C854" s="5" t="str">
        <f>VLOOKUP(globalfreelancepreprocesseddata!A854,worksheet!A:P,5,FALSE)</f>
        <v>Male</v>
      </c>
      <c r="D854" s="5">
        <f>VLOOKUP(globalfreelancepreprocesseddata!A854,worksheet!A:P,6,FALSE)</f>
        <v>48</v>
      </c>
      <c r="E854" s="5" t="str">
        <f>VLOOKUP(globalfreelancepreprocesseddata!A854,worksheet!A:P,7,FALSE)</f>
        <v>Spain</v>
      </c>
      <c r="F854" s="5" t="str">
        <f>VLOOKUP(globalfreelancepreprocesseddata!A854,worksheet!A:P,8,FALSE)</f>
        <v>Spanish</v>
      </c>
      <c r="G854" s="5" t="str">
        <f>VLOOKUP(globalfreelancepreprocesseddata!A854,worksheet!A:P,9,FALSE)</f>
        <v>Graphic Design</v>
      </c>
      <c r="H854" s="5">
        <f>VLOOKUP(globalfreelancepreprocesseddata!A854,worksheet!A:P,10,FALSE)</f>
        <v>16</v>
      </c>
      <c r="I854" s="6">
        <f>VLOOKUP(globalfreelancepreprocesseddata!A854,worksheet!A:P,12,FALSE)</f>
        <v>30</v>
      </c>
      <c r="J854" s="5">
        <f>VLOOKUP(globalfreelancepreprocesseddata!A854,worksheet!A:P,13,FALSE)</f>
        <v>3</v>
      </c>
      <c r="K854" s="5">
        <f>VLOOKUP(globalfreelancepreprocesseddata!A854,worksheet!A:P,14,FALSE)</f>
        <v>1</v>
      </c>
      <c r="L854" s="7">
        <f>VLOOKUP(globalfreelancepreprocesseddata!A854,worksheet!A:P,16,FALSE)</f>
        <v>0.97</v>
      </c>
    </row>
    <row r="855" spans="1:12" x14ac:dyDescent="0.35">
      <c r="A855" s="5" t="s">
        <v>1779</v>
      </c>
      <c r="B855" s="5" t="str">
        <f>VLOOKUP(globalfreelancepreprocesseddata!A855,worksheet!A:P,3,FALSE)</f>
        <v>Jasmine Lane</v>
      </c>
      <c r="C855" s="5" t="str">
        <f>VLOOKUP(globalfreelancepreprocesseddata!A855,worksheet!A:P,5,FALSE)</f>
        <v>Female</v>
      </c>
      <c r="D855" s="5">
        <f>VLOOKUP(globalfreelancepreprocesseddata!A855,worksheet!A:P,6,FALSE)</f>
        <v>21</v>
      </c>
      <c r="E855" s="5" t="str">
        <f>VLOOKUP(globalfreelancepreprocesseddata!A855,worksheet!A:P,7,FALSE)</f>
        <v>Turkey</v>
      </c>
      <c r="F855" s="5" t="str">
        <f>VLOOKUP(globalfreelancepreprocesseddata!A855,worksheet!A:P,8,FALSE)</f>
        <v>Turkish</v>
      </c>
      <c r="G855" s="5" t="str">
        <f>VLOOKUP(globalfreelancepreprocesseddata!A855,worksheet!A:P,9,FALSE)</f>
        <v>UI/UX Design</v>
      </c>
      <c r="H855" s="5">
        <f>VLOOKUP(globalfreelancepreprocesseddata!A855,worksheet!A:P,10,FALSE)</f>
        <v>11</v>
      </c>
      <c r="I855" s="6">
        <f>VLOOKUP(globalfreelancepreprocesseddata!A855,worksheet!A:P,12,FALSE)</f>
        <v>100</v>
      </c>
      <c r="J855" s="5">
        <f>VLOOKUP(globalfreelancepreprocesseddata!A855,worksheet!A:P,13,FALSE)</f>
        <v>4.3</v>
      </c>
      <c r="K855" s="5">
        <f>VLOOKUP(globalfreelancepreprocesseddata!A855,worksheet!A:P,14,FALSE)</f>
        <v>0</v>
      </c>
      <c r="L855" s="7">
        <f>VLOOKUP(globalfreelancepreprocesseddata!A855,worksheet!A:P,16,FALSE)</f>
        <v>0.16</v>
      </c>
    </row>
    <row r="856" spans="1:12" x14ac:dyDescent="0.35">
      <c r="A856" s="5" t="s">
        <v>1781</v>
      </c>
      <c r="B856" s="5" t="str">
        <f>VLOOKUP(globalfreelancepreprocesseddata!A856,worksheet!A:P,3,FALSE)</f>
        <v>Evan Soto</v>
      </c>
      <c r="C856" s="5" t="str">
        <f>VLOOKUP(globalfreelancepreprocesseddata!A856,worksheet!A:P,5,FALSE)</f>
        <v>Male</v>
      </c>
      <c r="D856" s="5">
        <f>VLOOKUP(globalfreelancepreprocesseddata!A856,worksheet!A:P,6,FALSE)</f>
        <v>33</v>
      </c>
      <c r="E856" s="5" t="str">
        <f>VLOOKUP(globalfreelancepreprocesseddata!A856,worksheet!A:P,7,FALSE)</f>
        <v>Japan</v>
      </c>
      <c r="F856" s="5" t="str">
        <f>VLOOKUP(globalfreelancepreprocesseddata!A856,worksheet!A:P,8,FALSE)</f>
        <v>Japanese</v>
      </c>
      <c r="G856" s="5" t="str">
        <f>VLOOKUP(globalfreelancepreprocesseddata!A856,worksheet!A:P,9,FALSE)</f>
        <v>AI</v>
      </c>
      <c r="H856" s="5">
        <f>VLOOKUP(globalfreelancepreprocesseddata!A856,worksheet!A:P,10,FALSE)</f>
        <v>13</v>
      </c>
      <c r="I856" s="6" t="str">
        <f>VLOOKUP(globalfreelancepreprocesseddata!A856,worksheet!A:P,12,FALSE)</f>
        <v>$ 75</v>
      </c>
      <c r="J856" s="5">
        <f>VLOOKUP(globalfreelancepreprocesseddata!A856,worksheet!A:P,13,FALSE)</f>
        <v>0</v>
      </c>
      <c r="K856" s="5">
        <f>VLOOKUP(globalfreelancepreprocesseddata!A856,worksheet!A:P,14,FALSE)</f>
        <v>1</v>
      </c>
      <c r="L856" s="7">
        <f>VLOOKUP(globalfreelancepreprocesseddata!A856,worksheet!A:P,16,FALSE)</f>
        <v>0.16</v>
      </c>
    </row>
    <row r="857" spans="1:12" x14ac:dyDescent="0.35">
      <c r="A857" s="5" t="s">
        <v>1783</v>
      </c>
      <c r="B857" s="5" t="str">
        <f>VLOOKUP(globalfreelancepreprocesseddata!A857,worksheet!A:P,3,FALSE)</f>
        <v>Kevin Serrano</v>
      </c>
      <c r="C857" s="5" t="str">
        <f>VLOOKUP(globalfreelancepreprocesseddata!A857,worksheet!A:P,5,FALSE)</f>
        <v>Male</v>
      </c>
      <c r="D857" s="5">
        <f>VLOOKUP(globalfreelancepreprocesseddata!A857,worksheet!A:P,6,FALSE)</f>
        <v>41</v>
      </c>
      <c r="E857" s="5" t="str">
        <f>VLOOKUP(globalfreelancepreprocesseddata!A857,worksheet!A:P,7,FALSE)</f>
        <v>Turkey</v>
      </c>
      <c r="F857" s="5" t="str">
        <f>VLOOKUP(globalfreelancepreprocesseddata!A857,worksheet!A:P,8,FALSE)</f>
        <v>Turkish</v>
      </c>
      <c r="G857" s="5" t="str">
        <f>VLOOKUP(globalfreelancepreprocesseddata!A857,worksheet!A:P,9,FALSE)</f>
        <v>DevOps</v>
      </c>
      <c r="H857" s="5">
        <f>VLOOKUP(globalfreelancepreprocesseddata!A857,worksheet!A:P,10,FALSE)</f>
        <v>12</v>
      </c>
      <c r="I857" s="6">
        <f>VLOOKUP(globalfreelancepreprocesseddata!A857,worksheet!A:P,12,FALSE)</f>
        <v>40</v>
      </c>
      <c r="J857" s="5">
        <f>VLOOKUP(globalfreelancepreprocesseddata!A857,worksheet!A:P,13,FALSE)</f>
        <v>1.3</v>
      </c>
      <c r="K857" s="5">
        <f>VLOOKUP(globalfreelancepreprocesseddata!A857,worksheet!A:P,14,FALSE)</f>
        <v>0</v>
      </c>
      <c r="L857" s="7">
        <f>VLOOKUP(globalfreelancepreprocesseddata!A857,worksheet!A:P,16,FALSE)</f>
        <v>0.85</v>
      </c>
    </row>
    <row r="858" spans="1:12" x14ac:dyDescent="0.35">
      <c r="A858" s="5" t="s">
        <v>1785</v>
      </c>
      <c r="B858" s="5" t="str">
        <f>VLOOKUP(globalfreelancepreprocesseddata!A858,worksheet!A:P,3,FALSE)</f>
        <v>Nathaniel Benson</v>
      </c>
      <c r="C858" s="5" t="str">
        <f>VLOOKUP(globalfreelancepreprocesseddata!A858,worksheet!A:P,5,FALSE)</f>
        <v>Male</v>
      </c>
      <c r="D858" s="5">
        <f>VLOOKUP(globalfreelancepreprocesseddata!A858,worksheet!A:P,6,FALSE)</f>
        <v>40</v>
      </c>
      <c r="E858" s="5" t="str">
        <f>VLOOKUP(globalfreelancepreprocesseddata!A858,worksheet!A:P,7,FALSE)</f>
        <v>Australia</v>
      </c>
      <c r="F858" s="5" t="str">
        <f>VLOOKUP(globalfreelancepreprocesseddata!A858,worksheet!A:P,8,FALSE)</f>
        <v>English</v>
      </c>
      <c r="G858" s="5" t="str">
        <f>VLOOKUP(globalfreelancepreprocesseddata!A858,worksheet!A:P,9,FALSE)</f>
        <v>Cybersecurity</v>
      </c>
      <c r="H858" s="5">
        <f>VLOOKUP(globalfreelancepreprocesseddata!A858,worksheet!A:P,10,FALSE)</f>
        <v>13</v>
      </c>
      <c r="I858" s="6" t="str">
        <f>VLOOKUP(globalfreelancepreprocesseddata!A858,worksheet!A:P,12,FALSE)</f>
        <v>$ 50</v>
      </c>
      <c r="J858" s="5">
        <f>VLOOKUP(globalfreelancepreprocesseddata!A858,worksheet!A:P,13,FALSE)</f>
        <v>2.9</v>
      </c>
      <c r="K858" s="5">
        <f>VLOOKUP(globalfreelancepreprocesseddata!A858,worksheet!A:P,14,FALSE)</f>
        <v>1</v>
      </c>
      <c r="L858" s="7">
        <f>VLOOKUP(globalfreelancepreprocesseddata!A858,worksheet!A:P,16,FALSE)</f>
        <v>0.82</v>
      </c>
    </row>
    <row r="859" spans="1:12" x14ac:dyDescent="0.35">
      <c r="A859" s="5" t="s">
        <v>1787</v>
      </c>
      <c r="B859" s="5" t="str">
        <f>VLOOKUP(globalfreelancepreprocesseddata!A859,worksheet!A:P,3,FALSE)</f>
        <v>Deanna Miles</v>
      </c>
      <c r="C859" s="5" t="str">
        <f>VLOOKUP(globalfreelancepreprocesseddata!A859,worksheet!A:P,5,FALSE)</f>
        <v>Female</v>
      </c>
      <c r="D859" s="5">
        <f>VLOOKUP(globalfreelancepreprocesseddata!A859,worksheet!A:P,6,FALSE)</f>
        <v>40</v>
      </c>
      <c r="E859" s="5" t="str">
        <f>VLOOKUP(globalfreelancepreprocesseddata!A859,worksheet!A:P,7,FALSE)</f>
        <v>Mexico</v>
      </c>
      <c r="F859" s="5" t="str">
        <f>VLOOKUP(globalfreelancepreprocesseddata!A859,worksheet!A:P,8,FALSE)</f>
        <v>Spanish</v>
      </c>
      <c r="G859" s="5" t="str">
        <f>VLOOKUP(globalfreelancepreprocesseddata!A859,worksheet!A:P,9,FALSE)</f>
        <v>Graphic Design</v>
      </c>
      <c r="H859" s="5">
        <f>VLOOKUP(globalfreelancepreprocesseddata!A859,worksheet!A:P,10,FALSE)</f>
        <v>22</v>
      </c>
      <c r="I859" s="6" t="str">
        <f>VLOOKUP(globalfreelancepreprocesseddata!A859,worksheet!A:P,12,FALSE)</f>
        <v>$ 40</v>
      </c>
      <c r="J859" s="5">
        <f>VLOOKUP(globalfreelancepreprocesseddata!A859,worksheet!A:P,13,FALSE)</f>
        <v>4.3</v>
      </c>
      <c r="K859" s="5">
        <f>VLOOKUP(globalfreelancepreprocesseddata!A859,worksheet!A:P,14,FALSE)</f>
        <v>0</v>
      </c>
      <c r="L859" s="7">
        <f>VLOOKUP(globalfreelancepreprocesseddata!A859,worksheet!A:P,16,FALSE)</f>
        <v>0.95</v>
      </c>
    </row>
    <row r="860" spans="1:12" x14ac:dyDescent="0.35">
      <c r="A860" s="5" t="s">
        <v>1789</v>
      </c>
      <c r="B860" s="5" t="str">
        <f>VLOOKUP(globalfreelancepreprocesseddata!A860,worksheet!A:P,3,FALSE)</f>
        <v>Beverly Roy</v>
      </c>
      <c r="C860" s="5" t="str">
        <f>VLOOKUP(globalfreelancepreprocesseddata!A860,worksheet!A:P,5,FALSE)</f>
        <v>Female</v>
      </c>
      <c r="D860" s="5">
        <f>VLOOKUP(globalfreelancepreprocesseddata!A860,worksheet!A:P,6,FALSE)</f>
        <v>20</v>
      </c>
      <c r="E860" s="5" t="str">
        <f>VLOOKUP(globalfreelancepreprocesseddata!A860,worksheet!A:P,7,FALSE)</f>
        <v>United States</v>
      </c>
      <c r="F860" s="5" t="str">
        <f>VLOOKUP(globalfreelancepreprocesseddata!A860,worksheet!A:P,8,FALSE)</f>
        <v>English</v>
      </c>
      <c r="G860" s="5" t="str">
        <f>VLOOKUP(globalfreelancepreprocesseddata!A860,worksheet!A:P,9,FALSE)</f>
        <v>Graphic Design</v>
      </c>
      <c r="H860" s="5">
        <f>VLOOKUP(globalfreelancepreprocesseddata!A860,worksheet!A:P,10,FALSE)</f>
        <v>1</v>
      </c>
      <c r="I860" s="6">
        <f>VLOOKUP(globalfreelancepreprocesseddata!A860,worksheet!A:P,12,FALSE)</f>
        <v>40</v>
      </c>
      <c r="J860" s="5">
        <f>VLOOKUP(globalfreelancepreprocesseddata!A860,worksheet!A:P,13,FALSE)</f>
        <v>2.7</v>
      </c>
      <c r="K860" s="5">
        <f>VLOOKUP(globalfreelancepreprocesseddata!A860,worksheet!A:P,14,FALSE)</f>
        <v>0</v>
      </c>
      <c r="L860" s="7">
        <f>VLOOKUP(globalfreelancepreprocesseddata!A860,worksheet!A:P,16,FALSE)</f>
        <v>0.94</v>
      </c>
    </row>
    <row r="861" spans="1:12" x14ac:dyDescent="0.35">
      <c r="A861" s="5" t="s">
        <v>1791</v>
      </c>
      <c r="B861" s="5" t="str">
        <f>VLOOKUP(globalfreelancepreprocesseddata!A861,worksheet!A:P,3,FALSE)</f>
        <v>Heather Saunders</v>
      </c>
      <c r="C861" s="5" t="str">
        <f>VLOOKUP(globalfreelancepreprocesseddata!A861,worksheet!A:P,5,FALSE)</f>
        <v>Female</v>
      </c>
      <c r="D861" s="5">
        <f>VLOOKUP(globalfreelancepreprocesseddata!A861,worksheet!A:P,6,FALSE)</f>
        <v>42</v>
      </c>
      <c r="E861" s="5" t="str">
        <f>VLOOKUP(globalfreelancepreprocesseddata!A861,worksheet!A:P,7,FALSE)</f>
        <v>Mexico</v>
      </c>
      <c r="F861" s="5" t="str">
        <f>VLOOKUP(globalfreelancepreprocesseddata!A861,worksheet!A:P,8,FALSE)</f>
        <v>Spanish</v>
      </c>
      <c r="G861" s="5" t="str">
        <f>VLOOKUP(globalfreelancepreprocesseddata!A861,worksheet!A:P,9,FALSE)</f>
        <v>Web Development</v>
      </c>
      <c r="H861" s="5">
        <f>VLOOKUP(globalfreelancepreprocesseddata!A861,worksheet!A:P,10,FALSE)</f>
        <v>11</v>
      </c>
      <c r="I861" s="6">
        <f>VLOOKUP(globalfreelancepreprocesseddata!A861,worksheet!A:P,12,FALSE)</f>
        <v>50</v>
      </c>
      <c r="J861" s="5">
        <f>VLOOKUP(globalfreelancepreprocesseddata!A861,worksheet!A:P,13,FALSE)</f>
        <v>4.2</v>
      </c>
      <c r="K861" s="5">
        <f>VLOOKUP(globalfreelancepreprocesseddata!A861,worksheet!A:P,14,FALSE)</f>
        <v>1</v>
      </c>
      <c r="L861" s="7">
        <f>VLOOKUP(globalfreelancepreprocesseddata!A861,worksheet!A:P,16,FALSE)</f>
        <v>0.96</v>
      </c>
    </row>
    <row r="862" spans="1:12" x14ac:dyDescent="0.35">
      <c r="A862" s="5" t="s">
        <v>1793</v>
      </c>
      <c r="B862" s="5" t="str">
        <f>VLOOKUP(globalfreelancepreprocesseddata!A862,worksheet!A:P,3,FALSE)</f>
        <v>Nicholas Guerrero</v>
      </c>
      <c r="C862" s="5" t="str">
        <f>VLOOKUP(globalfreelancepreprocesseddata!A862,worksheet!A:P,5,FALSE)</f>
        <v>Male</v>
      </c>
      <c r="D862" s="5">
        <f>VLOOKUP(globalfreelancepreprocesseddata!A862,worksheet!A:P,6,FALSE)</f>
        <v>32</v>
      </c>
      <c r="E862" s="5" t="str">
        <f>VLOOKUP(globalfreelancepreprocesseddata!A862,worksheet!A:P,7,FALSE)</f>
        <v>Canada</v>
      </c>
      <c r="F862" s="5" t="str">
        <f>VLOOKUP(globalfreelancepreprocesseddata!A862,worksheet!A:P,8,FALSE)</f>
        <v>English</v>
      </c>
      <c r="G862" s="5" t="str">
        <f>VLOOKUP(globalfreelancepreprocesseddata!A862,worksheet!A:P,9,FALSE)</f>
        <v>Blockchain Development</v>
      </c>
      <c r="H862" s="5">
        <f>VLOOKUP(globalfreelancepreprocesseddata!A862,worksheet!A:P,10,FALSE)</f>
        <v>12</v>
      </c>
      <c r="I862" s="6">
        <f>VLOOKUP(globalfreelancepreprocesseddata!A862,worksheet!A:P,12,FALSE)</f>
        <v>40</v>
      </c>
      <c r="J862" s="5">
        <f>VLOOKUP(globalfreelancepreprocesseddata!A862,worksheet!A:P,13,FALSE)</f>
        <v>0</v>
      </c>
      <c r="K862" s="5">
        <f>VLOOKUP(globalfreelancepreprocesseddata!A862,worksheet!A:P,14,FALSE)</f>
        <v>1</v>
      </c>
      <c r="L862" s="7">
        <f>VLOOKUP(globalfreelancepreprocesseddata!A862,worksheet!A:P,16,FALSE)</f>
        <v>0.63</v>
      </c>
    </row>
    <row r="863" spans="1:12" x14ac:dyDescent="0.35">
      <c r="A863" s="5" t="s">
        <v>1795</v>
      </c>
      <c r="B863" s="5" t="str">
        <f>VLOOKUP(globalfreelancepreprocesseddata!A863,worksheet!A:P,3,FALSE)</f>
        <v>Christopher Johnson</v>
      </c>
      <c r="C863" s="5" t="str">
        <f>VLOOKUP(globalfreelancepreprocesseddata!A863,worksheet!A:P,5,FALSE)</f>
        <v>Male</v>
      </c>
      <c r="D863" s="5">
        <f>VLOOKUP(globalfreelancepreprocesseddata!A863,worksheet!A:P,6,FALSE)</f>
        <v>60</v>
      </c>
      <c r="E863" s="5" t="str">
        <f>VLOOKUP(globalfreelancepreprocesseddata!A863,worksheet!A:P,7,FALSE)</f>
        <v>Japan</v>
      </c>
      <c r="F863" s="5" t="str">
        <f>VLOOKUP(globalfreelancepreprocesseddata!A863,worksheet!A:P,8,FALSE)</f>
        <v>Japanese</v>
      </c>
      <c r="G863" s="5" t="str">
        <f>VLOOKUP(globalfreelancepreprocesseddata!A863,worksheet!A:P,9,FALSE)</f>
        <v>AI</v>
      </c>
      <c r="H863" s="5">
        <f>VLOOKUP(globalfreelancepreprocesseddata!A863,worksheet!A:P,10,FALSE)</f>
        <v>11</v>
      </c>
      <c r="I863" s="6">
        <f>VLOOKUP(globalfreelancepreprocesseddata!A863,worksheet!A:P,12,FALSE)</f>
        <v>20</v>
      </c>
      <c r="J863" s="5">
        <f>VLOOKUP(globalfreelancepreprocesseddata!A863,worksheet!A:P,13,FALSE)</f>
        <v>2.2000000000000002</v>
      </c>
      <c r="K863" s="5">
        <f>VLOOKUP(globalfreelancepreprocesseddata!A863,worksheet!A:P,14,FALSE)</f>
        <v>0</v>
      </c>
      <c r="L863" s="7">
        <f>VLOOKUP(globalfreelancepreprocesseddata!A863,worksheet!A:P,16,FALSE)</f>
        <v>0.6</v>
      </c>
    </row>
    <row r="864" spans="1:12" x14ac:dyDescent="0.35">
      <c r="A864" s="5" t="s">
        <v>1797</v>
      </c>
      <c r="B864" s="5" t="str">
        <f>VLOOKUP(globalfreelancepreprocesseddata!A864,worksheet!A:P,3,FALSE)</f>
        <v>Steven Flowers</v>
      </c>
      <c r="C864" s="5" t="str">
        <f>VLOOKUP(globalfreelancepreprocesseddata!A864,worksheet!A:P,5,FALSE)</f>
        <v>Male</v>
      </c>
      <c r="D864" s="5">
        <f>VLOOKUP(globalfreelancepreprocesseddata!A864,worksheet!A:P,6,FALSE)</f>
        <v>46</v>
      </c>
      <c r="E864" s="5" t="str">
        <f>VLOOKUP(globalfreelancepreprocesseddata!A864,worksheet!A:P,7,FALSE)</f>
        <v>Egypt</v>
      </c>
      <c r="F864" s="5" t="str">
        <f>VLOOKUP(globalfreelancepreprocesseddata!A864,worksheet!A:P,8,FALSE)</f>
        <v>Arabic</v>
      </c>
      <c r="G864" s="5" t="str">
        <f>VLOOKUP(globalfreelancepreprocesseddata!A864,worksheet!A:P,9,FALSE)</f>
        <v>Machine Learning</v>
      </c>
      <c r="H864" s="5">
        <f>VLOOKUP(globalfreelancepreprocesseddata!A864,worksheet!A:P,10,FALSE)</f>
        <v>12</v>
      </c>
      <c r="I864" s="6">
        <f>VLOOKUP(globalfreelancepreprocesseddata!A864,worksheet!A:P,12,FALSE)</f>
        <v>50</v>
      </c>
      <c r="J864" s="5">
        <f>VLOOKUP(globalfreelancepreprocesseddata!A864,worksheet!A:P,13,FALSE)</f>
        <v>4.7</v>
      </c>
      <c r="K864" s="5">
        <f>VLOOKUP(globalfreelancepreprocesseddata!A864,worksheet!A:P,14,FALSE)</f>
        <v>1</v>
      </c>
      <c r="L864" s="7">
        <f>VLOOKUP(globalfreelancepreprocesseddata!A864,worksheet!A:P,16,FALSE)</f>
        <v>0.77</v>
      </c>
    </row>
    <row r="865" spans="1:12" x14ac:dyDescent="0.35">
      <c r="A865" s="5" t="s">
        <v>1799</v>
      </c>
      <c r="B865" s="5" t="str">
        <f>VLOOKUP(globalfreelancepreprocesseddata!A865,worksheet!A:P,3,FALSE)</f>
        <v>Marvin Woods Iii</v>
      </c>
      <c r="C865" s="5" t="str">
        <f>VLOOKUP(globalfreelancepreprocesseddata!A865,worksheet!A:P,5,FALSE)</f>
        <v>Male</v>
      </c>
      <c r="D865" s="5">
        <f>VLOOKUP(globalfreelancepreprocesseddata!A865,worksheet!A:P,6,FALSE)</f>
        <v>29</v>
      </c>
      <c r="E865" s="5" t="str">
        <f>VLOOKUP(globalfreelancepreprocesseddata!A865,worksheet!A:P,7,FALSE)</f>
        <v>China</v>
      </c>
      <c r="F865" s="5" t="str">
        <f>VLOOKUP(globalfreelancepreprocesseddata!A865,worksheet!A:P,8,FALSE)</f>
        <v>Mandarin</v>
      </c>
      <c r="G865" s="5" t="str">
        <f>VLOOKUP(globalfreelancepreprocesseddata!A865,worksheet!A:P,9,FALSE)</f>
        <v>DevOps</v>
      </c>
      <c r="H865" s="5">
        <f>VLOOKUP(globalfreelancepreprocesseddata!A865,worksheet!A:P,10,FALSE)</f>
        <v>11</v>
      </c>
      <c r="I865" s="6">
        <f>VLOOKUP(globalfreelancepreprocesseddata!A865,worksheet!A:P,12,FALSE)</f>
        <v>30</v>
      </c>
      <c r="J865" s="5">
        <f>VLOOKUP(globalfreelancepreprocesseddata!A865,worksheet!A:P,13,FALSE)</f>
        <v>0</v>
      </c>
      <c r="K865" s="5">
        <f>VLOOKUP(globalfreelancepreprocesseddata!A865,worksheet!A:P,14,FALSE)</f>
        <v>0</v>
      </c>
      <c r="L865" s="7">
        <f>VLOOKUP(globalfreelancepreprocesseddata!A865,worksheet!A:P,16,FALSE)</f>
        <v>0.63</v>
      </c>
    </row>
    <row r="866" spans="1:12" x14ac:dyDescent="0.35">
      <c r="A866" s="5" t="s">
        <v>1801</v>
      </c>
      <c r="B866" s="5" t="str">
        <f>VLOOKUP(globalfreelancepreprocesseddata!A866,worksheet!A:P,3,FALSE)</f>
        <v>Michelle Cook</v>
      </c>
      <c r="C866" s="5" t="str">
        <f>VLOOKUP(globalfreelancepreprocesseddata!A866,worksheet!A:P,5,FALSE)</f>
        <v>Female</v>
      </c>
      <c r="D866" s="5">
        <f>VLOOKUP(globalfreelancepreprocesseddata!A866,worksheet!A:P,6,FALSE)</f>
        <v>39</v>
      </c>
      <c r="E866" s="5" t="str">
        <f>VLOOKUP(globalfreelancepreprocesseddata!A866,worksheet!A:P,7,FALSE)</f>
        <v>Brazil</v>
      </c>
      <c r="F866" s="5" t="str">
        <f>VLOOKUP(globalfreelancepreprocesseddata!A866,worksheet!A:P,8,FALSE)</f>
        <v>Portuguese</v>
      </c>
      <c r="G866" s="5" t="str">
        <f>VLOOKUP(globalfreelancepreprocesseddata!A866,worksheet!A:P,9,FALSE)</f>
        <v>Mobile Apps</v>
      </c>
      <c r="H866" s="5">
        <f>VLOOKUP(globalfreelancepreprocesseddata!A866,worksheet!A:P,10,FALSE)</f>
        <v>18</v>
      </c>
      <c r="I866" s="6">
        <f>VLOOKUP(globalfreelancepreprocesseddata!A866,worksheet!A:P,12,FALSE)</f>
        <v>20</v>
      </c>
      <c r="J866" s="5">
        <f>VLOOKUP(globalfreelancepreprocesseddata!A866,worksheet!A:P,13,FALSE)</f>
        <v>2.5</v>
      </c>
      <c r="K866" s="5">
        <f>VLOOKUP(globalfreelancepreprocesseddata!A866,worksheet!A:P,14,FALSE)</f>
        <v>1</v>
      </c>
      <c r="L866" s="7">
        <f>VLOOKUP(globalfreelancepreprocesseddata!A866,worksheet!A:P,16,FALSE)</f>
        <v>0.61</v>
      </c>
    </row>
    <row r="867" spans="1:12" x14ac:dyDescent="0.35">
      <c r="A867" s="5" t="s">
        <v>1803</v>
      </c>
      <c r="B867" s="5" t="str">
        <f>VLOOKUP(globalfreelancepreprocesseddata!A867,worksheet!A:P,3,FALSE)</f>
        <v>Logan Zamora</v>
      </c>
      <c r="C867" s="5" t="str">
        <f>VLOOKUP(globalfreelancepreprocesseddata!A867,worksheet!A:P,5,FALSE)</f>
        <v>Male</v>
      </c>
      <c r="D867" s="5">
        <f>VLOOKUP(globalfreelancepreprocesseddata!A867,worksheet!A:P,6,FALSE)</f>
        <v>55</v>
      </c>
      <c r="E867" s="5" t="str">
        <f>VLOOKUP(globalfreelancepreprocesseddata!A867,worksheet!A:P,7,FALSE)</f>
        <v>Russia</v>
      </c>
      <c r="F867" s="5" t="str">
        <f>VLOOKUP(globalfreelancepreprocesseddata!A867,worksheet!A:P,8,FALSE)</f>
        <v>Russian</v>
      </c>
      <c r="G867" s="5" t="str">
        <f>VLOOKUP(globalfreelancepreprocesseddata!A867,worksheet!A:P,9,FALSE)</f>
        <v>Mobile Apps</v>
      </c>
      <c r="H867" s="5">
        <f>VLOOKUP(globalfreelancepreprocesseddata!A867,worksheet!A:P,10,FALSE)</f>
        <v>2</v>
      </c>
      <c r="I867" s="6">
        <f>VLOOKUP(globalfreelancepreprocesseddata!A867,worksheet!A:P,12,FALSE)</f>
        <v>50</v>
      </c>
      <c r="J867" s="5">
        <f>VLOOKUP(globalfreelancepreprocesseddata!A867,worksheet!A:P,13,FALSE)</f>
        <v>3.9</v>
      </c>
      <c r="K867" s="5">
        <f>VLOOKUP(globalfreelancepreprocesseddata!A867,worksheet!A:P,14,FALSE)</f>
        <v>1</v>
      </c>
      <c r="L867" s="7">
        <f>VLOOKUP(globalfreelancepreprocesseddata!A867,worksheet!A:P,16,FALSE)</f>
        <v>0.88</v>
      </c>
    </row>
    <row r="868" spans="1:12" x14ac:dyDescent="0.35">
      <c r="A868" s="5" t="s">
        <v>1805</v>
      </c>
      <c r="B868" s="5" t="str">
        <f>VLOOKUP(globalfreelancepreprocesseddata!A868,worksheet!A:P,3,FALSE)</f>
        <v>Casey Roberts</v>
      </c>
      <c r="C868" s="5" t="str">
        <f>VLOOKUP(globalfreelancepreprocesseddata!A868,worksheet!A:P,5,FALSE)</f>
        <v>Male</v>
      </c>
      <c r="D868" s="5">
        <f>VLOOKUP(globalfreelancepreprocesseddata!A868,worksheet!A:P,6,FALSE)</f>
        <v>55</v>
      </c>
      <c r="E868" s="5" t="str">
        <f>VLOOKUP(globalfreelancepreprocesseddata!A868,worksheet!A:P,7,FALSE)</f>
        <v>Turkey</v>
      </c>
      <c r="F868" s="5" t="str">
        <f>VLOOKUP(globalfreelancepreprocesseddata!A868,worksheet!A:P,8,FALSE)</f>
        <v>Turkish</v>
      </c>
      <c r="G868" s="5" t="str">
        <f>VLOOKUP(globalfreelancepreprocesseddata!A868,worksheet!A:P,9,FALSE)</f>
        <v>Cybersecurity</v>
      </c>
      <c r="H868" s="5">
        <f>VLOOKUP(globalfreelancepreprocesseddata!A868,worksheet!A:P,10,FALSE)</f>
        <v>11</v>
      </c>
      <c r="I868" s="6" t="str">
        <f>VLOOKUP(globalfreelancepreprocesseddata!A868,worksheet!A:P,12,FALSE)</f>
        <v>$ 100</v>
      </c>
      <c r="J868" s="5">
        <f>VLOOKUP(globalfreelancepreprocesseddata!A868,worksheet!A:P,13,FALSE)</f>
        <v>1.2</v>
      </c>
      <c r="K868" s="5">
        <f>VLOOKUP(globalfreelancepreprocesseddata!A868,worksheet!A:P,14,FALSE)</f>
        <v>1</v>
      </c>
      <c r="L868" s="7">
        <f>VLOOKUP(globalfreelancepreprocesseddata!A868,worksheet!A:P,16,FALSE)</f>
        <v>0.69</v>
      </c>
    </row>
    <row r="869" spans="1:12" x14ac:dyDescent="0.35">
      <c r="A869" s="5" t="s">
        <v>1807</v>
      </c>
      <c r="B869" s="5" t="str">
        <f>VLOOKUP(globalfreelancepreprocesseddata!A869,worksheet!A:P,3,FALSE)</f>
        <v>Jerry Price</v>
      </c>
      <c r="C869" s="5" t="str">
        <f>VLOOKUP(globalfreelancepreprocesseddata!A869,worksheet!A:P,5,FALSE)</f>
        <v>Male</v>
      </c>
      <c r="D869" s="5">
        <f>VLOOKUP(globalfreelancepreprocesseddata!A869,worksheet!A:P,6,FALSE)</f>
        <v>40</v>
      </c>
      <c r="E869" s="5" t="str">
        <f>VLOOKUP(globalfreelancepreprocesseddata!A869,worksheet!A:P,7,FALSE)</f>
        <v>Indonesia</v>
      </c>
      <c r="F869" s="5" t="str">
        <f>VLOOKUP(globalfreelancepreprocesseddata!A869,worksheet!A:P,8,FALSE)</f>
        <v>Indonesian</v>
      </c>
      <c r="G869" s="5" t="str">
        <f>VLOOKUP(globalfreelancepreprocesseddata!A869,worksheet!A:P,9,FALSE)</f>
        <v>Data Analysis</v>
      </c>
      <c r="H869" s="5">
        <f>VLOOKUP(globalfreelancepreprocesseddata!A869,worksheet!A:P,10,FALSE)</f>
        <v>2</v>
      </c>
      <c r="I869" s="6">
        <f>VLOOKUP(globalfreelancepreprocesseddata!A869,worksheet!A:P,12,FALSE)</f>
        <v>75</v>
      </c>
      <c r="J869" s="5">
        <f>VLOOKUP(globalfreelancepreprocesseddata!A869,worksheet!A:P,13,FALSE)</f>
        <v>4.5</v>
      </c>
      <c r="K869" s="5">
        <f>VLOOKUP(globalfreelancepreprocesseddata!A869,worksheet!A:P,14,FALSE)</f>
        <v>1</v>
      </c>
      <c r="L869" s="7">
        <f>VLOOKUP(globalfreelancepreprocesseddata!A869,worksheet!A:P,16,FALSE)</f>
        <v>0.16</v>
      </c>
    </row>
    <row r="870" spans="1:12" x14ac:dyDescent="0.35">
      <c r="A870" s="5" t="s">
        <v>1809</v>
      </c>
      <c r="B870" s="5" t="str">
        <f>VLOOKUP(globalfreelancepreprocesseddata!A870,worksheet!A:P,3,FALSE)</f>
        <v>Kelly Ellis</v>
      </c>
      <c r="C870" s="5" t="str">
        <f>VLOOKUP(globalfreelancepreprocesseddata!A870,worksheet!A:P,5,FALSE)</f>
        <v>Female</v>
      </c>
      <c r="D870" s="5">
        <f>VLOOKUP(globalfreelancepreprocesseddata!A870,worksheet!A:P,6,FALSE)</f>
        <v>56</v>
      </c>
      <c r="E870" s="5" t="str">
        <f>VLOOKUP(globalfreelancepreprocesseddata!A870,worksheet!A:P,7,FALSE)</f>
        <v>China</v>
      </c>
      <c r="F870" s="5" t="str">
        <f>VLOOKUP(globalfreelancepreprocesseddata!A870,worksheet!A:P,8,FALSE)</f>
        <v>Mandarin</v>
      </c>
      <c r="G870" s="5" t="str">
        <f>VLOOKUP(globalfreelancepreprocesseddata!A870,worksheet!A:P,9,FALSE)</f>
        <v>UI/UX Design</v>
      </c>
      <c r="H870" s="5">
        <f>VLOOKUP(globalfreelancepreprocesseddata!A870,worksheet!A:P,10,FALSE)</f>
        <v>35</v>
      </c>
      <c r="I870" s="6">
        <f>VLOOKUP(globalfreelancepreprocesseddata!A870,worksheet!A:P,12,FALSE)</f>
        <v>40</v>
      </c>
      <c r="J870" s="5">
        <f>VLOOKUP(globalfreelancepreprocesseddata!A870,worksheet!A:P,13,FALSE)</f>
        <v>2.7</v>
      </c>
      <c r="K870" s="5">
        <f>VLOOKUP(globalfreelancepreprocesseddata!A870,worksheet!A:P,14,FALSE)</f>
        <v>1</v>
      </c>
      <c r="L870" s="7">
        <f>VLOOKUP(globalfreelancepreprocesseddata!A870,worksheet!A:P,16,FALSE)</f>
        <v>0.82</v>
      </c>
    </row>
    <row r="871" spans="1:12" x14ac:dyDescent="0.35">
      <c r="A871" s="5" t="s">
        <v>1811</v>
      </c>
      <c r="B871" s="5" t="str">
        <f>VLOOKUP(globalfreelancepreprocesseddata!A871,worksheet!A:P,3,FALSE)</f>
        <v>Caleb Guerra</v>
      </c>
      <c r="C871" s="5" t="str">
        <f>VLOOKUP(globalfreelancepreprocesseddata!A871,worksheet!A:P,5,FALSE)</f>
        <v>Male</v>
      </c>
      <c r="D871" s="5">
        <f>VLOOKUP(globalfreelancepreprocesseddata!A871,worksheet!A:P,6,FALSE)</f>
        <v>57</v>
      </c>
      <c r="E871" s="5" t="str">
        <f>VLOOKUP(globalfreelancepreprocesseddata!A871,worksheet!A:P,7,FALSE)</f>
        <v>Mexico</v>
      </c>
      <c r="F871" s="5" t="str">
        <f>VLOOKUP(globalfreelancepreprocesseddata!A871,worksheet!A:P,8,FALSE)</f>
        <v>Spanish</v>
      </c>
      <c r="G871" s="5" t="str">
        <f>VLOOKUP(globalfreelancepreprocesseddata!A871,worksheet!A:P,9,FALSE)</f>
        <v>Mobile Apps</v>
      </c>
      <c r="H871" s="5">
        <f>VLOOKUP(globalfreelancepreprocesseddata!A871,worksheet!A:P,10,FALSE)</f>
        <v>21</v>
      </c>
      <c r="I871" s="6">
        <f>VLOOKUP(globalfreelancepreprocesseddata!A871,worksheet!A:P,12,FALSE)</f>
        <v>75</v>
      </c>
      <c r="J871" s="5">
        <f>VLOOKUP(globalfreelancepreprocesseddata!A871,worksheet!A:P,13,FALSE)</f>
        <v>2</v>
      </c>
      <c r="K871" s="5">
        <f>VLOOKUP(globalfreelancepreprocesseddata!A871,worksheet!A:P,14,FALSE)</f>
        <v>0</v>
      </c>
      <c r="L871" s="7">
        <f>VLOOKUP(globalfreelancepreprocesseddata!A871,worksheet!A:P,16,FALSE)</f>
        <v>0.96</v>
      </c>
    </row>
    <row r="872" spans="1:12" x14ac:dyDescent="0.35">
      <c r="A872" s="5" t="s">
        <v>1813</v>
      </c>
      <c r="B872" s="5" t="str">
        <f>VLOOKUP(globalfreelancepreprocesseddata!A872,worksheet!A:P,3,FALSE)</f>
        <v>Samantha Norman</v>
      </c>
      <c r="C872" s="5" t="str">
        <f>VLOOKUP(globalfreelancepreprocesseddata!A872,worksheet!A:P,5,FALSE)</f>
        <v>Female</v>
      </c>
      <c r="D872" s="5">
        <f>VLOOKUP(globalfreelancepreprocesseddata!A872,worksheet!A:P,6,FALSE)</f>
        <v>56</v>
      </c>
      <c r="E872" s="5" t="str">
        <f>VLOOKUP(globalfreelancepreprocesseddata!A872,worksheet!A:P,7,FALSE)</f>
        <v>Russia</v>
      </c>
      <c r="F872" s="5" t="str">
        <f>VLOOKUP(globalfreelancepreprocesseddata!A872,worksheet!A:P,8,FALSE)</f>
        <v>Russian</v>
      </c>
      <c r="G872" s="5" t="str">
        <f>VLOOKUP(globalfreelancepreprocesseddata!A872,worksheet!A:P,9,FALSE)</f>
        <v>DevOps</v>
      </c>
      <c r="H872" s="5">
        <f>VLOOKUP(globalfreelancepreprocesseddata!A872,worksheet!A:P,10,FALSE)</f>
        <v>3</v>
      </c>
      <c r="I872" s="6">
        <f>VLOOKUP(globalfreelancepreprocesseddata!A872,worksheet!A:P,12,FALSE)</f>
        <v>40</v>
      </c>
      <c r="J872" s="5">
        <f>VLOOKUP(globalfreelancepreprocesseddata!A872,worksheet!A:P,13,FALSE)</f>
        <v>1.7</v>
      </c>
      <c r="K872" s="5">
        <f>VLOOKUP(globalfreelancepreprocesseddata!A872,worksheet!A:P,14,FALSE)</f>
        <v>0</v>
      </c>
      <c r="L872" s="7">
        <f>VLOOKUP(globalfreelancepreprocesseddata!A872,worksheet!A:P,16,FALSE)</f>
        <v>0.71</v>
      </c>
    </row>
    <row r="873" spans="1:12" x14ac:dyDescent="0.35">
      <c r="A873" s="5" t="s">
        <v>1815</v>
      </c>
      <c r="B873" s="5" t="str">
        <f>VLOOKUP(globalfreelancepreprocesseddata!A873,worksheet!A:P,3,FALSE)</f>
        <v>Sarah Clarke</v>
      </c>
      <c r="C873" s="5" t="str">
        <f>VLOOKUP(globalfreelancepreprocesseddata!A873,worksheet!A:P,5,FALSE)</f>
        <v>Female</v>
      </c>
      <c r="D873" s="5">
        <f>VLOOKUP(globalfreelancepreprocesseddata!A873,worksheet!A:P,6,FALSE)</f>
        <v>49</v>
      </c>
      <c r="E873" s="5" t="str">
        <f>VLOOKUP(globalfreelancepreprocesseddata!A873,worksheet!A:P,7,FALSE)</f>
        <v>Germany</v>
      </c>
      <c r="F873" s="5" t="str">
        <f>VLOOKUP(globalfreelancepreprocesseddata!A873,worksheet!A:P,8,FALSE)</f>
        <v>German</v>
      </c>
      <c r="G873" s="5" t="str">
        <f>VLOOKUP(globalfreelancepreprocesseddata!A873,worksheet!A:P,9,FALSE)</f>
        <v>Mobile Apps</v>
      </c>
      <c r="H873" s="5">
        <f>VLOOKUP(globalfreelancepreprocesseddata!A873,worksheet!A:P,10,FALSE)</f>
        <v>24</v>
      </c>
      <c r="I873" s="6">
        <f>VLOOKUP(globalfreelancepreprocesseddata!A873,worksheet!A:P,12,FALSE)</f>
        <v>75</v>
      </c>
      <c r="J873" s="5">
        <f>VLOOKUP(globalfreelancepreprocesseddata!A873,worksheet!A:P,13,FALSE)</f>
        <v>3</v>
      </c>
      <c r="K873" s="5">
        <f>VLOOKUP(globalfreelancepreprocesseddata!A873,worksheet!A:P,14,FALSE)</f>
        <v>1</v>
      </c>
      <c r="L873" s="7">
        <f>VLOOKUP(globalfreelancepreprocesseddata!A873,worksheet!A:P,16,FALSE)</f>
        <v>0.77</v>
      </c>
    </row>
    <row r="874" spans="1:12" x14ac:dyDescent="0.35">
      <c r="A874" s="5" t="s">
        <v>1817</v>
      </c>
      <c r="B874" s="5" t="str">
        <f>VLOOKUP(globalfreelancepreprocesseddata!A874,worksheet!A:P,3,FALSE)</f>
        <v>Aaron Blair</v>
      </c>
      <c r="C874" s="5" t="str">
        <f>VLOOKUP(globalfreelancepreprocesseddata!A874,worksheet!A:P,5,FALSE)</f>
        <v>Male</v>
      </c>
      <c r="D874" s="5">
        <f>VLOOKUP(globalfreelancepreprocesseddata!A874,worksheet!A:P,6,FALSE)</f>
        <v>26</v>
      </c>
      <c r="E874" s="5" t="str">
        <f>VLOOKUP(globalfreelancepreprocesseddata!A874,worksheet!A:P,7,FALSE)</f>
        <v>Spain</v>
      </c>
      <c r="F874" s="5" t="str">
        <f>VLOOKUP(globalfreelancepreprocesseddata!A874,worksheet!A:P,8,FALSE)</f>
        <v>Spanish</v>
      </c>
      <c r="G874" s="5" t="str">
        <f>VLOOKUP(globalfreelancepreprocesseddata!A874,worksheet!A:P,9,FALSE)</f>
        <v>Blockchain Development</v>
      </c>
      <c r="H874" s="5">
        <f>VLOOKUP(globalfreelancepreprocesseddata!A874,worksheet!A:P,10,FALSE)</f>
        <v>11</v>
      </c>
      <c r="I874" s="6">
        <f>VLOOKUP(globalfreelancepreprocesseddata!A874,worksheet!A:P,12,FALSE)</f>
        <v>75</v>
      </c>
      <c r="J874" s="5">
        <f>VLOOKUP(globalfreelancepreprocesseddata!A874,worksheet!A:P,13,FALSE)</f>
        <v>2.1</v>
      </c>
      <c r="K874" s="5">
        <f>VLOOKUP(globalfreelancepreprocesseddata!A874,worksheet!A:P,14,FALSE)</f>
        <v>1</v>
      </c>
      <c r="L874" s="7">
        <f>VLOOKUP(globalfreelancepreprocesseddata!A874,worksheet!A:P,16,FALSE)</f>
        <v>0.16</v>
      </c>
    </row>
    <row r="875" spans="1:12" x14ac:dyDescent="0.35">
      <c r="A875" s="5" t="s">
        <v>1819</v>
      </c>
      <c r="B875" s="5" t="str">
        <f>VLOOKUP(globalfreelancepreprocesseddata!A875,worksheet!A:P,3,FALSE)</f>
        <v>Courtney Burton</v>
      </c>
      <c r="C875" s="5" t="str">
        <f>VLOOKUP(globalfreelancepreprocesseddata!A875,worksheet!A:P,5,FALSE)</f>
        <v>Female</v>
      </c>
      <c r="D875" s="5">
        <f>VLOOKUP(globalfreelancepreprocesseddata!A875,worksheet!A:P,6,FALSE)</f>
        <v>36</v>
      </c>
      <c r="E875" s="5" t="str">
        <f>VLOOKUP(globalfreelancepreprocesseddata!A875,worksheet!A:P,7,FALSE)</f>
        <v>South Korea</v>
      </c>
      <c r="F875" s="5" t="str">
        <f>VLOOKUP(globalfreelancepreprocesseddata!A875,worksheet!A:P,8,FALSE)</f>
        <v>Korean</v>
      </c>
      <c r="G875" s="5" t="str">
        <f>VLOOKUP(globalfreelancepreprocesseddata!A875,worksheet!A:P,9,FALSE)</f>
        <v>UI/UX Design</v>
      </c>
      <c r="H875" s="5">
        <f>VLOOKUP(globalfreelancepreprocesseddata!A875,worksheet!A:P,10,FALSE)</f>
        <v>11</v>
      </c>
      <c r="I875" s="6">
        <f>VLOOKUP(globalfreelancepreprocesseddata!A875,worksheet!A:P,12,FALSE)</f>
        <v>75</v>
      </c>
      <c r="J875" s="5">
        <f>VLOOKUP(globalfreelancepreprocesseddata!A875,worksheet!A:P,13,FALSE)</f>
        <v>1.5</v>
      </c>
      <c r="K875" s="5">
        <f>VLOOKUP(globalfreelancepreprocesseddata!A875,worksheet!A:P,14,FALSE)</f>
        <v>1</v>
      </c>
      <c r="L875" s="7">
        <f>VLOOKUP(globalfreelancepreprocesseddata!A875,worksheet!A:P,16,FALSE)</f>
        <v>0.73</v>
      </c>
    </row>
    <row r="876" spans="1:12" x14ac:dyDescent="0.35">
      <c r="A876" s="5" t="s">
        <v>1821</v>
      </c>
      <c r="B876" s="5" t="str">
        <f>VLOOKUP(globalfreelancepreprocesseddata!A876,worksheet!A:P,3,FALSE)</f>
        <v>Gerald Taylor</v>
      </c>
      <c r="C876" s="5" t="str">
        <f>VLOOKUP(globalfreelancepreprocesseddata!A876,worksheet!A:P,5,FALSE)</f>
        <v>Male</v>
      </c>
      <c r="D876" s="5">
        <f>VLOOKUP(globalfreelancepreprocesseddata!A876,worksheet!A:P,6,FALSE)</f>
        <v>20</v>
      </c>
      <c r="E876" s="5" t="str">
        <f>VLOOKUP(globalfreelancepreprocesseddata!A876,worksheet!A:P,7,FALSE)</f>
        <v>Russia</v>
      </c>
      <c r="F876" s="5" t="str">
        <f>VLOOKUP(globalfreelancepreprocesseddata!A876,worksheet!A:P,8,FALSE)</f>
        <v>Russian</v>
      </c>
      <c r="G876" s="5" t="str">
        <f>VLOOKUP(globalfreelancepreprocesseddata!A876,worksheet!A:P,9,FALSE)</f>
        <v>Web Development</v>
      </c>
      <c r="H876" s="5">
        <f>VLOOKUP(globalfreelancepreprocesseddata!A876,worksheet!A:P,10,FALSE)</f>
        <v>2</v>
      </c>
      <c r="I876" s="6" t="str">
        <f>VLOOKUP(globalfreelancepreprocesseddata!A876,worksheet!A:P,12,FALSE)</f>
        <v>$ 30</v>
      </c>
      <c r="J876" s="5">
        <f>VLOOKUP(globalfreelancepreprocesseddata!A876,worksheet!A:P,13,FALSE)</f>
        <v>1.7</v>
      </c>
      <c r="K876" s="5">
        <f>VLOOKUP(globalfreelancepreprocesseddata!A876,worksheet!A:P,14,FALSE)</f>
        <v>1</v>
      </c>
      <c r="L876" s="7">
        <f>VLOOKUP(globalfreelancepreprocesseddata!A876,worksheet!A:P,16,FALSE)</f>
        <v>0.6</v>
      </c>
    </row>
    <row r="877" spans="1:12" x14ac:dyDescent="0.35">
      <c r="A877" s="5" t="s">
        <v>1823</v>
      </c>
      <c r="B877" s="5" t="str">
        <f>VLOOKUP(globalfreelancepreprocesseddata!A877,worksheet!A:P,3,FALSE)</f>
        <v>Mary Ward</v>
      </c>
      <c r="C877" s="5" t="str">
        <f>VLOOKUP(globalfreelancepreprocesseddata!A877,worksheet!A:P,5,FALSE)</f>
        <v>Female</v>
      </c>
      <c r="D877" s="5">
        <f>VLOOKUP(globalfreelancepreprocesseddata!A877,worksheet!A:P,6,FALSE)</f>
        <v>40</v>
      </c>
      <c r="E877" s="5" t="str">
        <f>VLOOKUP(globalfreelancepreprocesseddata!A877,worksheet!A:P,7,FALSE)</f>
        <v>Spain</v>
      </c>
      <c r="F877" s="5" t="str">
        <f>VLOOKUP(globalfreelancepreprocesseddata!A877,worksheet!A:P,8,FALSE)</f>
        <v>Spanish</v>
      </c>
      <c r="G877" s="5" t="str">
        <f>VLOOKUP(globalfreelancepreprocesseddata!A877,worksheet!A:P,9,FALSE)</f>
        <v>AI</v>
      </c>
      <c r="H877" s="5">
        <f>VLOOKUP(globalfreelancepreprocesseddata!A877,worksheet!A:P,10,FALSE)</f>
        <v>11</v>
      </c>
      <c r="I877" s="6">
        <f>VLOOKUP(globalfreelancepreprocesseddata!A877,worksheet!A:P,12,FALSE)</f>
        <v>40</v>
      </c>
      <c r="J877" s="5">
        <f>VLOOKUP(globalfreelancepreprocesseddata!A877,worksheet!A:P,13,FALSE)</f>
        <v>1.2</v>
      </c>
      <c r="K877" s="5">
        <f>VLOOKUP(globalfreelancepreprocesseddata!A877,worksheet!A:P,14,FALSE)</f>
        <v>1</v>
      </c>
      <c r="L877" s="7">
        <f>VLOOKUP(globalfreelancepreprocesseddata!A877,worksheet!A:P,16,FALSE)</f>
        <v>0.67</v>
      </c>
    </row>
    <row r="878" spans="1:12" x14ac:dyDescent="0.35">
      <c r="A878" s="5" t="s">
        <v>1825</v>
      </c>
      <c r="B878" s="5" t="str">
        <f>VLOOKUP(globalfreelancepreprocesseddata!A878,worksheet!A:P,3,FALSE)</f>
        <v>Mrs. Lisa Beard Dvm</v>
      </c>
      <c r="C878" s="5" t="str">
        <f>VLOOKUP(globalfreelancepreprocesseddata!A878,worksheet!A:P,5,FALSE)</f>
        <v>Female</v>
      </c>
      <c r="D878" s="5">
        <f>VLOOKUP(globalfreelancepreprocesseddata!A878,worksheet!A:P,6,FALSE)</f>
        <v>30</v>
      </c>
      <c r="E878" s="5" t="str">
        <f>VLOOKUP(globalfreelancepreprocesseddata!A878,worksheet!A:P,7,FALSE)</f>
        <v>India</v>
      </c>
      <c r="F878" s="5" t="str">
        <f>VLOOKUP(globalfreelancepreprocesseddata!A878,worksheet!A:P,8,FALSE)</f>
        <v>Hindi</v>
      </c>
      <c r="G878" s="5" t="str">
        <f>VLOOKUP(globalfreelancepreprocesseddata!A878,worksheet!A:P,9,FALSE)</f>
        <v>Mobile Apps</v>
      </c>
      <c r="H878" s="5">
        <f>VLOOKUP(globalfreelancepreprocesseddata!A878,worksheet!A:P,10,FALSE)</f>
        <v>6</v>
      </c>
      <c r="I878" s="6">
        <f>VLOOKUP(globalfreelancepreprocesseddata!A878,worksheet!A:P,12,FALSE)</f>
        <v>75</v>
      </c>
      <c r="J878" s="5">
        <f>VLOOKUP(globalfreelancepreprocesseddata!A878,worksheet!A:P,13,FALSE)</f>
        <v>0</v>
      </c>
      <c r="K878" s="5">
        <f>VLOOKUP(globalfreelancepreprocesseddata!A878,worksheet!A:P,14,FALSE)</f>
        <v>0</v>
      </c>
      <c r="L878" s="7">
        <f>VLOOKUP(globalfreelancepreprocesseddata!A878,worksheet!A:P,16,FALSE)</f>
        <v>0.8</v>
      </c>
    </row>
    <row r="879" spans="1:12" x14ac:dyDescent="0.35">
      <c r="A879" s="5" t="s">
        <v>1827</v>
      </c>
      <c r="B879" s="5" t="str">
        <f>VLOOKUP(globalfreelancepreprocesseddata!A879,worksheet!A:P,3,FALSE)</f>
        <v>Larry Wallace</v>
      </c>
      <c r="C879" s="5" t="str">
        <f>VLOOKUP(globalfreelancepreprocesseddata!A879,worksheet!A:P,5,FALSE)</f>
        <v>Male</v>
      </c>
      <c r="D879" s="5">
        <f>VLOOKUP(globalfreelancepreprocesseddata!A879,worksheet!A:P,6,FALSE)</f>
        <v>51</v>
      </c>
      <c r="E879" s="5" t="str">
        <f>VLOOKUP(globalfreelancepreprocesseddata!A879,worksheet!A:P,7,FALSE)</f>
        <v>Australia</v>
      </c>
      <c r="F879" s="5" t="str">
        <f>VLOOKUP(globalfreelancepreprocesseddata!A879,worksheet!A:P,8,FALSE)</f>
        <v>English</v>
      </c>
      <c r="G879" s="5" t="str">
        <f>VLOOKUP(globalfreelancepreprocesseddata!A879,worksheet!A:P,9,FALSE)</f>
        <v>Graphic Design</v>
      </c>
      <c r="H879" s="5">
        <f>VLOOKUP(globalfreelancepreprocesseddata!A879,worksheet!A:P,10,FALSE)</f>
        <v>21</v>
      </c>
      <c r="I879" s="6">
        <f>VLOOKUP(globalfreelancepreprocesseddata!A879,worksheet!A:P,12,FALSE)</f>
        <v>20</v>
      </c>
      <c r="J879" s="5">
        <f>VLOOKUP(globalfreelancepreprocesseddata!A879,worksheet!A:P,13,FALSE)</f>
        <v>3</v>
      </c>
      <c r="K879" s="5">
        <f>VLOOKUP(globalfreelancepreprocesseddata!A879,worksheet!A:P,14,FALSE)</f>
        <v>1</v>
      </c>
      <c r="L879" s="7">
        <f>VLOOKUP(globalfreelancepreprocesseddata!A879,worksheet!A:P,16,FALSE)</f>
        <v>0.16</v>
      </c>
    </row>
    <row r="880" spans="1:12" x14ac:dyDescent="0.35">
      <c r="A880" s="5" t="s">
        <v>1829</v>
      </c>
      <c r="B880" s="5" t="str">
        <f>VLOOKUP(globalfreelancepreprocesseddata!A880,worksheet!A:P,3,FALSE)</f>
        <v>Jeremiah Thompson</v>
      </c>
      <c r="C880" s="5" t="str">
        <f>VLOOKUP(globalfreelancepreprocesseddata!A880,worksheet!A:P,5,FALSE)</f>
        <v>Male</v>
      </c>
      <c r="D880" s="5">
        <f>VLOOKUP(globalfreelancepreprocesseddata!A880,worksheet!A:P,6,FALSE)</f>
        <v>46</v>
      </c>
      <c r="E880" s="5" t="str">
        <f>VLOOKUP(globalfreelancepreprocesseddata!A880,worksheet!A:P,7,FALSE)</f>
        <v>United States</v>
      </c>
      <c r="F880" s="5" t="str">
        <f>VLOOKUP(globalfreelancepreprocesseddata!A880,worksheet!A:P,8,FALSE)</f>
        <v>English</v>
      </c>
      <c r="G880" s="5" t="str">
        <f>VLOOKUP(globalfreelancepreprocesseddata!A880,worksheet!A:P,9,FALSE)</f>
        <v>UI/UX Design</v>
      </c>
      <c r="H880" s="5">
        <f>VLOOKUP(globalfreelancepreprocesseddata!A880,worksheet!A:P,10,FALSE)</f>
        <v>24</v>
      </c>
      <c r="I880" s="6">
        <f>VLOOKUP(globalfreelancepreprocesseddata!A880,worksheet!A:P,12,FALSE)</f>
        <v>40</v>
      </c>
      <c r="J880" s="5">
        <f>VLOOKUP(globalfreelancepreprocesseddata!A880,worksheet!A:P,13,FALSE)</f>
        <v>3.3</v>
      </c>
      <c r="K880" s="5">
        <f>VLOOKUP(globalfreelancepreprocesseddata!A880,worksheet!A:P,14,FALSE)</f>
        <v>1</v>
      </c>
      <c r="L880" s="7">
        <f>VLOOKUP(globalfreelancepreprocesseddata!A880,worksheet!A:P,16,FALSE)</f>
        <v>0.87</v>
      </c>
    </row>
    <row r="881" spans="1:12" x14ac:dyDescent="0.35">
      <c r="A881" s="5" t="s">
        <v>1831</v>
      </c>
      <c r="B881" s="5" t="str">
        <f>VLOOKUP(globalfreelancepreprocesseddata!A881,worksheet!A:P,3,FALSE)</f>
        <v>Mrs. Jessica Williams Dvm</v>
      </c>
      <c r="C881" s="5" t="str">
        <f>VLOOKUP(globalfreelancepreprocesseddata!A881,worksheet!A:P,5,FALSE)</f>
        <v>Female</v>
      </c>
      <c r="D881" s="5">
        <f>VLOOKUP(globalfreelancepreprocesseddata!A881,worksheet!A:P,6,FALSE)</f>
        <v>25</v>
      </c>
      <c r="E881" s="5" t="str">
        <f>VLOOKUP(globalfreelancepreprocesseddata!A881,worksheet!A:P,7,FALSE)</f>
        <v>South Korea</v>
      </c>
      <c r="F881" s="5" t="str">
        <f>VLOOKUP(globalfreelancepreprocesseddata!A881,worksheet!A:P,8,FALSE)</f>
        <v>Korean</v>
      </c>
      <c r="G881" s="5" t="str">
        <f>VLOOKUP(globalfreelancepreprocesseddata!A881,worksheet!A:P,9,FALSE)</f>
        <v>AI</v>
      </c>
      <c r="H881" s="5">
        <f>VLOOKUP(globalfreelancepreprocesseddata!A881,worksheet!A:P,10,FALSE)</f>
        <v>6</v>
      </c>
      <c r="I881" s="6">
        <f>VLOOKUP(globalfreelancepreprocesseddata!A881,worksheet!A:P,12,FALSE)</f>
        <v>20</v>
      </c>
      <c r="J881" s="5">
        <f>VLOOKUP(globalfreelancepreprocesseddata!A881,worksheet!A:P,13,FALSE)</f>
        <v>2.1</v>
      </c>
      <c r="K881" s="5">
        <f>VLOOKUP(globalfreelancepreprocesseddata!A881,worksheet!A:P,14,FALSE)</f>
        <v>1</v>
      </c>
      <c r="L881" s="7">
        <f>VLOOKUP(globalfreelancepreprocesseddata!A881,worksheet!A:P,16,FALSE)</f>
        <v>0.16</v>
      </c>
    </row>
    <row r="882" spans="1:12" x14ac:dyDescent="0.35">
      <c r="A882" s="5" t="s">
        <v>1833</v>
      </c>
      <c r="B882" s="5" t="str">
        <f>VLOOKUP(globalfreelancepreprocesseddata!A882,worksheet!A:P,3,FALSE)</f>
        <v>Martin Moreno</v>
      </c>
      <c r="C882" s="5" t="str">
        <f>VLOOKUP(globalfreelancepreprocesseddata!A882,worksheet!A:P,5,FALSE)</f>
        <v>Male</v>
      </c>
      <c r="D882" s="5">
        <f>VLOOKUP(globalfreelancepreprocesseddata!A882,worksheet!A:P,6,FALSE)</f>
        <v>53</v>
      </c>
      <c r="E882" s="5" t="str">
        <f>VLOOKUP(globalfreelancepreprocesseddata!A882,worksheet!A:P,7,FALSE)</f>
        <v>Netherlands</v>
      </c>
      <c r="F882" s="5" t="str">
        <f>VLOOKUP(globalfreelancepreprocesseddata!A882,worksheet!A:P,8,FALSE)</f>
        <v>Dutch</v>
      </c>
      <c r="G882" s="5" t="str">
        <f>VLOOKUP(globalfreelancepreprocesseddata!A882,worksheet!A:P,9,FALSE)</f>
        <v>Web Development</v>
      </c>
      <c r="H882" s="5">
        <f>VLOOKUP(globalfreelancepreprocesseddata!A882,worksheet!A:P,10,FALSE)</f>
        <v>32</v>
      </c>
      <c r="I882" s="6">
        <f>VLOOKUP(globalfreelancepreprocesseddata!A882,worksheet!A:P,12,FALSE)</f>
        <v>50</v>
      </c>
      <c r="J882" s="5">
        <f>VLOOKUP(globalfreelancepreprocesseddata!A882,worksheet!A:P,13,FALSE)</f>
        <v>3</v>
      </c>
      <c r="K882" s="5">
        <f>VLOOKUP(globalfreelancepreprocesseddata!A882,worksheet!A:P,14,FALSE)</f>
        <v>1</v>
      </c>
      <c r="L882" s="7">
        <f>VLOOKUP(globalfreelancepreprocesseddata!A882,worksheet!A:P,16,FALSE)</f>
        <v>0.16</v>
      </c>
    </row>
    <row r="883" spans="1:12" x14ac:dyDescent="0.35">
      <c r="A883" s="5" t="s">
        <v>1835</v>
      </c>
      <c r="B883" s="5" t="str">
        <f>VLOOKUP(globalfreelancepreprocesseddata!A883,worksheet!A:P,3,FALSE)</f>
        <v>Yolanda Proctor</v>
      </c>
      <c r="C883" s="5" t="str">
        <f>VLOOKUP(globalfreelancepreprocesseddata!A883,worksheet!A:P,5,FALSE)</f>
        <v>Female</v>
      </c>
      <c r="D883" s="5">
        <f>VLOOKUP(globalfreelancepreprocesseddata!A883,worksheet!A:P,6,FALSE)</f>
        <v>50</v>
      </c>
      <c r="E883" s="5" t="str">
        <f>VLOOKUP(globalfreelancepreprocesseddata!A883,worksheet!A:P,7,FALSE)</f>
        <v>Egypt</v>
      </c>
      <c r="F883" s="5" t="str">
        <f>VLOOKUP(globalfreelancepreprocesseddata!A883,worksheet!A:P,8,FALSE)</f>
        <v>Arabic</v>
      </c>
      <c r="G883" s="5" t="str">
        <f>VLOOKUP(globalfreelancepreprocesseddata!A883,worksheet!A:P,9,FALSE)</f>
        <v>Mobile Apps</v>
      </c>
      <c r="H883" s="5">
        <f>VLOOKUP(globalfreelancepreprocesseddata!A883,worksheet!A:P,10,FALSE)</f>
        <v>31</v>
      </c>
      <c r="I883" s="6" t="str">
        <f>VLOOKUP(globalfreelancepreprocesseddata!A883,worksheet!A:P,12,FALSE)</f>
        <v>$ 100</v>
      </c>
      <c r="J883" s="5">
        <f>VLOOKUP(globalfreelancepreprocesseddata!A883,worksheet!A:P,13,FALSE)</f>
        <v>2.9</v>
      </c>
      <c r="K883" s="5">
        <f>VLOOKUP(globalfreelancepreprocesseddata!A883,worksheet!A:P,14,FALSE)</f>
        <v>1</v>
      </c>
      <c r="L883" s="7">
        <f>VLOOKUP(globalfreelancepreprocesseddata!A883,worksheet!A:P,16,FALSE)</f>
        <v>0.89</v>
      </c>
    </row>
    <row r="884" spans="1:12" x14ac:dyDescent="0.35">
      <c r="A884" s="5" t="s">
        <v>1837</v>
      </c>
      <c r="B884" s="5" t="str">
        <f>VLOOKUP(globalfreelancepreprocesseddata!A884,worksheet!A:P,3,FALSE)</f>
        <v>Allen Turner</v>
      </c>
      <c r="C884" s="5" t="str">
        <f>VLOOKUP(globalfreelancepreprocesseddata!A884,worksheet!A:P,5,FALSE)</f>
        <v>Male</v>
      </c>
      <c r="D884" s="5">
        <f>VLOOKUP(globalfreelancepreprocesseddata!A884,worksheet!A:P,6,FALSE)</f>
        <v>45</v>
      </c>
      <c r="E884" s="5" t="str">
        <f>VLOOKUP(globalfreelancepreprocesseddata!A884,worksheet!A:P,7,FALSE)</f>
        <v>South Korea</v>
      </c>
      <c r="F884" s="5" t="str">
        <f>VLOOKUP(globalfreelancepreprocesseddata!A884,worksheet!A:P,8,FALSE)</f>
        <v>Korean</v>
      </c>
      <c r="G884" s="5" t="str">
        <f>VLOOKUP(globalfreelancepreprocesseddata!A884,worksheet!A:P,9,FALSE)</f>
        <v>AI</v>
      </c>
      <c r="H884" s="5">
        <f>VLOOKUP(globalfreelancepreprocesseddata!A884,worksheet!A:P,10,FALSE)</f>
        <v>11</v>
      </c>
      <c r="I884" s="6" t="str">
        <f>VLOOKUP(globalfreelancepreprocesseddata!A884,worksheet!A:P,12,FALSE)</f>
        <v>$ 20</v>
      </c>
      <c r="J884" s="5">
        <f>VLOOKUP(globalfreelancepreprocesseddata!A884,worksheet!A:P,13,FALSE)</f>
        <v>3.3</v>
      </c>
      <c r="K884" s="5">
        <f>VLOOKUP(globalfreelancepreprocesseddata!A884,worksheet!A:P,14,FALSE)</f>
        <v>1</v>
      </c>
      <c r="L884" s="7">
        <f>VLOOKUP(globalfreelancepreprocesseddata!A884,worksheet!A:P,16,FALSE)</f>
        <v>0.93</v>
      </c>
    </row>
    <row r="885" spans="1:12" x14ac:dyDescent="0.35">
      <c r="A885" s="5" t="s">
        <v>1839</v>
      </c>
      <c r="B885" s="5" t="str">
        <f>VLOOKUP(globalfreelancepreprocesseddata!A885,worksheet!A:P,3,FALSE)</f>
        <v>Beth Huff</v>
      </c>
      <c r="C885" s="5" t="str">
        <f>VLOOKUP(globalfreelancepreprocesseddata!A885,worksheet!A:P,5,FALSE)</f>
        <v>Female</v>
      </c>
      <c r="D885" s="5">
        <f>VLOOKUP(globalfreelancepreprocesseddata!A885,worksheet!A:P,6,FALSE)</f>
        <v>48</v>
      </c>
      <c r="E885" s="5" t="str">
        <f>VLOOKUP(globalfreelancepreprocesseddata!A885,worksheet!A:P,7,FALSE)</f>
        <v>Canada</v>
      </c>
      <c r="F885" s="5" t="str">
        <f>VLOOKUP(globalfreelancepreprocesseddata!A885,worksheet!A:P,8,FALSE)</f>
        <v>English</v>
      </c>
      <c r="G885" s="5" t="str">
        <f>VLOOKUP(globalfreelancepreprocesseddata!A885,worksheet!A:P,9,FALSE)</f>
        <v>Cybersecurity</v>
      </c>
      <c r="H885" s="5">
        <f>VLOOKUP(globalfreelancepreprocesseddata!A885,worksheet!A:P,10,FALSE)</f>
        <v>24</v>
      </c>
      <c r="I885" s="6">
        <f>VLOOKUP(globalfreelancepreprocesseddata!A885,worksheet!A:P,12,FALSE)</f>
        <v>100</v>
      </c>
      <c r="J885" s="5">
        <f>VLOOKUP(globalfreelancepreprocesseddata!A885,worksheet!A:P,13,FALSE)</f>
        <v>4.8</v>
      </c>
      <c r="K885" s="5">
        <f>VLOOKUP(globalfreelancepreprocesseddata!A885,worksheet!A:P,14,FALSE)</f>
        <v>1</v>
      </c>
      <c r="L885" s="7">
        <f>VLOOKUP(globalfreelancepreprocesseddata!A885,worksheet!A:P,16,FALSE)</f>
        <v>0.84</v>
      </c>
    </row>
    <row r="886" spans="1:12" x14ac:dyDescent="0.35">
      <c r="A886" s="5" t="s">
        <v>1841</v>
      </c>
      <c r="B886" s="5" t="str">
        <f>VLOOKUP(globalfreelancepreprocesseddata!A886,worksheet!A:P,3,FALSE)</f>
        <v>John Mckinney</v>
      </c>
      <c r="C886" s="5" t="str">
        <f>VLOOKUP(globalfreelancepreprocesseddata!A886,worksheet!A:P,5,FALSE)</f>
        <v>Male</v>
      </c>
      <c r="D886" s="5">
        <f>VLOOKUP(globalfreelancepreprocesseddata!A886,worksheet!A:P,6,FALSE)</f>
        <v>30</v>
      </c>
      <c r="E886" s="5" t="str">
        <f>VLOOKUP(globalfreelancepreprocesseddata!A886,worksheet!A:P,7,FALSE)</f>
        <v>Indonesia</v>
      </c>
      <c r="F886" s="5" t="str">
        <f>VLOOKUP(globalfreelancepreprocesseddata!A886,worksheet!A:P,8,FALSE)</f>
        <v>Indonesian</v>
      </c>
      <c r="G886" s="5" t="str">
        <f>VLOOKUP(globalfreelancepreprocesseddata!A886,worksheet!A:P,9,FALSE)</f>
        <v>DevOps</v>
      </c>
      <c r="H886" s="5">
        <f>VLOOKUP(globalfreelancepreprocesseddata!A886,worksheet!A:P,10,FALSE)</f>
        <v>11</v>
      </c>
      <c r="I886" s="6">
        <f>VLOOKUP(globalfreelancepreprocesseddata!A886,worksheet!A:P,12,FALSE)</f>
        <v>100</v>
      </c>
      <c r="J886" s="5">
        <f>VLOOKUP(globalfreelancepreprocesseddata!A886,worksheet!A:P,13,FALSE)</f>
        <v>4.5</v>
      </c>
      <c r="K886" s="5">
        <f>VLOOKUP(globalfreelancepreprocesseddata!A886,worksheet!A:P,14,FALSE)</f>
        <v>1</v>
      </c>
      <c r="L886" s="7">
        <f>VLOOKUP(globalfreelancepreprocesseddata!A886,worksheet!A:P,16,FALSE)</f>
        <v>0.78</v>
      </c>
    </row>
    <row r="887" spans="1:12" x14ac:dyDescent="0.35">
      <c r="A887" s="5" t="s">
        <v>1843</v>
      </c>
      <c r="B887" s="5" t="str">
        <f>VLOOKUP(globalfreelancepreprocesseddata!A887,worksheet!A:P,3,FALSE)</f>
        <v>Sarah Ho</v>
      </c>
      <c r="C887" s="5" t="str">
        <f>VLOOKUP(globalfreelancepreprocesseddata!A887,worksheet!A:P,5,FALSE)</f>
        <v>Female</v>
      </c>
      <c r="D887" s="5">
        <f>VLOOKUP(globalfreelancepreprocesseddata!A887,worksheet!A:P,6,FALSE)</f>
        <v>33</v>
      </c>
      <c r="E887" s="5" t="str">
        <f>VLOOKUP(globalfreelancepreprocesseddata!A887,worksheet!A:P,7,FALSE)</f>
        <v>Netherlands</v>
      </c>
      <c r="F887" s="5" t="str">
        <f>VLOOKUP(globalfreelancepreprocesseddata!A887,worksheet!A:P,8,FALSE)</f>
        <v>Dutch</v>
      </c>
      <c r="G887" s="5" t="str">
        <f>VLOOKUP(globalfreelancepreprocesseddata!A887,worksheet!A:P,9,FALSE)</f>
        <v>UI/UX Design</v>
      </c>
      <c r="H887" s="5">
        <f>VLOOKUP(globalfreelancepreprocesseddata!A887,worksheet!A:P,10,FALSE)</f>
        <v>6</v>
      </c>
      <c r="I887" s="6">
        <f>VLOOKUP(globalfreelancepreprocesseddata!A887,worksheet!A:P,12,FALSE)</f>
        <v>50</v>
      </c>
      <c r="J887" s="5">
        <f>VLOOKUP(globalfreelancepreprocesseddata!A887,worksheet!A:P,13,FALSE)</f>
        <v>3.1</v>
      </c>
      <c r="K887" s="5">
        <f>VLOOKUP(globalfreelancepreprocesseddata!A887,worksheet!A:P,14,FALSE)</f>
        <v>1</v>
      </c>
      <c r="L887" s="7">
        <f>VLOOKUP(globalfreelancepreprocesseddata!A887,worksheet!A:P,16,FALSE)</f>
        <v>0.9</v>
      </c>
    </row>
    <row r="888" spans="1:12" x14ac:dyDescent="0.35">
      <c r="A888" s="5" t="s">
        <v>1844</v>
      </c>
      <c r="B888" s="5" t="str">
        <f>VLOOKUP(globalfreelancepreprocesseddata!A888,worksheet!A:P,3,FALSE)</f>
        <v>Lindsey Wang</v>
      </c>
      <c r="C888" s="5" t="str">
        <f>VLOOKUP(globalfreelancepreprocesseddata!A888,worksheet!A:P,5,FALSE)</f>
        <v>Female</v>
      </c>
      <c r="D888" s="5">
        <f>VLOOKUP(globalfreelancepreprocesseddata!A888,worksheet!A:P,6,FALSE)</f>
        <v>50</v>
      </c>
      <c r="E888" s="5" t="str">
        <f>VLOOKUP(globalfreelancepreprocesseddata!A888,worksheet!A:P,7,FALSE)</f>
        <v>United Kingdom</v>
      </c>
      <c r="F888" s="5" t="str">
        <f>VLOOKUP(globalfreelancepreprocesseddata!A888,worksheet!A:P,8,FALSE)</f>
        <v>English</v>
      </c>
      <c r="G888" s="5" t="str">
        <f>VLOOKUP(globalfreelancepreprocesseddata!A888,worksheet!A:P,9,FALSE)</f>
        <v>DevOps</v>
      </c>
      <c r="H888" s="5">
        <f>VLOOKUP(globalfreelancepreprocesseddata!A888,worksheet!A:P,10,FALSE)</f>
        <v>11</v>
      </c>
      <c r="I888" s="6">
        <f>VLOOKUP(globalfreelancepreprocesseddata!A888,worksheet!A:P,12,FALSE)</f>
        <v>40</v>
      </c>
      <c r="J888" s="5">
        <f>VLOOKUP(globalfreelancepreprocesseddata!A888,worksheet!A:P,13,FALSE)</f>
        <v>4.9000000000000004</v>
      </c>
      <c r="K888" s="5">
        <f>VLOOKUP(globalfreelancepreprocesseddata!A888,worksheet!A:P,14,FALSE)</f>
        <v>1</v>
      </c>
      <c r="L888" s="7">
        <f>VLOOKUP(globalfreelancepreprocesseddata!A888,worksheet!A:P,16,FALSE)</f>
        <v>0.88</v>
      </c>
    </row>
    <row r="889" spans="1:12" x14ac:dyDescent="0.35">
      <c r="A889" s="5" t="s">
        <v>1846</v>
      </c>
      <c r="B889" s="5" t="str">
        <f>VLOOKUP(globalfreelancepreprocesseddata!A889,worksheet!A:P,3,FALSE)</f>
        <v>Margaret Schwartz</v>
      </c>
      <c r="C889" s="5" t="str">
        <f>VLOOKUP(globalfreelancepreprocesseddata!A889,worksheet!A:P,5,FALSE)</f>
        <v>Female</v>
      </c>
      <c r="D889" s="5">
        <f>VLOOKUP(globalfreelancepreprocesseddata!A889,worksheet!A:P,6,FALSE)</f>
        <v>24</v>
      </c>
      <c r="E889" s="5" t="str">
        <f>VLOOKUP(globalfreelancepreprocesseddata!A889,worksheet!A:P,7,FALSE)</f>
        <v>Indonesia</v>
      </c>
      <c r="F889" s="5" t="str">
        <f>VLOOKUP(globalfreelancepreprocesseddata!A889,worksheet!A:P,8,FALSE)</f>
        <v>Indonesian</v>
      </c>
      <c r="G889" s="5" t="str">
        <f>VLOOKUP(globalfreelancepreprocesseddata!A889,worksheet!A:P,9,FALSE)</f>
        <v>Data Analysis</v>
      </c>
      <c r="H889" s="5">
        <f>VLOOKUP(globalfreelancepreprocesseddata!A889,worksheet!A:P,10,FALSE)</f>
        <v>11</v>
      </c>
      <c r="I889" s="6">
        <f>VLOOKUP(globalfreelancepreprocesseddata!A889,worksheet!A:P,12,FALSE)</f>
        <v>20</v>
      </c>
      <c r="J889" s="5">
        <f>VLOOKUP(globalfreelancepreprocesseddata!A889,worksheet!A:P,13,FALSE)</f>
        <v>0</v>
      </c>
      <c r="K889" s="5">
        <f>VLOOKUP(globalfreelancepreprocesseddata!A889,worksheet!A:P,14,FALSE)</f>
        <v>0</v>
      </c>
      <c r="L889" s="7">
        <f>VLOOKUP(globalfreelancepreprocesseddata!A889,worksheet!A:P,16,FALSE)</f>
        <v>0.76</v>
      </c>
    </row>
    <row r="890" spans="1:12" x14ac:dyDescent="0.35">
      <c r="A890" s="5" t="s">
        <v>1848</v>
      </c>
      <c r="B890" s="5" t="str">
        <f>VLOOKUP(globalfreelancepreprocesseddata!A890,worksheet!A:P,3,FALSE)</f>
        <v>Kyle Ray</v>
      </c>
      <c r="C890" s="5" t="str">
        <f>VLOOKUP(globalfreelancepreprocesseddata!A890,worksheet!A:P,5,FALSE)</f>
        <v>Male</v>
      </c>
      <c r="D890" s="5">
        <f>VLOOKUP(globalfreelancepreprocesseddata!A890,worksheet!A:P,6,FALSE)</f>
        <v>38</v>
      </c>
      <c r="E890" s="5" t="str">
        <f>VLOOKUP(globalfreelancepreprocesseddata!A890,worksheet!A:P,7,FALSE)</f>
        <v>Italy</v>
      </c>
      <c r="F890" s="5" t="str">
        <f>VLOOKUP(globalfreelancepreprocesseddata!A890,worksheet!A:P,8,FALSE)</f>
        <v>Italian</v>
      </c>
      <c r="G890" s="5" t="str">
        <f>VLOOKUP(globalfreelancepreprocesseddata!A890,worksheet!A:P,9,FALSE)</f>
        <v>Web Development</v>
      </c>
      <c r="H890" s="5">
        <f>VLOOKUP(globalfreelancepreprocesseddata!A890,worksheet!A:P,10,FALSE)</f>
        <v>14</v>
      </c>
      <c r="I890" s="6">
        <f>VLOOKUP(globalfreelancepreprocesseddata!A890,worksheet!A:P,12,FALSE)</f>
        <v>75</v>
      </c>
      <c r="J890" s="5">
        <f>VLOOKUP(globalfreelancepreprocesseddata!A890,worksheet!A:P,13,FALSE)</f>
        <v>1.5</v>
      </c>
      <c r="K890" s="5">
        <f>VLOOKUP(globalfreelancepreprocesseddata!A890,worksheet!A:P,14,FALSE)</f>
        <v>0</v>
      </c>
      <c r="L890" s="7">
        <f>VLOOKUP(globalfreelancepreprocesseddata!A890,worksheet!A:P,16,FALSE)</f>
        <v>0.62</v>
      </c>
    </row>
    <row r="891" spans="1:12" x14ac:dyDescent="0.35">
      <c r="A891" s="5" t="s">
        <v>1850</v>
      </c>
      <c r="B891" s="5" t="str">
        <f>VLOOKUP(globalfreelancepreprocesseddata!A891,worksheet!A:P,3,FALSE)</f>
        <v>Isaac Hebert</v>
      </c>
      <c r="C891" s="5" t="str">
        <f>VLOOKUP(globalfreelancepreprocesseddata!A891,worksheet!A:P,5,FALSE)</f>
        <v>Male</v>
      </c>
      <c r="D891" s="5">
        <f>VLOOKUP(globalfreelancepreprocesseddata!A891,worksheet!A:P,6,FALSE)</f>
        <v>56</v>
      </c>
      <c r="E891" s="5" t="str">
        <f>VLOOKUP(globalfreelancepreprocesseddata!A891,worksheet!A:P,7,FALSE)</f>
        <v>Japan</v>
      </c>
      <c r="F891" s="5" t="str">
        <f>VLOOKUP(globalfreelancepreprocesseddata!A891,worksheet!A:P,8,FALSE)</f>
        <v>Japanese</v>
      </c>
      <c r="G891" s="5" t="str">
        <f>VLOOKUP(globalfreelancepreprocesseddata!A891,worksheet!A:P,9,FALSE)</f>
        <v>DevOps</v>
      </c>
      <c r="H891" s="5">
        <f>VLOOKUP(globalfreelancepreprocesseddata!A891,worksheet!A:P,10,FALSE)</f>
        <v>2</v>
      </c>
      <c r="I891" s="6">
        <f>VLOOKUP(globalfreelancepreprocesseddata!A891,worksheet!A:P,12,FALSE)</f>
        <v>75</v>
      </c>
      <c r="J891" s="5">
        <f>VLOOKUP(globalfreelancepreprocesseddata!A891,worksheet!A:P,13,FALSE)</f>
        <v>2.4</v>
      </c>
      <c r="K891" s="5">
        <f>VLOOKUP(globalfreelancepreprocesseddata!A891,worksheet!A:P,14,FALSE)</f>
        <v>0</v>
      </c>
      <c r="L891" s="7">
        <f>VLOOKUP(globalfreelancepreprocesseddata!A891,worksheet!A:P,16,FALSE)</f>
        <v>0.16</v>
      </c>
    </row>
    <row r="892" spans="1:12" x14ac:dyDescent="0.35">
      <c r="A892" s="5" t="s">
        <v>1852</v>
      </c>
      <c r="B892" s="5" t="str">
        <f>VLOOKUP(globalfreelancepreprocesseddata!A892,worksheet!A:P,3,FALSE)</f>
        <v>Michele Jones</v>
      </c>
      <c r="C892" s="5" t="str">
        <f>VLOOKUP(globalfreelancepreprocesseddata!A892,worksheet!A:P,5,FALSE)</f>
        <v>Female</v>
      </c>
      <c r="D892" s="5">
        <f>VLOOKUP(globalfreelancepreprocesseddata!A892,worksheet!A:P,6,FALSE)</f>
        <v>41</v>
      </c>
      <c r="E892" s="5" t="str">
        <f>VLOOKUP(globalfreelancepreprocesseddata!A892,worksheet!A:P,7,FALSE)</f>
        <v>Russia</v>
      </c>
      <c r="F892" s="5" t="str">
        <f>VLOOKUP(globalfreelancepreprocesseddata!A892,worksheet!A:P,8,FALSE)</f>
        <v>Russian</v>
      </c>
      <c r="G892" s="5" t="str">
        <f>VLOOKUP(globalfreelancepreprocesseddata!A892,worksheet!A:P,9,FALSE)</f>
        <v>DevOps</v>
      </c>
      <c r="H892" s="5">
        <f>VLOOKUP(globalfreelancepreprocesseddata!A892,worksheet!A:P,10,FALSE)</f>
        <v>2</v>
      </c>
      <c r="I892" s="6" t="str">
        <f>VLOOKUP(globalfreelancepreprocesseddata!A892,worksheet!A:P,12,FALSE)</f>
        <v>$ 100</v>
      </c>
      <c r="J892" s="5">
        <f>VLOOKUP(globalfreelancepreprocesseddata!A892,worksheet!A:P,13,FALSE)</f>
        <v>4.5</v>
      </c>
      <c r="K892" s="5">
        <f>VLOOKUP(globalfreelancepreprocesseddata!A892,worksheet!A:P,14,FALSE)</f>
        <v>0</v>
      </c>
      <c r="L892" s="7">
        <f>VLOOKUP(globalfreelancepreprocesseddata!A892,worksheet!A:P,16,FALSE)</f>
        <v>0.75</v>
      </c>
    </row>
    <row r="893" spans="1:12" x14ac:dyDescent="0.35">
      <c r="A893" s="5" t="s">
        <v>1854</v>
      </c>
      <c r="B893" s="5" t="str">
        <f>VLOOKUP(globalfreelancepreprocesseddata!A893,worksheet!A:P,3,FALSE)</f>
        <v>Austin Allen</v>
      </c>
      <c r="C893" s="5" t="str">
        <f>VLOOKUP(globalfreelancepreprocesseddata!A893,worksheet!A:P,5,FALSE)</f>
        <v>Male</v>
      </c>
      <c r="D893" s="5">
        <f>VLOOKUP(globalfreelancepreprocesseddata!A893,worksheet!A:P,6,FALSE)</f>
        <v>41</v>
      </c>
      <c r="E893" s="5" t="str">
        <f>VLOOKUP(globalfreelancepreprocesseddata!A893,worksheet!A:P,7,FALSE)</f>
        <v>Italy</v>
      </c>
      <c r="F893" s="5" t="str">
        <f>VLOOKUP(globalfreelancepreprocesseddata!A893,worksheet!A:P,8,FALSE)</f>
        <v>Italian</v>
      </c>
      <c r="G893" s="5" t="str">
        <f>VLOOKUP(globalfreelancepreprocesseddata!A893,worksheet!A:P,9,FALSE)</f>
        <v>UI/UX Design</v>
      </c>
      <c r="H893" s="5">
        <f>VLOOKUP(globalfreelancepreprocesseddata!A893,worksheet!A:P,10,FALSE)</f>
        <v>11</v>
      </c>
      <c r="I893" s="6" t="str">
        <f>VLOOKUP(globalfreelancepreprocesseddata!A893,worksheet!A:P,12,FALSE)</f>
        <v>$ 100</v>
      </c>
      <c r="J893" s="5">
        <f>VLOOKUP(globalfreelancepreprocesseddata!A893,worksheet!A:P,13,FALSE)</f>
        <v>2.5</v>
      </c>
      <c r="K893" s="5">
        <f>VLOOKUP(globalfreelancepreprocesseddata!A893,worksheet!A:P,14,FALSE)</f>
        <v>1</v>
      </c>
      <c r="L893" s="7">
        <f>VLOOKUP(globalfreelancepreprocesseddata!A893,worksheet!A:P,16,FALSE)</f>
        <v>0.8</v>
      </c>
    </row>
    <row r="894" spans="1:12" x14ac:dyDescent="0.35">
      <c r="A894" s="5" t="s">
        <v>1856</v>
      </c>
      <c r="B894" s="5" t="str">
        <f>VLOOKUP(globalfreelancepreprocesseddata!A894,worksheet!A:P,3,FALSE)</f>
        <v>Haley Castro</v>
      </c>
      <c r="C894" s="5" t="str">
        <f>VLOOKUP(globalfreelancepreprocesseddata!A894,worksheet!A:P,5,FALSE)</f>
        <v>Female</v>
      </c>
      <c r="D894" s="5">
        <f>VLOOKUP(globalfreelancepreprocesseddata!A894,worksheet!A:P,6,FALSE)</f>
        <v>42</v>
      </c>
      <c r="E894" s="5" t="str">
        <f>VLOOKUP(globalfreelancepreprocesseddata!A894,worksheet!A:P,7,FALSE)</f>
        <v>Germany</v>
      </c>
      <c r="F894" s="5" t="str">
        <f>VLOOKUP(globalfreelancepreprocesseddata!A894,worksheet!A:P,8,FALSE)</f>
        <v>German</v>
      </c>
      <c r="G894" s="5" t="str">
        <f>VLOOKUP(globalfreelancepreprocesseddata!A894,worksheet!A:P,9,FALSE)</f>
        <v>Graphic Design</v>
      </c>
      <c r="H894" s="5">
        <f>VLOOKUP(globalfreelancepreprocesseddata!A894,worksheet!A:P,10,FALSE)</f>
        <v>13</v>
      </c>
      <c r="I894" s="6">
        <f>VLOOKUP(globalfreelancepreprocesseddata!A894,worksheet!A:P,12,FALSE)</f>
        <v>30</v>
      </c>
      <c r="J894" s="5">
        <f>VLOOKUP(globalfreelancepreprocesseddata!A894,worksheet!A:P,13,FALSE)</f>
        <v>3.3</v>
      </c>
      <c r="K894" s="5">
        <f>VLOOKUP(globalfreelancepreprocesseddata!A894,worksheet!A:P,14,FALSE)</f>
        <v>1</v>
      </c>
      <c r="L894" s="7">
        <f>VLOOKUP(globalfreelancepreprocesseddata!A894,worksheet!A:P,16,FALSE)</f>
        <v>0.63</v>
      </c>
    </row>
    <row r="895" spans="1:12" x14ac:dyDescent="0.35">
      <c r="A895" s="5" t="s">
        <v>1858</v>
      </c>
      <c r="B895" s="5" t="str">
        <f>VLOOKUP(globalfreelancepreprocesseddata!A895,worksheet!A:P,3,FALSE)</f>
        <v>David Armstrong</v>
      </c>
      <c r="C895" s="5" t="str">
        <f>VLOOKUP(globalfreelancepreprocesseddata!A895,worksheet!A:P,5,FALSE)</f>
        <v>Male</v>
      </c>
      <c r="D895" s="5">
        <f>VLOOKUP(globalfreelancepreprocesseddata!A895,worksheet!A:P,6,FALSE)</f>
        <v>26</v>
      </c>
      <c r="E895" s="5" t="str">
        <f>VLOOKUP(globalfreelancepreprocesseddata!A895,worksheet!A:P,7,FALSE)</f>
        <v>India</v>
      </c>
      <c r="F895" s="5" t="str">
        <f>VLOOKUP(globalfreelancepreprocesseddata!A895,worksheet!A:P,8,FALSE)</f>
        <v>Hindi</v>
      </c>
      <c r="G895" s="5" t="str">
        <f>VLOOKUP(globalfreelancepreprocesseddata!A895,worksheet!A:P,9,FALSE)</f>
        <v>Blockchain Development</v>
      </c>
      <c r="H895" s="5">
        <f>VLOOKUP(globalfreelancepreprocesseddata!A895,worksheet!A:P,10,FALSE)</f>
        <v>7</v>
      </c>
      <c r="I895" s="6">
        <f>VLOOKUP(globalfreelancepreprocesseddata!A895,worksheet!A:P,12,FALSE)</f>
        <v>75</v>
      </c>
      <c r="J895" s="5">
        <f>VLOOKUP(globalfreelancepreprocesseddata!A895,worksheet!A:P,13,FALSE)</f>
        <v>3</v>
      </c>
      <c r="K895" s="5">
        <f>VLOOKUP(globalfreelancepreprocesseddata!A895,worksheet!A:P,14,FALSE)</f>
        <v>1</v>
      </c>
      <c r="L895" s="7">
        <f>VLOOKUP(globalfreelancepreprocesseddata!A895,worksheet!A:P,16,FALSE)</f>
        <v>0.84</v>
      </c>
    </row>
    <row r="896" spans="1:12" x14ac:dyDescent="0.35">
      <c r="A896" s="5" t="s">
        <v>1860</v>
      </c>
      <c r="B896" s="5" t="str">
        <f>VLOOKUP(globalfreelancepreprocesseddata!A896,worksheet!A:P,3,FALSE)</f>
        <v>Wendy Mitchell</v>
      </c>
      <c r="C896" s="5" t="str">
        <f>VLOOKUP(globalfreelancepreprocesseddata!A896,worksheet!A:P,5,FALSE)</f>
        <v>Female</v>
      </c>
      <c r="D896" s="5">
        <f>VLOOKUP(globalfreelancepreprocesseddata!A896,worksheet!A:P,6,FALSE)</f>
        <v>44</v>
      </c>
      <c r="E896" s="5" t="str">
        <f>VLOOKUP(globalfreelancepreprocesseddata!A896,worksheet!A:P,7,FALSE)</f>
        <v>Canada</v>
      </c>
      <c r="F896" s="5" t="str">
        <f>VLOOKUP(globalfreelancepreprocesseddata!A896,worksheet!A:P,8,FALSE)</f>
        <v>English</v>
      </c>
      <c r="G896" s="5" t="str">
        <f>VLOOKUP(globalfreelancepreprocesseddata!A896,worksheet!A:P,9,FALSE)</f>
        <v>Cybersecurity</v>
      </c>
      <c r="H896" s="5">
        <f>VLOOKUP(globalfreelancepreprocesseddata!A896,worksheet!A:P,10,FALSE)</f>
        <v>25</v>
      </c>
      <c r="I896" s="6">
        <f>VLOOKUP(globalfreelancepreprocesseddata!A896,worksheet!A:P,12,FALSE)</f>
        <v>75</v>
      </c>
      <c r="J896" s="5">
        <f>VLOOKUP(globalfreelancepreprocesseddata!A896,worksheet!A:P,13,FALSE)</f>
        <v>2.7</v>
      </c>
      <c r="K896" s="5">
        <f>VLOOKUP(globalfreelancepreprocesseddata!A896,worksheet!A:P,14,FALSE)</f>
        <v>1</v>
      </c>
      <c r="L896" s="7">
        <f>VLOOKUP(globalfreelancepreprocesseddata!A896,worksheet!A:P,16,FALSE)</f>
        <v>0.78</v>
      </c>
    </row>
    <row r="897" spans="1:12" x14ac:dyDescent="0.35">
      <c r="A897" s="5" t="s">
        <v>1862</v>
      </c>
      <c r="B897" s="5" t="str">
        <f>VLOOKUP(globalfreelancepreprocesseddata!A897,worksheet!A:P,3,FALSE)</f>
        <v>Anthony Hernandez</v>
      </c>
      <c r="C897" s="5" t="str">
        <f>VLOOKUP(globalfreelancepreprocesseddata!A897,worksheet!A:P,5,FALSE)</f>
        <v>Male</v>
      </c>
      <c r="D897" s="5">
        <f>VLOOKUP(globalfreelancepreprocesseddata!A897,worksheet!A:P,6,FALSE)</f>
        <v>46</v>
      </c>
      <c r="E897" s="5" t="str">
        <f>VLOOKUP(globalfreelancepreprocesseddata!A897,worksheet!A:P,7,FALSE)</f>
        <v>Canada</v>
      </c>
      <c r="F897" s="5" t="str">
        <f>VLOOKUP(globalfreelancepreprocesseddata!A897,worksheet!A:P,8,FALSE)</f>
        <v>English</v>
      </c>
      <c r="G897" s="5" t="str">
        <f>VLOOKUP(globalfreelancepreprocesseddata!A897,worksheet!A:P,9,FALSE)</f>
        <v>Graphic Design</v>
      </c>
      <c r="H897" s="5">
        <f>VLOOKUP(globalfreelancepreprocesseddata!A897,worksheet!A:P,10,FALSE)</f>
        <v>20</v>
      </c>
      <c r="I897" s="6">
        <f>VLOOKUP(globalfreelancepreprocesseddata!A897,worksheet!A:P,12,FALSE)</f>
        <v>20</v>
      </c>
      <c r="J897" s="5">
        <f>VLOOKUP(globalfreelancepreprocesseddata!A897,worksheet!A:P,13,FALSE)</f>
        <v>1.2</v>
      </c>
      <c r="K897" s="5">
        <f>VLOOKUP(globalfreelancepreprocesseddata!A897,worksheet!A:P,14,FALSE)</f>
        <v>0</v>
      </c>
      <c r="L897" s="7">
        <f>VLOOKUP(globalfreelancepreprocesseddata!A897,worksheet!A:P,16,FALSE)</f>
        <v>0.74</v>
      </c>
    </row>
    <row r="898" spans="1:12" x14ac:dyDescent="0.35">
      <c r="A898" s="5" t="s">
        <v>1864</v>
      </c>
      <c r="B898" s="5" t="str">
        <f>VLOOKUP(globalfreelancepreprocesseddata!A898,worksheet!A:P,3,FALSE)</f>
        <v>Erica Johnson</v>
      </c>
      <c r="C898" s="5" t="str">
        <f>VLOOKUP(globalfreelancepreprocesseddata!A898,worksheet!A:P,5,FALSE)</f>
        <v>Female</v>
      </c>
      <c r="D898" s="5">
        <f>VLOOKUP(globalfreelancepreprocesseddata!A898,worksheet!A:P,6,FALSE)</f>
        <v>36</v>
      </c>
      <c r="E898" s="5" t="str">
        <f>VLOOKUP(globalfreelancepreprocesseddata!A898,worksheet!A:P,7,FALSE)</f>
        <v>United States</v>
      </c>
      <c r="F898" s="5" t="str">
        <f>VLOOKUP(globalfreelancepreprocesseddata!A898,worksheet!A:P,8,FALSE)</f>
        <v>English</v>
      </c>
      <c r="G898" s="5" t="str">
        <f>VLOOKUP(globalfreelancepreprocesseddata!A898,worksheet!A:P,9,FALSE)</f>
        <v>UI/UX Design</v>
      </c>
      <c r="H898" s="5">
        <f>VLOOKUP(globalfreelancepreprocesseddata!A898,worksheet!A:P,10,FALSE)</f>
        <v>8</v>
      </c>
      <c r="I898" s="6">
        <f>VLOOKUP(globalfreelancepreprocesseddata!A898,worksheet!A:P,12,FALSE)</f>
        <v>50</v>
      </c>
      <c r="J898" s="5">
        <f>VLOOKUP(globalfreelancepreprocesseddata!A898,worksheet!A:P,13,FALSE)</f>
        <v>4.3</v>
      </c>
      <c r="K898" s="5">
        <f>VLOOKUP(globalfreelancepreprocesseddata!A898,worksheet!A:P,14,FALSE)</f>
        <v>0</v>
      </c>
      <c r="L898" s="7">
        <f>VLOOKUP(globalfreelancepreprocesseddata!A898,worksheet!A:P,16,FALSE)</f>
        <v>0.9</v>
      </c>
    </row>
    <row r="899" spans="1:12" x14ac:dyDescent="0.35">
      <c r="A899" s="5" t="s">
        <v>1866</v>
      </c>
      <c r="B899" s="5" t="str">
        <f>VLOOKUP(globalfreelancepreprocesseddata!A899,worksheet!A:P,3,FALSE)</f>
        <v>Randall Barrett</v>
      </c>
      <c r="C899" s="5" t="str">
        <f>VLOOKUP(globalfreelancepreprocesseddata!A899,worksheet!A:P,5,FALSE)</f>
        <v>Male</v>
      </c>
      <c r="D899" s="5">
        <f>VLOOKUP(globalfreelancepreprocesseddata!A899,worksheet!A:P,6,FALSE)</f>
        <v>26</v>
      </c>
      <c r="E899" s="5" t="str">
        <f>VLOOKUP(globalfreelancepreprocesseddata!A899,worksheet!A:P,7,FALSE)</f>
        <v>Netherlands</v>
      </c>
      <c r="F899" s="5" t="str">
        <f>VLOOKUP(globalfreelancepreprocesseddata!A899,worksheet!A:P,8,FALSE)</f>
        <v>Dutch</v>
      </c>
      <c r="G899" s="5" t="str">
        <f>VLOOKUP(globalfreelancepreprocesseddata!A899,worksheet!A:P,9,FALSE)</f>
        <v>AI</v>
      </c>
      <c r="H899" s="5">
        <f>VLOOKUP(globalfreelancepreprocesseddata!A899,worksheet!A:P,10,FALSE)</f>
        <v>6</v>
      </c>
      <c r="I899" s="6">
        <f>VLOOKUP(globalfreelancepreprocesseddata!A899,worksheet!A:P,12,FALSE)</f>
        <v>40</v>
      </c>
      <c r="J899" s="5">
        <f>VLOOKUP(globalfreelancepreprocesseddata!A899,worksheet!A:P,13,FALSE)</f>
        <v>1.3</v>
      </c>
      <c r="K899" s="5">
        <f>VLOOKUP(globalfreelancepreprocesseddata!A899,worksheet!A:P,14,FALSE)</f>
        <v>0</v>
      </c>
      <c r="L899" s="7">
        <f>VLOOKUP(globalfreelancepreprocesseddata!A899,worksheet!A:P,16,FALSE)</f>
        <v>0.16</v>
      </c>
    </row>
    <row r="900" spans="1:12" x14ac:dyDescent="0.35">
      <c r="A900" s="5" t="s">
        <v>1868</v>
      </c>
      <c r="B900" s="5" t="str">
        <f>VLOOKUP(globalfreelancepreprocesseddata!A900,worksheet!A:P,3,FALSE)</f>
        <v>Nathan Huff</v>
      </c>
      <c r="C900" s="5" t="str">
        <f>VLOOKUP(globalfreelancepreprocesseddata!A900,worksheet!A:P,5,FALSE)</f>
        <v>Male</v>
      </c>
      <c r="D900" s="5">
        <f>VLOOKUP(globalfreelancepreprocesseddata!A900,worksheet!A:P,6,FALSE)</f>
        <v>21</v>
      </c>
      <c r="E900" s="5" t="str">
        <f>VLOOKUP(globalfreelancepreprocesseddata!A900,worksheet!A:P,7,FALSE)</f>
        <v>Germany</v>
      </c>
      <c r="F900" s="5" t="str">
        <f>VLOOKUP(globalfreelancepreprocesseddata!A900,worksheet!A:P,8,FALSE)</f>
        <v>German</v>
      </c>
      <c r="G900" s="5" t="str">
        <f>VLOOKUP(globalfreelancepreprocesseddata!A900,worksheet!A:P,9,FALSE)</f>
        <v>UI/UX Design</v>
      </c>
      <c r="H900" s="5">
        <f>VLOOKUP(globalfreelancepreprocesseddata!A900,worksheet!A:P,10,FALSE)</f>
        <v>3</v>
      </c>
      <c r="I900" s="6">
        <f>VLOOKUP(globalfreelancepreprocesseddata!A900,worksheet!A:P,12,FALSE)</f>
        <v>50</v>
      </c>
      <c r="J900" s="5">
        <f>VLOOKUP(globalfreelancepreprocesseddata!A900,worksheet!A:P,13,FALSE)</f>
        <v>4.5999999999999996</v>
      </c>
      <c r="K900" s="5">
        <f>VLOOKUP(globalfreelancepreprocesseddata!A900,worksheet!A:P,14,FALSE)</f>
        <v>1</v>
      </c>
      <c r="L900" s="7">
        <f>VLOOKUP(globalfreelancepreprocesseddata!A900,worksheet!A:P,16,FALSE)</f>
        <v>0.16</v>
      </c>
    </row>
    <row r="901" spans="1:12" x14ac:dyDescent="0.35">
      <c r="A901" s="5" t="s">
        <v>1870</v>
      </c>
      <c r="B901" s="5" t="str">
        <f>VLOOKUP(globalfreelancepreprocesseddata!A901,worksheet!A:P,3,FALSE)</f>
        <v>Robin Walsh</v>
      </c>
      <c r="C901" s="5" t="str">
        <f>VLOOKUP(globalfreelancepreprocesseddata!A901,worksheet!A:P,5,FALSE)</f>
        <v>Female</v>
      </c>
      <c r="D901" s="5">
        <f>VLOOKUP(globalfreelancepreprocesseddata!A901,worksheet!A:P,6,FALSE)</f>
        <v>39</v>
      </c>
      <c r="E901" s="5" t="str">
        <f>VLOOKUP(globalfreelancepreprocesseddata!A901,worksheet!A:P,7,FALSE)</f>
        <v>Indonesia</v>
      </c>
      <c r="F901" s="5" t="str">
        <f>VLOOKUP(globalfreelancepreprocesseddata!A901,worksheet!A:P,8,FALSE)</f>
        <v>Indonesian</v>
      </c>
      <c r="G901" s="5" t="str">
        <f>VLOOKUP(globalfreelancepreprocesseddata!A901,worksheet!A:P,9,FALSE)</f>
        <v>UI/UX Design</v>
      </c>
      <c r="H901" s="5">
        <f>VLOOKUP(globalfreelancepreprocesseddata!A901,worksheet!A:P,10,FALSE)</f>
        <v>18</v>
      </c>
      <c r="I901" s="6">
        <f>VLOOKUP(globalfreelancepreprocesseddata!A901,worksheet!A:P,12,FALSE)</f>
        <v>50</v>
      </c>
      <c r="J901" s="5">
        <f>VLOOKUP(globalfreelancepreprocesseddata!A901,worksheet!A:P,13,FALSE)</f>
        <v>2.1</v>
      </c>
      <c r="K901" s="5">
        <f>VLOOKUP(globalfreelancepreprocesseddata!A901,worksheet!A:P,14,FALSE)</f>
        <v>0</v>
      </c>
      <c r="L901" s="7">
        <f>VLOOKUP(globalfreelancepreprocesseddata!A901,worksheet!A:P,16,FALSE)</f>
        <v>0.75</v>
      </c>
    </row>
    <row r="902" spans="1:12" x14ac:dyDescent="0.35">
      <c r="A902" s="5" t="s">
        <v>1872</v>
      </c>
      <c r="B902" s="5" t="str">
        <f>VLOOKUP(globalfreelancepreprocesseddata!A902,worksheet!A:P,3,FALSE)</f>
        <v>Yvonne Robinson</v>
      </c>
      <c r="C902" s="5" t="str">
        <f>VLOOKUP(globalfreelancepreprocesseddata!A902,worksheet!A:P,5,FALSE)</f>
        <v>Female</v>
      </c>
      <c r="D902" s="5">
        <f>VLOOKUP(globalfreelancepreprocesseddata!A902,worksheet!A:P,6,FALSE)</f>
        <v>37</v>
      </c>
      <c r="E902" s="5" t="str">
        <f>VLOOKUP(globalfreelancepreprocesseddata!A902,worksheet!A:P,7,FALSE)</f>
        <v>United States</v>
      </c>
      <c r="F902" s="5" t="str">
        <f>VLOOKUP(globalfreelancepreprocesseddata!A902,worksheet!A:P,8,FALSE)</f>
        <v>English</v>
      </c>
      <c r="G902" s="5" t="str">
        <f>VLOOKUP(globalfreelancepreprocesseddata!A902,worksheet!A:P,9,FALSE)</f>
        <v>Blockchain Development</v>
      </c>
      <c r="H902" s="5">
        <f>VLOOKUP(globalfreelancepreprocesseddata!A902,worksheet!A:P,10,FALSE)</f>
        <v>18</v>
      </c>
      <c r="I902" s="6">
        <f>VLOOKUP(globalfreelancepreprocesseddata!A902,worksheet!A:P,12,FALSE)</f>
        <v>40</v>
      </c>
      <c r="J902" s="5">
        <f>VLOOKUP(globalfreelancepreprocesseddata!A902,worksheet!A:P,13,FALSE)</f>
        <v>4.5</v>
      </c>
      <c r="K902" s="5">
        <f>VLOOKUP(globalfreelancepreprocesseddata!A902,worksheet!A:P,14,FALSE)</f>
        <v>1</v>
      </c>
      <c r="L902" s="7">
        <f>VLOOKUP(globalfreelancepreprocesseddata!A902,worksheet!A:P,16,FALSE)</f>
        <v>0.72</v>
      </c>
    </row>
    <row r="903" spans="1:12" x14ac:dyDescent="0.35">
      <c r="A903" s="5" t="s">
        <v>1874</v>
      </c>
      <c r="B903" s="5" t="str">
        <f>VLOOKUP(globalfreelancepreprocesseddata!A903,worksheet!A:P,3,FALSE)</f>
        <v>Kathleen Hendrix</v>
      </c>
      <c r="C903" s="5" t="str">
        <f>VLOOKUP(globalfreelancepreprocesseddata!A903,worksheet!A:P,5,FALSE)</f>
        <v>Female</v>
      </c>
      <c r="D903" s="5">
        <f>VLOOKUP(globalfreelancepreprocesseddata!A903,worksheet!A:P,6,FALSE)</f>
        <v>47</v>
      </c>
      <c r="E903" s="5" t="str">
        <f>VLOOKUP(globalfreelancepreprocesseddata!A903,worksheet!A:P,7,FALSE)</f>
        <v>Russia</v>
      </c>
      <c r="F903" s="5" t="str">
        <f>VLOOKUP(globalfreelancepreprocesseddata!A903,worksheet!A:P,8,FALSE)</f>
        <v>Russian</v>
      </c>
      <c r="G903" s="5" t="str">
        <f>VLOOKUP(globalfreelancepreprocesseddata!A903,worksheet!A:P,9,FALSE)</f>
        <v>UI/UX Design</v>
      </c>
      <c r="H903" s="5">
        <f>VLOOKUP(globalfreelancepreprocesseddata!A903,worksheet!A:P,10,FALSE)</f>
        <v>3</v>
      </c>
      <c r="I903" s="6">
        <f>VLOOKUP(globalfreelancepreprocesseddata!A903,worksheet!A:P,12,FALSE)</f>
        <v>40</v>
      </c>
      <c r="J903" s="5">
        <f>VLOOKUP(globalfreelancepreprocesseddata!A903,worksheet!A:P,13,FALSE)</f>
        <v>4.4000000000000004</v>
      </c>
      <c r="K903" s="5">
        <f>VLOOKUP(globalfreelancepreprocesseddata!A903,worksheet!A:P,14,FALSE)</f>
        <v>1</v>
      </c>
      <c r="L903" s="7">
        <f>VLOOKUP(globalfreelancepreprocesseddata!A903,worksheet!A:P,16,FALSE)</f>
        <v>0.92</v>
      </c>
    </row>
    <row r="904" spans="1:12" x14ac:dyDescent="0.35">
      <c r="A904" s="5" t="s">
        <v>1876</v>
      </c>
      <c r="B904" s="5" t="str">
        <f>VLOOKUP(globalfreelancepreprocesseddata!A904,worksheet!A:P,3,FALSE)</f>
        <v>Jennifer Baker</v>
      </c>
      <c r="C904" s="5" t="str">
        <f>VLOOKUP(globalfreelancepreprocesseddata!A904,worksheet!A:P,5,FALSE)</f>
        <v>Female</v>
      </c>
      <c r="D904" s="5">
        <f>VLOOKUP(globalfreelancepreprocesseddata!A904,worksheet!A:P,6,FALSE)</f>
        <v>53</v>
      </c>
      <c r="E904" s="5" t="str">
        <f>VLOOKUP(globalfreelancepreprocesseddata!A904,worksheet!A:P,7,FALSE)</f>
        <v>Russia</v>
      </c>
      <c r="F904" s="5" t="str">
        <f>VLOOKUP(globalfreelancepreprocesseddata!A904,worksheet!A:P,8,FALSE)</f>
        <v>Russian</v>
      </c>
      <c r="G904" s="5" t="str">
        <f>VLOOKUP(globalfreelancepreprocesseddata!A904,worksheet!A:P,9,FALSE)</f>
        <v>Graphic Design</v>
      </c>
      <c r="H904" s="5">
        <f>VLOOKUP(globalfreelancepreprocesseddata!A904,worksheet!A:P,10,FALSE)</f>
        <v>32</v>
      </c>
      <c r="I904" s="6" t="str">
        <f>VLOOKUP(globalfreelancepreprocesseddata!A904,worksheet!A:P,12,FALSE)</f>
        <v>$ 20</v>
      </c>
      <c r="J904" s="5">
        <f>VLOOKUP(globalfreelancepreprocesseddata!A904,worksheet!A:P,13,FALSE)</f>
        <v>0</v>
      </c>
      <c r="K904" s="5">
        <f>VLOOKUP(globalfreelancepreprocesseddata!A904,worksheet!A:P,14,FALSE)</f>
        <v>0</v>
      </c>
      <c r="L904" s="7">
        <f>VLOOKUP(globalfreelancepreprocesseddata!A904,worksheet!A:P,16,FALSE)</f>
        <v>0.16</v>
      </c>
    </row>
    <row r="905" spans="1:12" x14ac:dyDescent="0.35">
      <c r="A905" s="5" t="s">
        <v>1878</v>
      </c>
      <c r="B905" s="5" t="str">
        <f>VLOOKUP(globalfreelancepreprocesseddata!A905,worksheet!A:P,3,FALSE)</f>
        <v>Kim Martinez</v>
      </c>
      <c r="C905" s="5" t="str">
        <f>VLOOKUP(globalfreelancepreprocesseddata!A905,worksheet!A:P,5,FALSE)</f>
        <v>Female</v>
      </c>
      <c r="D905" s="5">
        <f>VLOOKUP(globalfreelancepreprocesseddata!A905,worksheet!A:P,6,FALSE)</f>
        <v>53</v>
      </c>
      <c r="E905" s="5" t="str">
        <f>VLOOKUP(globalfreelancepreprocesseddata!A905,worksheet!A:P,7,FALSE)</f>
        <v>Argentina</v>
      </c>
      <c r="F905" s="5" t="str">
        <f>VLOOKUP(globalfreelancepreprocesseddata!A905,worksheet!A:P,8,FALSE)</f>
        <v>Spanish</v>
      </c>
      <c r="G905" s="5" t="str">
        <f>VLOOKUP(globalfreelancepreprocesseddata!A905,worksheet!A:P,9,FALSE)</f>
        <v>Mobile Apps</v>
      </c>
      <c r="H905" s="5">
        <f>VLOOKUP(globalfreelancepreprocesseddata!A905,worksheet!A:P,10,FALSE)</f>
        <v>19</v>
      </c>
      <c r="I905" s="6" t="str">
        <f>VLOOKUP(globalfreelancepreprocesseddata!A905,worksheet!A:P,12,FALSE)</f>
        <v>$ 20</v>
      </c>
      <c r="J905" s="5">
        <f>VLOOKUP(globalfreelancepreprocesseddata!A905,worksheet!A:P,13,FALSE)</f>
        <v>1.3</v>
      </c>
      <c r="K905" s="5">
        <f>VLOOKUP(globalfreelancepreprocesseddata!A905,worksheet!A:P,14,FALSE)</f>
        <v>0</v>
      </c>
      <c r="L905" s="7">
        <f>VLOOKUP(globalfreelancepreprocesseddata!A905,worksheet!A:P,16,FALSE)</f>
        <v>0.16</v>
      </c>
    </row>
    <row r="906" spans="1:12" x14ac:dyDescent="0.35">
      <c r="A906" s="5" t="s">
        <v>1880</v>
      </c>
      <c r="B906" s="5" t="str">
        <f>VLOOKUP(globalfreelancepreprocesseddata!A906,worksheet!A:P,3,FALSE)</f>
        <v>Andrew Little</v>
      </c>
      <c r="C906" s="5" t="str">
        <f>VLOOKUP(globalfreelancepreprocesseddata!A906,worksheet!A:P,5,FALSE)</f>
        <v>Male</v>
      </c>
      <c r="D906" s="5">
        <f>VLOOKUP(globalfreelancepreprocesseddata!A906,worksheet!A:P,6,FALSE)</f>
        <v>21</v>
      </c>
      <c r="E906" s="5" t="str">
        <f>VLOOKUP(globalfreelancepreprocesseddata!A906,worksheet!A:P,7,FALSE)</f>
        <v>India</v>
      </c>
      <c r="F906" s="5" t="str">
        <f>VLOOKUP(globalfreelancepreprocesseddata!A906,worksheet!A:P,8,FALSE)</f>
        <v>Hindi</v>
      </c>
      <c r="G906" s="5" t="str">
        <f>VLOOKUP(globalfreelancepreprocesseddata!A906,worksheet!A:P,9,FALSE)</f>
        <v>Data Analysis</v>
      </c>
      <c r="H906" s="5">
        <f>VLOOKUP(globalfreelancepreprocesseddata!A906,worksheet!A:P,10,FALSE)</f>
        <v>2</v>
      </c>
      <c r="I906" s="6">
        <f>VLOOKUP(globalfreelancepreprocesseddata!A906,worksheet!A:P,12,FALSE)</f>
        <v>50</v>
      </c>
      <c r="J906" s="5">
        <f>VLOOKUP(globalfreelancepreprocesseddata!A906,worksheet!A:P,13,FALSE)</f>
        <v>2.6</v>
      </c>
      <c r="K906" s="5">
        <f>VLOOKUP(globalfreelancepreprocesseddata!A906,worksheet!A:P,14,FALSE)</f>
        <v>0</v>
      </c>
      <c r="L906" s="7">
        <f>VLOOKUP(globalfreelancepreprocesseddata!A906,worksheet!A:P,16,FALSE)</f>
        <v>0.86</v>
      </c>
    </row>
    <row r="907" spans="1:12" x14ac:dyDescent="0.35">
      <c r="A907" s="5" t="s">
        <v>1882</v>
      </c>
      <c r="B907" s="5" t="str">
        <f>VLOOKUP(globalfreelancepreprocesseddata!A907,worksheet!A:P,3,FALSE)</f>
        <v>Kelly Shelton</v>
      </c>
      <c r="C907" s="5" t="str">
        <f>VLOOKUP(globalfreelancepreprocesseddata!A907,worksheet!A:P,5,FALSE)</f>
        <v>Female</v>
      </c>
      <c r="D907" s="5">
        <f>VLOOKUP(globalfreelancepreprocesseddata!A907,worksheet!A:P,6,FALSE)</f>
        <v>35</v>
      </c>
      <c r="E907" s="5" t="str">
        <f>VLOOKUP(globalfreelancepreprocesseddata!A907,worksheet!A:P,7,FALSE)</f>
        <v>United Kingdom</v>
      </c>
      <c r="F907" s="5" t="str">
        <f>VLOOKUP(globalfreelancepreprocesseddata!A907,worksheet!A:P,8,FALSE)</f>
        <v>English</v>
      </c>
      <c r="G907" s="5" t="str">
        <f>VLOOKUP(globalfreelancepreprocesseddata!A907,worksheet!A:P,9,FALSE)</f>
        <v>Blockchain Development</v>
      </c>
      <c r="H907" s="5">
        <f>VLOOKUP(globalfreelancepreprocesseddata!A907,worksheet!A:P,10,FALSE)</f>
        <v>11</v>
      </c>
      <c r="I907" s="6">
        <f>VLOOKUP(globalfreelancepreprocesseddata!A907,worksheet!A:P,12,FALSE)</f>
        <v>40</v>
      </c>
      <c r="J907" s="5">
        <f>VLOOKUP(globalfreelancepreprocesseddata!A907,worksheet!A:P,13,FALSE)</f>
        <v>3</v>
      </c>
      <c r="K907" s="5">
        <f>VLOOKUP(globalfreelancepreprocesseddata!A907,worksheet!A:P,14,FALSE)</f>
        <v>1</v>
      </c>
      <c r="L907" s="7">
        <f>VLOOKUP(globalfreelancepreprocesseddata!A907,worksheet!A:P,16,FALSE)</f>
        <v>0.85</v>
      </c>
    </row>
    <row r="908" spans="1:12" x14ac:dyDescent="0.35">
      <c r="A908" s="5" t="s">
        <v>1884</v>
      </c>
      <c r="B908" s="5" t="str">
        <f>VLOOKUP(globalfreelancepreprocesseddata!A908,worksheet!A:P,3,FALSE)</f>
        <v>Steven Duncan</v>
      </c>
      <c r="C908" s="5" t="str">
        <f>VLOOKUP(globalfreelancepreprocesseddata!A908,worksheet!A:P,5,FALSE)</f>
        <v>Male</v>
      </c>
      <c r="D908" s="5">
        <f>VLOOKUP(globalfreelancepreprocesseddata!A908,worksheet!A:P,6,FALSE)</f>
        <v>31</v>
      </c>
      <c r="E908" s="5" t="str">
        <f>VLOOKUP(globalfreelancepreprocesseddata!A908,worksheet!A:P,7,FALSE)</f>
        <v>Argentina</v>
      </c>
      <c r="F908" s="5" t="str">
        <f>VLOOKUP(globalfreelancepreprocesseddata!A908,worksheet!A:P,8,FALSE)</f>
        <v>Spanish</v>
      </c>
      <c r="G908" s="5" t="str">
        <f>VLOOKUP(globalfreelancepreprocesseddata!A908,worksheet!A:P,9,FALSE)</f>
        <v>Machine Learning</v>
      </c>
      <c r="H908" s="5">
        <f>VLOOKUP(globalfreelancepreprocesseddata!A908,worksheet!A:P,10,FALSE)</f>
        <v>13</v>
      </c>
      <c r="I908" s="6">
        <f>VLOOKUP(globalfreelancepreprocesseddata!A908,worksheet!A:P,12,FALSE)</f>
        <v>40</v>
      </c>
      <c r="J908" s="5">
        <f>VLOOKUP(globalfreelancepreprocesseddata!A908,worksheet!A:P,13,FALSE)</f>
        <v>1.2</v>
      </c>
      <c r="K908" s="5">
        <f>VLOOKUP(globalfreelancepreprocesseddata!A908,worksheet!A:P,14,FALSE)</f>
        <v>0</v>
      </c>
      <c r="L908" s="7">
        <f>VLOOKUP(globalfreelancepreprocesseddata!A908,worksheet!A:P,16,FALSE)</f>
        <v>0.62</v>
      </c>
    </row>
    <row r="909" spans="1:12" x14ac:dyDescent="0.35">
      <c r="A909" s="5" t="s">
        <v>1886</v>
      </c>
      <c r="B909" s="5" t="str">
        <f>VLOOKUP(globalfreelancepreprocesseddata!A909,worksheet!A:P,3,FALSE)</f>
        <v>Kristen Haney</v>
      </c>
      <c r="C909" s="5" t="str">
        <f>VLOOKUP(globalfreelancepreprocesseddata!A909,worksheet!A:P,5,FALSE)</f>
        <v>Female</v>
      </c>
      <c r="D909" s="5">
        <f>VLOOKUP(globalfreelancepreprocesseddata!A909,worksheet!A:P,6,FALSE)</f>
        <v>55</v>
      </c>
      <c r="E909" s="5" t="str">
        <f>VLOOKUP(globalfreelancepreprocesseddata!A909,worksheet!A:P,7,FALSE)</f>
        <v>South Korea</v>
      </c>
      <c r="F909" s="5" t="str">
        <f>VLOOKUP(globalfreelancepreprocesseddata!A909,worksheet!A:P,8,FALSE)</f>
        <v>Korean</v>
      </c>
      <c r="G909" s="5" t="str">
        <f>VLOOKUP(globalfreelancepreprocesseddata!A909,worksheet!A:P,9,FALSE)</f>
        <v>AI</v>
      </c>
      <c r="H909" s="5">
        <f>VLOOKUP(globalfreelancepreprocesseddata!A909,worksheet!A:P,10,FALSE)</f>
        <v>2</v>
      </c>
      <c r="I909" s="6" t="str">
        <f>VLOOKUP(globalfreelancepreprocesseddata!A909,worksheet!A:P,12,FALSE)</f>
        <v>$ 30</v>
      </c>
      <c r="J909" s="5">
        <f>VLOOKUP(globalfreelancepreprocesseddata!A909,worksheet!A:P,13,FALSE)</f>
        <v>3.1</v>
      </c>
      <c r="K909" s="5">
        <f>VLOOKUP(globalfreelancepreprocesseddata!A909,worksheet!A:P,14,FALSE)</f>
        <v>1</v>
      </c>
      <c r="L909" s="7">
        <f>VLOOKUP(globalfreelancepreprocesseddata!A909,worksheet!A:P,16,FALSE)</f>
        <v>0.91</v>
      </c>
    </row>
    <row r="910" spans="1:12" x14ac:dyDescent="0.35">
      <c r="A910" s="5" t="s">
        <v>1888</v>
      </c>
      <c r="B910" s="5" t="str">
        <f>VLOOKUP(globalfreelancepreprocesseddata!A910,worksheet!A:P,3,FALSE)</f>
        <v>Kathy Reese</v>
      </c>
      <c r="C910" s="5" t="str">
        <f>VLOOKUP(globalfreelancepreprocesseddata!A910,worksheet!A:P,5,FALSE)</f>
        <v>Female</v>
      </c>
      <c r="D910" s="5">
        <f>VLOOKUP(globalfreelancepreprocesseddata!A910,worksheet!A:P,6,FALSE)</f>
        <v>59</v>
      </c>
      <c r="E910" s="5" t="str">
        <f>VLOOKUP(globalfreelancepreprocesseddata!A910,worksheet!A:P,7,FALSE)</f>
        <v>Turkey</v>
      </c>
      <c r="F910" s="5" t="str">
        <f>VLOOKUP(globalfreelancepreprocesseddata!A910,worksheet!A:P,8,FALSE)</f>
        <v>Turkish</v>
      </c>
      <c r="G910" s="5" t="str">
        <f>VLOOKUP(globalfreelancepreprocesseddata!A910,worksheet!A:P,9,FALSE)</f>
        <v>Web Development</v>
      </c>
      <c r="H910" s="5">
        <f>VLOOKUP(globalfreelancepreprocesseddata!A910,worksheet!A:P,10,FALSE)</f>
        <v>11</v>
      </c>
      <c r="I910" s="6">
        <f>VLOOKUP(globalfreelancepreprocesseddata!A910,worksheet!A:P,12,FALSE)</f>
        <v>75</v>
      </c>
      <c r="J910" s="5">
        <f>VLOOKUP(globalfreelancepreprocesseddata!A910,worksheet!A:P,13,FALSE)</f>
        <v>2.2999999999999998</v>
      </c>
      <c r="K910" s="5">
        <f>VLOOKUP(globalfreelancepreprocesseddata!A910,worksheet!A:P,14,FALSE)</f>
        <v>1</v>
      </c>
      <c r="L910" s="7">
        <f>VLOOKUP(globalfreelancepreprocesseddata!A910,worksheet!A:P,16,FALSE)</f>
        <v>0.8</v>
      </c>
    </row>
    <row r="911" spans="1:12" x14ac:dyDescent="0.35">
      <c r="A911" s="5" t="s">
        <v>1890</v>
      </c>
      <c r="B911" s="5" t="str">
        <f>VLOOKUP(globalfreelancepreprocesseddata!A911,worksheet!A:P,3,FALSE)</f>
        <v>Steven Murphy</v>
      </c>
      <c r="C911" s="5" t="str">
        <f>VLOOKUP(globalfreelancepreprocesseddata!A911,worksheet!A:P,5,FALSE)</f>
        <v>Male</v>
      </c>
      <c r="D911" s="5">
        <f>VLOOKUP(globalfreelancepreprocesseddata!A911,worksheet!A:P,6,FALSE)</f>
        <v>59</v>
      </c>
      <c r="E911" s="5" t="str">
        <f>VLOOKUP(globalfreelancepreprocesseddata!A911,worksheet!A:P,7,FALSE)</f>
        <v>France</v>
      </c>
      <c r="F911" s="5" t="str">
        <f>VLOOKUP(globalfreelancepreprocesseddata!A911,worksheet!A:P,8,FALSE)</f>
        <v>French</v>
      </c>
      <c r="G911" s="5" t="str">
        <f>VLOOKUP(globalfreelancepreprocesseddata!A911,worksheet!A:P,9,FALSE)</f>
        <v>Cybersecurity</v>
      </c>
      <c r="H911" s="5">
        <f>VLOOKUP(globalfreelancepreprocesseddata!A911,worksheet!A:P,10,FALSE)</f>
        <v>17</v>
      </c>
      <c r="I911" s="6">
        <f>VLOOKUP(globalfreelancepreprocesseddata!A911,worksheet!A:P,12,FALSE)</f>
        <v>100</v>
      </c>
      <c r="J911" s="5">
        <f>VLOOKUP(globalfreelancepreprocesseddata!A911,worksheet!A:P,13,FALSE)</f>
        <v>4</v>
      </c>
      <c r="K911" s="5">
        <f>VLOOKUP(globalfreelancepreprocesseddata!A911,worksheet!A:P,14,FALSE)</f>
        <v>1</v>
      </c>
      <c r="L911" s="7">
        <f>VLOOKUP(globalfreelancepreprocesseddata!A911,worksheet!A:P,16,FALSE)</f>
        <v>0.72</v>
      </c>
    </row>
    <row r="912" spans="1:12" x14ac:dyDescent="0.35">
      <c r="A912" s="5" t="s">
        <v>1892</v>
      </c>
      <c r="B912" s="5" t="str">
        <f>VLOOKUP(globalfreelancepreprocesseddata!A912,worksheet!A:P,3,FALSE)</f>
        <v>William Hartman</v>
      </c>
      <c r="C912" s="5" t="str">
        <f>VLOOKUP(globalfreelancepreprocesseddata!A912,worksheet!A:P,5,FALSE)</f>
        <v>Male</v>
      </c>
      <c r="D912" s="5">
        <f>VLOOKUP(globalfreelancepreprocesseddata!A912,worksheet!A:P,6,FALSE)</f>
        <v>47</v>
      </c>
      <c r="E912" s="5" t="str">
        <f>VLOOKUP(globalfreelancepreprocesseddata!A912,worksheet!A:P,7,FALSE)</f>
        <v>India</v>
      </c>
      <c r="F912" s="5" t="str">
        <f>VLOOKUP(globalfreelancepreprocesseddata!A912,worksheet!A:P,8,FALSE)</f>
        <v>Hindi</v>
      </c>
      <c r="G912" s="5" t="str">
        <f>VLOOKUP(globalfreelancepreprocesseddata!A912,worksheet!A:P,9,FALSE)</f>
        <v>Blockchain Development</v>
      </c>
      <c r="H912" s="5">
        <f>VLOOKUP(globalfreelancepreprocesseddata!A912,worksheet!A:P,10,FALSE)</f>
        <v>10</v>
      </c>
      <c r="I912" s="6">
        <f>VLOOKUP(globalfreelancepreprocesseddata!A912,worksheet!A:P,12,FALSE)</f>
        <v>75</v>
      </c>
      <c r="J912" s="5">
        <f>VLOOKUP(globalfreelancepreprocesseddata!A912,worksheet!A:P,13,FALSE)</f>
        <v>1.9</v>
      </c>
      <c r="K912" s="5">
        <f>VLOOKUP(globalfreelancepreprocesseddata!A912,worksheet!A:P,14,FALSE)</f>
        <v>1</v>
      </c>
      <c r="L912" s="7">
        <f>VLOOKUP(globalfreelancepreprocesseddata!A912,worksheet!A:P,16,FALSE)</f>
        <v>0.16</v>
      </c>
    </row>
    <row r="913" spans="1:12" x14ac:dyDescent="0.35">
      <c r="A913" s="5" t="s">
        <v>1894</v>
      </c>
      <c r="B913" s="5" t="str">
        <f>VLOOKUP(globalfreelancepreprocesseddata!A913,worksheet!A:P,3,FALSE)</f>
        <v>Sonya Haley</v>
      </c>
      <c r="C913" s="5" t="str">
        <f>VLOOKUP(globalfreelancepreprocesseddata!A913,worksheet!A:P,5,FALSE)</f>
        <v>Female</v>
      </c>
      <c r="D913" s="5">
        <f>VLOOKUP(globalfreelancepreprocesseddata!A913,worksheet!A:P,6,FALSE)</f>
        <v>53</v>
      </c>
      <c r="E913" s="5" t="str">
        <f>VLOOKUP(globalfreelancepreprocesseddata!A913,worksheet!A:P,7,FALSE)</f>
        <v>South Africa</v>
      </c>
      <c r="F913" s="5" t="str">
        <f>VLOOKUP(globalfreelancepreprocesseddata!A913,worksheet!A:P,8,FALSE)</f>
        <v>Afrikaans</v>
      </c>
      <c r="G913" s="5" t="str">
        <f>VLOOKUP(globalfreelancepreprocesseddata!A913,worksheet!A:P,9,FALSE)</f>
        <v>Machine Learning</v>
      </c>
      <c r="H913" s="5">
        <f>VLOOKUP(globalfreelancepreprocesseddata!A913,worksheet!A:P,10,FALSE)</f>
        <v>26</v>
      </c>
      <c r="I913" s="6">
        <f>VLOOKUP(globalfreelancepreprocesseddata!A913,worksheet!A:P,12,FALSE)</f>
        <v>75</v>
      </c>
      <c r="J913" s="5">
        <f>VLOOKUP(globalfreelancepreprocesseddata!A913,worksheet!A:P,13,FALSE)</f>
        <v>2.4</v>
      </c>
      <c r="K913" s="5">
        <f>VLOOKUP(globalfreelancepreprocesseddata!A913,worksheet!A:P,14,FALSE)</f>
        <v>1</v>
      </c>
      <c r="L913" s="7">
        <f>VLOOKUP(globalfreelancepreprocesseddata!A913,worksheet!A:P,16,FALSE)</f>
        <v>0.16</v>
      </c>
    </row>
    <row r="914" spans="1:12" x14ac:dyDescent="0.35">
      <c r="A914" s="5" t="s">
        <v>1896</v>
      </c>
      <c r="B914" s="5" t="str">
        <f>VLOOKUP(globalfreelancepreprocesseddata!A914,worksheet!A:P,3,FALSE)</f>
        <v>Robert Evans</v>
      </c>
      <c r="C914" s="5" t="str">
        <f>VLOOKUP(globalfreelancepreprocesseddata!A914,worksheet!A:P,5,FALSE)</f>
        <v>Male</v>
      </c>
      <c r="D914" s="5">
        <f>VLOOKUP(globalfreelancepreprocesseddata!A914,worksheet!A:P,6,FALSE)</f>
        <v>49</v>
      </c>
      <c r="E914" s="5" t="str">
        <f>VLOOKUP(globalfreelancepreprocesseddata!A914,worksheet!A:P,7,FALSE)</f>
        <v>South Africa</v>
      </c>
      <c r="F914" s="5" t="str">
        <f>VLOOKUP(globalfreelancepreprocesseddata!A914,worksheet!A:P,8,FALSE)</f>
        <v>Afrikaans</v>
      </c>
      <c r="G914" s="5" t="str">
        <f>VLOOKUP(globalfreelancepreprocesseddata!A914,worksheet!A:P,9,FALSE)</f>
        <v>Data Analysis</v>
      </c>
      <c r="H914" s="5">
        <f>VLOOKUP(globalfreelancepreprocesseddata!A914,worksheet!A:P,10,FALSE)</f>
        <v>11</v>
      </c>
      <c r="I914" s="6">
        <f>VLOOKUP(globalfreelancepreprocesseddata!A914,worksheet!A:P,12,FALSE)</f>
        <v>30</v>
      </c>
      <c r="J914" s="5">
        <f>VLOOKUP(globalfreelancepreprocesseddata!A914,worksheet!A:P,13,FALSE)</f>
        <v>3</v>
      </c>
      <c r="K914" s="5">
        <f>VLOOKUP(globalfreelancepreprocesseddata!A914,worksheet!A:P,14,FALSE)</f>
        <v>1</v>
      </c>
      <c r="L914" s="7">
        <f>VLOOKUP(globalfreelancepreprocesseddata!A914,worksheet!A:P,16,FALSE)</f>
        <v>0.74</v>
      </c>
    </row>
    <row r="915" spans="1:12" x14ac:dyDescent="0.35">
      <c r="A915" s="5" t="s">
        <v>1897</v>
      </c>
      <c r="B915" s="5" t="str">
        <f>VLOOKUP(globalfreelancepreprocesseddata!A915,worksheet!A:P,3,FALSE)</f>
        <v>Patricia Richardson</v>
      </c>
      <c r="C915" s="5" t="str">
        <f>VLOOKUP(globalfreelancepreprocesseddata!A915,worksheet!A:P,5,FALSE)</f>
        <v>Female</v>
      </c>
      <c r="D915" s="5">
        <f>VLOOKUP(globalfreelancepreprocesseddata!A915,worksheet!A:P,6,FALSE)</f>
        <v>50</v>
      </c>
      <c r="E915" s="5" t="str">
        <f>VLOOKUP(globalfreelancepreprocesseddata!A915,worksheet!A:P,7,FALSE)</f>
        <v>South Africa</v>
      </c>
      <c r="F915" s="5" t="str">
        <f>VLOOKUP(globalfreelancepreprocesseddata!A915,worksheet!A:P,8,FALSE)</f>
        <v>Afrikaans</v>
      </c>
      <c r="G915" s="5" t="str">
        <f>VLOOKUP(globalfreelancepreprocesseddata!A915,worksheet!A:P,9,FALSE)</f>
        <v>Mobile Apps</v>
      </c>
      <c r="H915" s="5">
        <f>VLOOKUP(globalfreelancepreprocesseddata!A915,worksheet!A:P,10,FALSE)</f>
        <v>8</v>
      </c>
      <c r="I915" s="6" t="str">
        <f>VLOOKUP(globalfreelancepreprocesseddata!A915,worksheet!A:P,12,FALSE)</f>
        <v>$ 50</v>
      </c>
      <c r="J915" s="5">
        <f>VLOOKUP(globalfreelancepreprocesseddata!A915,worksheet!A:P,13,FALSE)</f>
        <v>3.7</v>
      </c>
      <c r="K915" s="5">
        <f>VLOOKUP(globalfreelancepreprocesseddata!A915,worksheet!A:P,14,FALSE)</f>
        <v>1</v>
      </c>
      <c r="L915" s="7">
        <f>VLOOKUP(globalfreelancepreprocesseddata!A915,worksheet!A:P,16,FALSE)</f>
        <v>0.82</v>
      </c>
    </row>
    <row r="916" spans="1:12" x14ac:dyDescent="0.35">
      <c r="A916" s="5" t="s">
        <v>1899</v>
      </c>
      <c r="B916" s="5" t="str">
        <f>VLOOKUP(globalfreelancepreprocesseddata!A916,worksheet!A:P,3,FALSE)</f>
        <v>Carolyn Lopez</v>
      </c>
      <c r="C916" s="5" t="str">
        <f>VLOOKUP(globalfreelancepreprocesseddata!A916,worksheet!A:P,5,FALSE)</f>
        <v>Female</v>
      </c>
      <c r="D916" s="5">
        <f>VLOOKUP(globalfreelancepreprocesseddata!A916,worksheet!A:P,6,FALSE)</f>
        <v>59</v>
      </c>
      <c r="E916" s="5" t="str">
        <f>VLOOKUP(globalfreelancepreprocesseddata!A916,worksheet!A:P,7,FALSE)</f>
        <v>South Korea</v>
      </c>
      <c r="F916" s="5" t="str">
        <f>VLOOKUP(globalfreelancepreprocesseddata!A916,worksheet!A:P,8,FALSE)</f>
        <v>Korean</v>
      </c>
      <c r="G916" s="5" t="str">
        <f>VLOOKUP(globalfreelancepreprocesseddata!A916,worksheet!A:P,9,FALSE)</f>
        <v>Machine Learning</v>
      </c>
      <c r="H916" s="5">
        <f>VLOOKUP(globalfreelancepreprocesseddata!A916,worksheet!A:P,10,FALSE)</f>
        <v>22</v>
      </c>
      <c r="I916" s="6" t="str">
        <f>VLOOKUP(globalfreelancepreprocesseddata!A916,worksheet!A:P,12,FALSE)</f>
        <v>$ 100</v>
      </c>
      <c r="J916" s="5">
        <f>VLOOKUP(globalfreelancepreprocesseddata!A916,worksheet!A:P,13,FALSE)</f>
        <v>1.1000000000000001</v>
      </c>
      <c r="K916" s="5">
        <f>VLOOKUP(globalfreelancepreprocesseddata!A916,worksheet!A:P,14,FALSE)</f>
        <v>1</v>
      </c>
      <c r="L916" s="7">
        <f>VLOOKUP(globalfreelancepreprocesseddata!A916,worksheet!A:P,16,FALSE)</f>
        <v>0.85</v>
      </c>
    </row>
    <row r="917" spans="1:12" x14ac:dyDescent="0.35">
      <c r="A917" s="5" t="s">
        <v>1901</v>
      </c>
      <c r="B917" s="5" t="str">
        <f>VLOOKUP(globalfreelancepreprocesseddata!A917,worksheet!A:P,3,FALSE)</f>
        <v>Kyle Burns</v>
      </c>
      <c r="C917" s="5" t="str">
        <f>VLOOKUP(globalfreelancepreprocesseddata!A917,worksheet!A:P,5,FALSE)</f>
        <v>Male</v>
      </c>
      <c r="D917" s="5">
        <f>VLOOKUP(globalfreelancepreprocesseddata!A917,worksheet!A:P,6,FALSE)</f>
        <v>33</v>
      </c>
      <c r="E917" s="5" t="str">
        <f>VLOOKUP(globalfreelancepreprocesseddata!A917,worksheet!A:P,7,FALSE)</f>
        <v>Turkey</v>
      </c>
      <c r="F917" s="5" t="str">
        <f>VLOOKUP(globalfreelancepreprocesseddata!A917,worksheet!A:P,8,FALSE)</f>
        <v>Turkish</v>
      </c>
      <c r="G917" s="5" t="str">
        <f>VLOOKUP(globalfreelancepreprocesseddata!A917,worksheet!A:P,9,FALSE)</f>
        <v>Data Analysis</v>
      </c>
      <c r="H917" s="5">
        <f>VLOOKUP(globalfreelancepreprocesseddata!A917,worksheet!A:P,10,FALSE)</f>
        <v>8</v>
      </c>
      <c r="I917" s="6" t="str">
        <f>VLOOKUP(globalfreelancepreprocesseddata!A917,worksheet!A:P,12,FALSE)</f>
        <v>$ 75</v>
      </c>
      <c r="J917" s="5">
        <f>VLOOKUP(globalfreelancepreprocesseddata!A917,worksheet!A:P,13,FALSE)</f>
        <v>2.2999999999999998</v>
      </c>
      <c r="K917" s="5">
        <f>VLOOKUP(globalfreelancepreprocesseddata!A917,worksheet!A:P,14,FALSE)</f>
        <v>1</v>
      </c>
      <c r="L917" s="7">
        <f>VLOOKUP(globalfreelancepreprocesseddata!A917,worksheet!A:P,16,FALSE)</f>
        <v>0.68</v>
      </c>
    </row>
    <row r="918" spans="1:12" x14ac:dyDescent="0.35">
      <c r="A918" s="5" t="s">
        <v>1903</v>
      </c>
      <c r="B918" s="5" t="str">
        <f>VLOOKUP(globalfreelancepreprocesseddata!A918,worksheet!A:P,3,FALSE)</f>
        <v>Margaret Garcia</v>
      </c>
      <c r="C918" s="5" t="str">
        <f>VLOOKUP(globalfreelancepreprocesseddata!A918,worksheet!A:P,5,FALSE)</f>
        <v>Female</v>
      </c>
      <c r="D918" s="5">
        <f>VLOOKUP(globalfreelancepreprocesseddata!A918,worksheet!A:P,6,FALSE)</f>
        <v>45</v>
      </c>
      <c r="E918" s="5" t="str">
        <f>VLOOKUP(globalfreelancepreprocesseddata!A918,worksheet!A:P,7,FALSE)</f>
        <v>Canada</v>
      </c>
      <c r="F918" s="5" t="str">
        <f>VLOOKUP(globalfreelancepreprocesseddata!A918,worksheet!A:P,8,FALSE)</f>
        <v>English</v>
      </c>
      <c r="G918" s="5" t="str">
        <f>VLOOKUP(globalfreelancepreprocesseddata!A918,worksheet!A:P,9,FALSE)</f>
        <v>Web Development</v>
      </c>
      <c r="H918" s="5">
        <f>VLOOKUP(globalfreelancepreprocesseddata!A918,worksheet!A:P,10,FALSE)</f>
        <v>22</v>
      </c>
      <c r="I918" s="6">
        <f>VLOOKUP(globalfreelancepreprocesseddata!A918,worksheet!A:P,12,FALSE)</f>
        <v>40</v>
      </c>
      <c r="J918" s="5">
        <f>VLOOKUP(globalfreelancepreprocesseddata!A918,worksheet!A:P,13,FALSE)</f>
        <v>3.7</v>
      </c>
      <c r="K918" s="5">
        <f>VLOOKUP(globalfreelancepreprocesseddata!A918,worksheet!A:P,14,FALSE)</f>
        <v>1</v>
      </c>
      <c r="L918" s="7">
        <f>VLOOKUP(globalfreelancepreprocesseddata!A918,worksheet!A:P,16,FALSE)</f>
        <v>0.99</v>
      </c>
    </row>
    <row r="919" spans="1:12" x14ac:dyDescent="0.35">
      <c r="A919" s="5" t="s">
        <v>1905</v>
      </c>
      <c r="B919" s="5" t="str">
        <f>VLOOKUP(globalfreelancepreprocesseddata!A919,worksheet!A:P,3,FALSE)</f>
        <v>Brittany Barker</v>
      </c>
      <c r="C919" s="5" t="str">
        <f>VLOOKUP(globalfreelancepreprocesseddata!A919,worksheet!A:P,5,FALSE)</f>
        <v>Female</v>
      </c>
      <c r="D919" s="5">
        <f>VLOOKUP(globalfreelancepreprocesseddata!A919,worksheet!A:P,6,FALSE)</f>
        <v>36</v>
      </c>
      <c r="E919" s="5" t="str">
        <f>VLOOKUP(globalfreelancepreprocesseddata!A919,worksheet!A:P,7,FALSE)</f>
        <v>Italy</v>
      </c>
      <c r="F919" s="5" t="str">
        <f>VLOOKUP(globalfreelancepreprocesseddata!A919,worksheet!A:P,8,FALSE)</f>
        <v>Italian</v>
      </c>
      <c r="G919" s="5" t="str">
        <f>VLOOKUP(globalfreelancepreprocesseddata!A919,worksheet!A:P,9,FALSE)</f>
        <v>Graphic Design</v>
      </c>
      <c r="H919" s="5">
        <f>VLOOKUP(globalfreelancepreprocesseddata!A919,worksheet!A:P,10,FALSE)</f>
        <v>14</v>
      </c>
      <c r="I919" s="6">
        <f>VLOOKUP(globalfreelancepreprocesseddata!A919,worksheet!A:P,12,FALSE)</f>
        <v>30</v>
      </c>
      <c r="J919" s="5">
        <f>VLOOKUP(globalfreelancepreprocesseddata!A919,worksheet!A:P,13,FALSE)</f>
        <v>1.9</v>
      </c>
      <c r="K919" s="5">
        <f>VLOOKUP(globalfreelancepreprocesseddata!A919,worksheet!A:P,14,FALSE)</f>
        <v>0</v>
      </c>
      <c r="L919" s="7">
        <f>VLOOKUP(globalfreelancepreprocesseddata!A919,worksheet!A:P,16,FALSE)</f>
        <v>0.62</v>
      </c>
    </row>
    <row r="920" spans="1:12" x14ac:dyDescent="0.35">
      <c r="A920" s="5" t="s">
        <v>1907</v>
      </c>
      <c r="B920" s="5" t="str">
        <f>VLOOKUP(globalfreelancepreprocesseddata!A920,worksheet!A:P,3,FALSE)</f>
        <v>Paul Campbell</v>
      </c>
      <c r="C920" s="5" t="str">
        <f>VLOOKUP(globalfreelancepreprocesseddata!A920,worksheet!A:P,5,FALSE)</f>
        <v>Male</v>
      </c>
      <c r="D920" s="5">
        <f>VLOOKUP(globalfreelancepreprocesseddata!A920,worksheet!A:P,6,FALSE)</f>
        <v>46</v>
      </c>
      <c r="E920" s="5" t="str">
        <f>VLOOKUP(globalfreelancepreprocesseddata!A920,worksheet!A:P,7,FALSE)</f>
        <v>South Africa</v>
      </c>
      <c r="F920" s="5" t="str">
        <f>VLOOKUP(globalfreelancepreprocesseddata!A920,worksheet!A:P,8,FALSE)</f>
        <v>Afrikaans</v>
      </c>
      <c r="G920" s="5" t="str">
        <f>VLOOKUP(globalfreelancepreprocesseddata!A920,worksheet!A:P,9,FALSE)</f>
        <v>UI/UX Design</v>
      </c>
      <c r="H920" s="5">
        <f>VLOOKUP(globalfreelancepreprocesseddata!A920,worksheet!A:P,10,FALSE)</f>
        <v>6</v>
      </c>
      <c r="I920" s="6">
        <f>VLOOKUP(globalfreelancepreprocesseddata!A920,worksheet!A:P,12,FALSE)</f>
        <v>30</v>
      </c>
      <c r="J920" s="5">
        <f>VLOOKUP(globalfreelancepreprocesseddata!A920,worksheet!A:P,13,FALSE)</f>
        <v>1.5</v>
      </c>
      <c r="K920" s="5">
        <f>VLOOKUP(globalfreelancepreprocesseddata!A920,worksheet!A:P,14,FALSE)</f>
        <v>0</v>
      </c>
      <c r="L920" s="7">
        <f>VLOOKUP(globalfreelancepreprocesseddata!A920,worksheet!A:P,16,FALSE)</f>
        <v>0.16</v>
      </c>
    </row>
    <row r="921" spans="1:12" x14ac:dyDescent="0.35">
      <c r="A921" s="5" t="s">
        <v>1909</v>
      </c>
      <c r="B921" s="5" t="str">
        <f>VLOOKUP(globalfreelancepreprocesseddata!A921,worksheet!A:P,3,FALSE)</f>
        <v>Amy Morrow</v>
      </c>
      <c r="C921" s="5" t="str">
        <f>VLOOKUP(globalfreelancepreprocesseddata!A921,worksheet!A:P,5,FALSE)</f>
        <v>Female</v>
      </c>
      <c r="D921" s="5">
        <f>VLOOKUP(globalfreelancepreprocesseddata!A921,worksheet!A:P,6,FALSE)</f>
        <v>53</v>
      </c>
      <c r="E921" s="5" t="str">
        <f>VLOOKUP(globalfreelancepreprocesseddata!A921,worksheet!A:P,7,FALSE)</f>
        <v>Turkey</v>
      </c>
      <c r="F921" s="5" t="str">
        <f>VLOOKUP(globalfreelancepreprocesseddata!A921,worksheet!A:P,8,FALSE)</f>
        <v>Turkish</v>
      </c>
      <c r="G921" s="5" t="str">
        <f>VLOOKUP(globalfreelancepreprocesseddata!A921,worksheet!A:P,9,FALSE)</f>
        <v>Graphic Design</v>
      </c>
      <c r="H921" s="5">
        <f>VLOOKUP(globalfreelancepreprocesseddata!A921,worksheet!A:P,10,FALSE)</f>
        <v>14</v>
      </c>
      <c r="I921" s="6">
        <f>VLOOKUP(globalfreelancepreprocesseddata!A921,worksheet!A:P,12,FALSE)</f>
        <v>30</v>
      </c>
      <c r="J921" s="5">
        <f>VLOOKUP(globalfreelancepreprocesseddata!A921,worksheet!A:P,13,FALSE)</f>
        <v>0</v>
      </c>
      <c r="K921" s="5">
        <f>VLOOKUP(globalfreelancepreprocesseddata!A921,worksheet!A:P,14,FALSE)</f>
        <v>0</v>
      </c>
      <c r="L921" s="7">
        <f>VLOOKUP(globalfreelancepreprocesseddata!A921,worksheet!A:P,16,FALSE)</f>
        <v>0.83</v>
      </c>
    </row>
    <row r="922" spans="1:12" x14ac:dyDescent="0.35">
      <c r="A922" s="5" t="s">
        <v>1911</v>
      </c>
      <c r="B922" s="5" t="str">
        <f>VLOOKUP(globalfreelancepreprocesseddata!A922,worksheet!A:P,3,FALSE)</f>
        <v>Amy Fitzgerald</v>
      </c>
      <c r="C922" s="5" t="str">
        <f>VLOOKUP(globalfreelancepreprocesseddata!A922,worksheet!A:P,5,FALSE)</f>
        <v>Female</v>
      </c>
      <c r="D922" s="5">
        <f>VLOOKUP(globalfreelancepreprocesseddata!A922,worksheet!A:P,6,FALSE)</f>
        <v>24</v>
      </c>
      <c r="E922" s="5" t="str">
        <f>VLOOKUP(globalfreelancepreprocesseddata!A922,worksheet!A:P,7,FALSE)</f>
        <v>United States</v>
      </c>
      <c r="F922" s="5" t="str">
        <f>VLOOKUP(globalfreelancepreprocesseddata!A922,worksheet!A:P,8,FALSE)</f>
        <v>English</v>
      </c>
      <c r="G922" s="5" t="str">
        <f>VLOOKUP(globalfreelancepreprocesseddata!A922,worksheet!A:P,9,FALSE)</f>
        <v>Web Development</v>
      </c>
      <c r="H922" s="5">
        <f>VLOOKUP(globalfreelancepreprocesseddata!A922,worksheet!A:P,10,FALSE)</f>
        <v>2</v>
      </c>
      <c r="I922" s="6">
        <f>VLOOKUP(globalfreelancepreprocesseddata!A922,worksheet!A:P,12,FALSE)</f>
        <v>30</v>
      </c>
      <c r="J922" s="5">
        <f>VLOOKUP(globalfreelancepreprocesseddata!A922,worksheet!A:P,13,FALSE)</f>
        <v>3.6</v>
      </c>
      <c r="K922" s="5">
        <f>VLOOKUP(globalfreelancepreprocesseddata!A922,worksheet!A:P,14,FALSE)</f>
        <v>1</v>
      </c>
      <c r="L922" s="7">
        <f>VLOOKUP(globalfreelancepreprocesseddata!A922,worksheet!A:P,16,FALSE)</f>
        <v>0.92</v>
      </c>
    </row>
    <row r="923" spans="1:12" x14ac:dyDescent="0.35">
      <c r="A923" s="5" t="s">
        <v>1913</v>
      </c>
      <c r="B923" s="5" t="str">
        <f>VLOOKUP(globalfreelancepreprocesseddata!A923,worksheet!A:P,3,FALSE)</f>
        <v>Anita Becker</v>
      </c>
      <c r="C923" s="5" t="str">
        <f>VLOOKUP(globalfreelancepreprocesseddata!A923,worksheet!A:P,5,FALSE)</f>
        <v>Female</v>
      </c>
      <c r="D923" s="5">
        <f>VLOOKUP(globalfreelancepreprocesseddata!A923,worksheet!A:P,6,FALSE)</f>
        <v>49</v>
      </c>
      <c r="E923" s="5" t="str">
        <f>VLOOKUP(globalfreelancepreprocesseddata!A923,worksheet!A:P,7,FALSE)</f>
        <v>Spain</v>
      </c>
      <c r="F923" s="5" t="str">
        <f>VLOOKUP(globalfreelancepreprocesseddata!A923,worksheet!A:P,8,FALSE)</f>
        <v>Spanish</v>
      </c>
      <c r="G923" s="5" t="str">
        <f>VLOOKUP(globalfreelancepreprocesseddata!A923,worksheet!A:P,9,FALSE)</f>
        <v>DevOps</v>
      </c>
      <c r="H923" s="5">
        <f>VLOOKUP(globalfreelancepreprocesseddata!A923,worksheet!A:P,10,FALSE)</f>
        <v>4</v>
      </c>
      <c r="I923" s="6">
        <f>VLOOKUP(globalfreelancepreprocesseddata!A923,worksheet!A:P,12,FALSE)</f>
        <v>75</v>
      </c>
      <c r="J923" s="5">
        <f>VLOOKUP(globalfreelancepreprocesseddata!A923,worksheet!A:P,13,FALSE)</f>
        <v>2.1</v>
      </c>
      <c r="K923" s="5">
        <f>VLOOKUP(globalfreelancepreprocesseddata!A923,worksheet!A:P,14,FALSE)</f>
        <v>1</v>
      </c>
      <c r="L923" s="7">
        <f>VLOOKUP(globalfreelancepreprocesseddata!A923,worksheet!A:P,16,FALSE)</f>
        <v>0.85</v>
      </c>
    </row>
    <row r="924" spans="1:12" x14ac:dyDescent="0.35">
      <c r="A924" s="5" t="s">
        <v>1915</v>
      </c>
      <c r="B924" s="5" t="str">
        <f>VLOOKUP(globalfreelancepreprocesseddata!A924,worksheet!A:P,3,FALSE)</f>
        <v>Mrs. Amy Brooks</v>
      </c>
      <c r="C924" s="5" t="str">
        <f>VLOOKUP(globalfreelancepreprocesseddata!A924,worksheet!A:P,5,FALSE)</f>
        <v>Female</v>
      </c>
      <c r="D924" s="5">
        <f>VLOOKUP(globalfreelancepreprocesseddata!A924,worksheet!A:P,6,FALSE)</f>
        <v>49</v>
      </c>
      <c r="E924" s="5" t="str">
        <f>VLOOKUP(globalfreelancepreprocesseddata!A924,worksheet!A:P,7,FALSE)</f>
        <v>South Korea</v>
      </c>
      <c r="F924" s="5" t="str">
        <f>VLOOKUP(globalfreelancepreprocesseddata!A924,worksheet!A:P,8,FALSE)</f>
        <v>Korean</v>
      </c>
      <c r="G924" s="5" t="str">
        <f>VLOOKUP(globalfreelancepreprocesseddata!A924,worksheet!A:P,9,FALSE)</f>
        <v>AI</v>
      </c>
      <c r="H924" s="5">
        <f>VLOOKUP(globalfreelancepreprocesseddata!A924,worksheet!A:P,10,FALSE)</f>
        <v>4</v>
      </c>
      <c r="I924" s="6">
        <f>VLOOKUP(globalfreelancepreprocesseddata!A924,worksheet!A:P,12,FALSE)</f>
        <v>75</v>
      </c>
      <c r="J924" s="5">
        <f>VLOOKUP(globalfreelancepreprocesseddata!A924,worksheet!A:P,13,FALSE)</f>
        <v>2.9</v>
      </c>
      <c r="K924" s="5">
        <f>VLOOKUP(globalfreelancepreprocesseddata!A924,worksheet!A:P,14,FALSE)</f>
        <v>0</v>
      </c>
      <c r="L924" s="7">
        <f>VLOOKUP(globalfreelancepreprocesseddata!A924,worksheet!A:P,16,FALSE)</f>
        <v>0.16</v>
      </c>
    </row>
    <row r="925" spans="1:12" x14ac:dyDescent="0.35">
      <c r="A925" s="5" t="s">
        <v>1917</v>
      </c>
      <c r="B925" s="5" t="str">
        <f>VLOOKUP(globalfreelancepreprocesseddata!A925,worksheet!A:P,3,FALSE)</f>
        <v>Lori Marshall</v>
      </c>
      <c r="C925" s="5" t="str">
        <f>VLOOKUP(globalfreelancepreprocesseddata!A925,worksheet!A:P,5,FALSE)</f>
        <v>Female</v>
      </c>
      <c r="D925" s="5">
        <f>VLOOKUP(globalfreelancepreprocesseddata!A925,worksheet!A:P,6,FALSE)</f>
        <v>49</v>
      </c>
      <c r="E925" s="5" t="str">
        <f>VLOOKUP(globalfreelancepreprocesseddata!A925,worksheet!A:P,7,FALSE)</f>
        <v>South Korea</v>
      </c>
      <c r="F925" s="5" t="str">
        <f>VLOOKUP(globalfreelancepreprocesseddata!A925,worksheet!A:P,8,FALSE)</f>
        <v>Korean</v>
      </c>
      <c r="G925" s="5" t="str">
        <f>VLOOKUP(globalfreelancepreprocesseddata!A925,worksheet!A:P,9,FALSE)</f>
        <v>Mobile Apps</v>
      </c>
      <c r="H925" s="5">
        <f>VLOOKUP(globalfreelancepreprocesseddata!A925,worksheet!A:P,10,FALSE)</f>
        <v>24</v>
      </c>
      <c r="I925" s="6">
        <f>VLOOKUP(globalfreelancepreprocesseddata!A925,worksheet!A:P,12,FALSE)</f>
        <v>100</v>
      </c>
      <c r="J925" s="5">
        <f>VLOOKUP(globalfreelancepreprocesseddata!A925,worksheet!A:P,13,FALSE)</f>
        <v>3.6</v>
      </c>
      <c r="K925" s="5">
        <f>VLOOKUP(globalfreelancepreprocesseddata!A925,worksheet!A:P,14,FALSE)</f>
        <v>1</v>
      </c>
      <c r="L925" s="7">
        <f>VLOOKUP(globalfreelancepreprocesseddata!A925,worksheet!A:P,16,FALSE)</f>
        <v>0.16</v>
      </c>
    </row>
    <row r="926" spans="1:12" x14ac:dyDescent="0.35">
      <c r="A926" s="5" t="s">
        <v>1919</v>
      </c>
      <c r="B926" s="5" t="str">
        <f>VLOOKUP(globalfreelancepreprocesseddata!A926,worksheet!A:P,3,FALSE)</f>
        <v>Jennifer Miller</v>
      </c>
      <c r="C926" s="5" t="str">
        <f>VLOOKUP(globalfreelancepreprocesseddata!A926,worksheet!A:P,5,FALSE)</f>
        <v>Female</v>
      </c>
      <c r="D926" s="5">
        <f>VLOOKUP(globalfreelancepreprocesseddata!A926,worksheet!A:P,6,FALSE)</f>
        <v>58</v>
      </c>
      <c r="E926" s="5" t="str">
        <f>VLOOKUP(globalfreelancepreprocesseddata!A926,worksheet!A:P,7,FALSE)</f>
        <v>Brazil</v>
      </c>
      <c r="F926" s="5" t="str">
        <f>VLOOKUP(globalfreelancepreprocesseddata!A926,worksheet!A:P,8,FALSE)</f>
        <v>Portuguese</v>
      </c>
      <c r="G926" s="5" t="str">
        <f>VLOOKUP(globalfreelancepreprocesseddata!A926,worksheet!A:P,9,FALSE)</f>
        <v>Blockchain Development</v>
      </c>
      <c r="H926" s="5">
        <f>VLOOKUP(globalfreelancepreprocesseddata!A926,worksheet!A:P,10,FALSE)</f>
        <v>29</v>
      </c>
      <c r="I926" s="6">
        <f>VLOOKUP(globalfreelancepreprocesseddata!A926,worksheet!A:P,12,FALSE)</f>
        <v>30</v>
      </c>
      <c r="J926" s="5">
        <f>VLOOKUP(globalfreelancepreprocesseddata!A926,worksheet!A:P,13,FALSE)</f>
        <v>3.3</v>
      </c>
      <c r="K926" s="5">
        <f>VLOOKUP(globalfreelancepreprocesseddata!A926,worksheet!A:P,14,FALSE)</f>
        <v>1</v>
      </c>
      <c r="L926" s="7">
        <f>VLOOKUP(globalfreelancepreprocesseddata!A926,worksheet!A:P,16,FALSE)</f>
        <v>0.89</v>
      </c>
    </row>
    <row r="927" spans="1:12" x14ac:dyDescent="0.35">
      <c r="A927" s="5" t="s">
        <v>1921</v>
      </c>
      <c r="B927" s="5" t="str">
        <f>VLOOKUP(globalfreelancepreprocesseddata!A927,worksheet!A:P,3,FALSE)</f>
        <v>Thomas Young</v>
      </c>
      <c r="C927" s="5" t="str">
        <f>VLOOKUP(globalfreelancepreprocesseddata!A927,worksheet!A:P,5,FALSE)</f>
        <v>Male</v>
      </c>
      <c r="D927" s="5">
        <f>VLOOKUP(globalfreelancepreprocesseddata!A927,worksheet!A:P,6,FALSE)</f>
        <v>50</v>
      </c>
      <c r="E927" s="5" t="str">
        <f>VLOOKUP(globalfreelancepreprocesseddata!A927,worksheet!A:P,7,FALSE)</f>
        <v>South Africa</v>
      </c>
      <c r="F927" s="5" t="str">
        <f>VLOOKUP(globalfreelancepreprocesseddata!A927,worksheet!A:P,8,FALSE)</f>
        <v>Afrikaans</v>
      </c>
      <c r="G927" s="5" t="str">
        <f>VLOOKUP(globalfreelancepreprocesseddata!A927,worksheet!A:P,9,FALSE)</f>
        <v>UI/UX Design</v>
      </c>
      <c r="H927" s="5">
        <f>VLOOKUP(globalfreelancepreprocesseddata!A927,worksheet!A:P,10,FALSE)</f>
        <v>13</v>
      </c>
      <c r="I927" s="6">
        <f>VLOOKUP(globalfreelancepreprocesseddata!A927,worksheet!A:P,12,FALSE)</f>
        <v>40</v>
      </c>
      <c r="J927" s="5">
        <f>VLOOKUP(globalfreelancepreprocesseddata!A927,worksheet!A:P,13,FALSE)</f>
        <v>2.5</v>
      </c>
      <c r="K927" s="5">
        <f>VLOOKUP(globalfreelancepreprocesseddata!A927,worksheet!A:P,14,FALSE)</f>
        <v>1</v>
      </c>
      <c r="L927" s="7">
        <f>VLOOKUP(globalfreelancepreprocesseddata!A927,worksheet!A:P,16,FALSE)</f>
        <v>0.81</v>
      </c>
    </row>
    <row r="928" spans="1:12" x14ac:dyDescent="0.35">
      <c r="A928" s="5" t="s">
        <v>1923</v>
      </c>
      <c r="B928" s="5" t="str">
        <f>VLOOKUP(globalfreelancepreprocesseddata!A928,worksheet!A:P,3,FALSE)</f>
        <v>Zachary Larsen</v>
      </c>
      <c r="C928" s="5" t="str">
        <f>VLOOKUP(globalfreelancepreprocesseddata!A928,worksheet!A:P,5,FALSE)</f>
        <v>Male</v>
      </c>
      <c r="D928" s="5">
        <f>VLOOKUP(globalfreelancepreprocesseddata!A928,worksheet!A:P,6,FALSE)</f>
        <v>27</v>
      </c>
      <c r="E928" s="5" t="str">
        <f>VLOOKUP(globalfreelancepreprocesseddata!A928,worksheet!A:P,7,FALSE)</f>
        <v>South Africa</v>
      </c>
      <c r="F928" s="5" t="str">
        <f>VLOOKUP(globalfreelancepreprocesseddata!A928,worksheet!A:P,8,FALSE)</f>
        <v>Afrikaans</v>
      </c>
      <c r="G928" s="5" t="str">
        <f>VLOOKUP(globalfreelancepreprocesseddata!A928,worksheet!A:P,9,FALSE)</f>
        <v>DevOps</v>
      </c>
      <c r="H928" s="5">
        <f>VLOOKUP(globalfreelancepreprocesseddata!A928,worksheet!A:P,10,FALSE)</f>
        <v>1</v>
      </c>
      <c r="I928" s="6" t="str">
        <f>VLOOKUP(globalfreelancepreprocesseddata!A928,worksheet!A:P,12,FALSE)</f>
        <v>$ 100</v>
      </c>
      <c r="J928" s="5">
        <f>VLOOKUP(globalfreelancepreprocesseddata!A928,worksheet!A:P,13,FALSE)</f>
        <v>3.7</v>
      </c>
      <c r="K928" s="5">
        <f>VLOOKUP(globalfreelancepreprocesseddata!A928,worksheet!A:P,14,FALSE)</f>
        <v>1</v>
      </c>
      <c r="L928" s="7">
        <f>VLOOKUP(globalfreelancepreprocesseddata!A928,worksheet!A:P,16,FALSE)</f>
        <v>0.61</v>
      </c>
    </row>
    <row r="929" spans="1:12" x14ac:dyDescent="0.35">
      <c r="A929" s="5" t="s">
        <v>1925</v>
      </c>
      <c r="B929" s="5" t="str">
        <f>VLOOKUP(globalfreelancepreprocesseddata!A929,worksheet!A:P,3,FALSE)</f>
        <v>Valerie Gutierrez</v>
      </c>
      <c r="C929" s="5" t="str">
        <f>VLOOKUP(globalfreelancepreprocesseddata!A929,worksheet!A:P,5,FALSE)</f>
        <v>Female</v>
      </c>
      <c r="D929" s="5">
        <f>VLOOKUP(globalfreelancepreprocesseddata!A929,worksheet!A:P,6,FALSE)</f>
        <v>20</v>
      </c>
      <c r="E929" s="5" t="str">
        <f>VLOOKUP(globalfreelancepreprocesseddata!A929,worksheet!A:P,7,FALSE)</f>
        <v>South Korea</v>
      </c>
      <c r="F929" s="5" t="str">
        <f>VLOOKUP(globalfreelancepreprocesseddata!A929,worksheet!A:P,8,FALSE)</f>
        <v>Korean</v>
      </c>
      <c r="G929" s="5" t="str">
        <f>VLOOKUP(globalfreelancepreprocesseddata!A929,worksheet!A:P,9,FALSE)</f>
        <v>Machine Learning</v>
      </c>
      <c r="H929" s="5">
        <f>VLOOKUP(globalfreelancepreprocesseddata!A929,worksheet!A:P,10,FALSE)</f>
        <v>11</v>
      </c>
      <c r="I929" s="6">
        <f>VLOOKUP(globalfreelancepreprocesseddata!A929,worksheet!A:P,12,FALSE)</f>
        <v>30</v>
      </c>
      <c r="J929" s="5">
        <f>VLOOKUP(globalfreelancepreprocesseddata!A929,worksheet!A:P,13,FALSE)</f>
        <v>4.5999999999999996</v>
      </c>
      <c r="K929" s="5">
        <f>VLOOKUP(globalfreelancepreprocesseddata!A929,worksheet!A:P,14,FALSE)</f>
        <v>1</v>
      </c>
      <c r="L929" s="7">
        <f>VLOOKUP(globalfreelancepreprocesseddata!A929,worksheet!A:P,16,FALSE)</f>
        <v>0.16</v>
      </c>
    </row>
    <row r="930" spans="1:12" x14ac:dyDescent="0.35">
      <c r="A930" s="5" t="s">
        <v>1927</v>
      </c>
      <c r="B930" s="5" t="str">
        <f>VLOOKUP(globalfreelancepreprocesseddata!A930,worksheet!A:P,3,FALSE)</f>
        <v>Daniel Parker</v>
      </c>
      <c r="C930" s="5" t="str">
        <f>VLOOKUP(globalfreelancepreprocesseddata!A930,worksheet!A:P,5,FALSE)</f>
        <v>Male</v>
      </c>
      <c r="D930" s="5">
        <f>VLOOKUP(globalfreelancepreprocesseddata!A930,worksheet!A:P,6,FALSE)</f>
        <v>52</v>
      </c>
      <c r="E930" s="5" t="str">
        <f>VLOOKUP(globalfreelancepreprocesseddata!A930,worksheet!A:P,7,FALSE)</f>
        <v>Russia</v>
      </c>
      <c r="F930" s="5" t="str">
        <f>VLOOKUP(globalfreelancepreprocesseddata!A930,worksheet!A:P,8,FALSE)</f>
        <v>Russian</v>
      </c>
      <c r="G930" s="5" t="str">
        <f>VLOOKUP(globalfreelancepreprocesseddata!A930,worksheet!A:P,9,FALSE)</f>
        <v>Blockchain Development</v>
      </c>
      <c r="H930" s="5">
        <f>VLOOKUP(globalfreelancepreprocesseddata!A930,worksheet!A:P,10,FALSE)</f>
        <v>15</v>
      </c>
      <c r="I930" s="6">
        <f>VLOOKUP(globalfreelancepreprocesseddata!A930,worksheet!A:P,12,FALSE)</f>
        <v>40</v>
      </c>
      <c r="J930" s="5">
        <f>VLOOKUP(globalfreelancepreprocesseddata!A930,worksheet!A:P,13,FALSE)</f>
        <v>0</v>
      </c>
      <c r="K930" s="5">
        <f>VLOOKUP(globalfreelancepreprocesseddata!A930,worksheet!A:P,14,FALSE)</f>
        <v>1</v>
      </c>
      <c r="L930" s="7">
        <f>VLOOKUP(globalfreelancepreprocesseddata!A930,worksheet!A:P,16,FALSE)</f>
        <v>0.92</v>
      </c>
    </row>
    <row r="931" spans="1:12" x14ac:dyDescent="0.35">
      <c r="A931" s="5" t="s">
        <v>1929</v>
      </c>
      <c r="B931" s="5" t="str">
        <f>VLOOKUP(globalfreelancepreprocesseddata!A931,worksheet!A:P,3,FALSE)</f>
        <v>Nicole Bennett</v>
      </c>
      <c r="C931" s="5" t="str">
        <f>VLOOKUP(globalfreelancepreprocesseddata!A931,worksheet!A:P,5,FALSE)</f>
        <v>Female</v>
      </c>
      <c r="D931" s="5">
        <f>VLOOKUP(globalfreelancepreprocesseddata!A931,worksheet!A:P,6,FALSE)</f>
        <v>22</v>
      </c>
      <c r="E931" s="5" t="str">
        <f>VLOOKUP(globalfreelancepreprocesseddata!A931,worksheet!A:P,7,FALSE)</f>
        <v>France</v>
      </c>
      <c r="F931" s="5" t="str">
        <f>VLOOKUP(globalfreelancepreprocesseddata!A931,worksheet!A:P,8,FALSE)</f>
        <v>French</v>
      </c>
      <c r="G931" s="5" t="str">
        <f>VLOOKUP(globalfreelancepreprocesseddata!A931,worksheet!A:P,9,FALSE)</f>
        <v>Machine Learning</v>
      </c>
      <c r="H931" s="5">
        <f>VLOOKUP(globalfreelancepreprocesseddata!A931,worksheet!A:P,10,FALSE)</f>
        <v>2</v>
      </c>
      <c r="I931" s="6">
        <f>VLOOKUP(globalfreelancepreprocesseddata!A931,worksheet!A:P,12,FALSE)</f>
        <v>30</v>
      </c>
      <c r="J931" s="5">
        <f>VLOOKUP(globalfreelancepreprocesseddata!A931,worksheet!A:P,13,FALSE)</f>
        <v>2</v>
      </c>
      <c r="K931" s="5">
        <f>VLOOKUP(globalfreelancepreprocesseddata!A931,worksheet!A:P,14,FALSE)</f>
        <v>1</v>
      </c>
      <c r="L931" s="7">
        <f>VLOOKUP(globalfreelancepreprocesseddata!A931,worksheet!A:P,16,FALSE)</f>
        <v>0.96</v>
      </c>
    </row>
    <row r="932" spans="1:12" x14ac:dyDescent="0.35">
      <c r="A932" s="5" t="s">
        <v>1931</v>
      </c>
      <c r="B932" s="5" t="str">
        <f>VLOOKUP(globalfreelancepreprocesseddata!A932,worksheet!A:P,3,FALSE)</f>
        <v>Lauren Lowery</v>
      </c>
      <c r="C932" s="5" t="str">
        <f>VLOOKUP(globalfreelancepreprocesseddata!A932,worksheet!A:P,5,FALSE)</f>
        <v>Female</v>
      </c>
      <c r="D932" s="5">
        <f>VLOOKUP(globalfreelancepreprocesseddata!A932,worksheet!A:P,6,FALSE)</f>
        <v>38</v>
      </c>
      <c r="E932" s="5" t="str">
        <f>VLOOKUP(globalfreelancepreprocesseddata!A932,worksheet!A:P,7,FALSE)</f>
        <v>Turkey</v>
      </c>
      <c r="F932" s="5" t="str">
        <f>VLOOKUP(globalfreelancepreprocesseddata!A932,worksheet!A:P,8,FALSE)</f>
        <v>Turkish</v>
      </c>
      <c r="G932" s="5" t="str">
        <f>VLOOKUP(globalfreelancepreprocesseddata!A932,worksheet!A:P,9,FALSE)</f>
        <v>Web Development</v>
      </c>
      <c r="H932" s="5">
        <f>VLOOKUP(globalfreelancepreprocesseddata!A932,worksheet!A:P,10,FALSE)</f>
        <v>14</v>
      </c>
      <c r="I932" s="6">
        <f>VLOOKUP(globalfreelancepreprocesseddata!A932,worksheet!A:P,12,FALSE)</f>
        <v>100</v>
      </c>
      <c r="J932" s="5">
        <f>VLOOKUP(globalfreelancepreprocesseddata!A932,worksheet!A:P,13,FALSE)</f>
        <v>1.7</v>
      </c>
      <c r="K932" s="5">
        <f>VLOOKUP(globalfreelancepreprocesseddata!A932,worksheet!A:P,14,FALSE)</f>
        <v>0</v>
      </c>
      <c r="L932" s="7">
        <f>VLOOKUP(globalfreelancepreprocesseddata!A932,worksheet!A:P,16,FALSE)</f>
        <v>0.66</v>
      </c>
    </row>
    <row r="933" spans="1:12" x14ac:dyDescent="0.35">
      <c r="A933" s="5" t="s">
        <v>1933</v>
      </c>
      <c r="B933" s="5" t="str">
        <f>VLOOKUP(globalfreelancepreprocesseddata!A933,worksheet!A:P,3,FALSE)</f>
        <v>Alexander Woodward</v>
      </c>
      <c r="C933" s="5" t="str">
        <f>VLOOKUP(globalfreelancepreprocesseddata!A933,worksheet!A:P,5,FALSE)</f>
        <v>Male</v>
      </c>
      <c r="D933" s="5">
        <f>VLOOKUP(globalfreelancepreprocesseddata!A933,worksheet!A:P,6,FALSE)</f>
        <v>21</v>
      </c>
      <c r="E933" s="5" t="str">
        <f>VLOOKUP(globalfreelancepreprocesseddata!A933,worksheet!A:P,7,FALSE)</f>
        <v>Canada</v>
      </c>
      <c r="F933" s="5" t="str">
        <f>VLOOKUP(globalfreelancepreprocesseddata!A933,worksheet!A:P,8,FALSE)</f>
        <v>English</v>
      </c>
      <c r="G933" s="5" t="str">
        <f>VLOOKUP(globalfreelancepreprocesseddata!A933,worksheet!A:P,9,FALSE)</f>
        <v>Graphic Design</v>
      </c>
      <c r="H933" s="5">
        <f>VLOOKUP(globalfreelancepreprocesseddata!A933,worksheet!A:P,10,FALSE)</f>
        <v>11</v>
      </c>
      <c r="I933" s="6" t="str">
        <f>VLOOKUP(globalfreelancepreprocesseddata!A933,worksheet!A:P,12,FALSE)</f>
        <v>$ 100</v>
      </c>
      <c r="J933" s="5">
        <f>VLOOKUP(globalfreelancepreprocesseddata!A933,worksheet!A:P,13,FALSE)</f>
        <v>3</v>
      </c>
      <c r="K933" s="5">
        <f>VLOOKUP(globalfreelancepreprocesseddata!A933,worksheet!A:P,14,FALSE)</f>
        <v>0</v>
      </c>
      <c r="L933" s="7">
        <f>VLOOKUP(globalfreelancepreprocesseddata!A933,worksheet!A:P,16,FALSE)</f>
        <v>0.64</v>
      </c>
    </row>
    <row r="934" spans="1:12" x14ac:dyDescent="0.35">
      <c r="A934" s="5" t="s">
        <v>1935</v>
      </c>
      <c r="B934" s="5" t="str">
        <f>VLOOKUP(globalfreelancepreprocesseddata!A934,worksheet!A:P,3,FALSE)</f>
        <v>Anthony Walter</v>
      </c>
      <c r="C934" s="5" t="str">
        <f>VLOOKUP(globalfreelancepreprocesseddata!A934,worksheet!A:P,5,FALSE)</f>
        <v>Male</v>
      </c>
      <c r="D934" s="5">
        <f>VLOOKUP(globalfreelancepreprocesseddata!A934,worksheet!A:P,6,FALSE)</f>
        <v>41</v>
      </c>
      <c r="E934" s="5" t="str">
        <f>VLOOKUP(globalfreelancepreprocesseddata!A934,worksheet!A:P,7,FALSE)</f>
        <v>Australia</v>
      </c>
      <c r="F934" s="5" t="str">
        <f>VLOOKUP(globalfreelancepreprocesseddata!A934,worksheet!A:P,8,FALSE)</f>
        <v>English</v>
      </c>
      <c r="G934" s="5" t="str">
        <f>VLOOKUP(globalfreelancepreprocesseddata!A934,worksheet!A:P,9,FALSE)</f>
        <v>AI</v>
      </c>
      <c r="H934" s="5">
        <f>VLOOKUP(globalfreelancepreprocesseddata!A934,worksheet!A:P,10,FALSE)</f>
        <v>15</v>
      </c>
      <c r="I934" s="6">
        <f>VLOOKUP(globalfreelancepreprocesseddata!A934,worksheet!A:P,12,FALSE)</f>
        <v>40</v>
      </c>
      <c r="J934" s="5">
        <f>VLOOKUP(globalfreelancepreprocesseddata!A934,worksheet!A:P,13,FALSE)</f>
        <v>3.4</v>
      </c>
      <c r="K934" s="5">
        <f>VLOOKUP(globalfreelancepreprocesseddata!A934,worksheet!A:P,14,FALSE)</f>
        <v>0</v>
      </c>
      <c r="L934" s="7">
        <f>VLOOKUP(globalfreelancepreprocesseddata!A934,worksheet!A:P,16,FALSE)</f>
        <v>0.01</v>
      </c>
    </row>
    <row r="935" spans="1:12" x14ac:dyDescent="0.35">
      <c r="A935" s="5" t="s">
        <v>1937</v>
      </c>
      <c r="B935" s="5" t="str">
        <f>VLOOKUP(globalfreelancepreprocesseddata!A935,worksheet!A:P,3,FALSE)</f>
        <v>Valerie Finley</v>
      </c>
      <c r="C935" s="5" t="str">
        <f>VLOOKUP(globalfreelancepreprocesseddata!A935,worksheet!A:P,5,FALSE)</f>
        <v>Female</v>
      </c>
      <c r="D935" s="5">
        <f>VLOOKUP(globalfreelancepreprocesseddata!A935,worksheet!A:P,6,FALSE)</f>
        <v>33</v>
      </c>
      <c r="E935" s="5" t="str">
        <f>VLOOKUP(globalfreelancepreprocesseddata!A935,worksheet!A:P,7,FALSE)</f>
        <v>Indonesia</v>
      </c>
      <c r="F935" s="5" t="str">
        <f>VLOOKUP(globalfreelancepreprocesseddata!A935,worksheet!A:P,8,FALSE)</f>
        <v>Indonesian</v>
      </c>
      <c r="G935" s="5" t="str">
        <f>VLOOKUP(globalfreelancepreprocesseddata!A935,worksheet!A:P,9,FALSE)</f>
        <v>Blockchain Development</v>
      </c>
      <c r="H935" s="5">
        <f>VLOOKUP(globalfreelancepreprocesseddata!A935,worksheet!A:P,10,FALSE)</f>
        <v>6</v>
      </c>
      <c r="I935" s="6">
        <f>VLOOKUP(globalfreelancepreprocesseddata!A935,worksheet!A:P,12,FALSE)</f>
        <v>40</v>
      </c>
      <c r="J935" s="5">
        <f>VLOOKUP(globalfreelancepreprocesseddata!A935,worksheet!A:P,13,FALSE)</f>
        <v>3.2</v>
      </c>
      <c r="K935" s="5">
        <f>VLOOKUP(globalfreelancepreprocesseddata!A935,worksheet!A:P,14,FALSE)</f>
        <v>1</v>
      </c>
      <c r="L935" s="7">
        <f>VLOOKUP(globalfreelancepreprocesseddata!A935,worksheet!A:P,16,FALSE)</f>
        <v>0.95</v>
      </c>
    </row>
    <row r="936" spans="1:12" x14ac:dyDescent="0.35">
      <c r="A936" s="5" t="s">
        <v>1939</v>
      </c>
      <c r="B936" s="5" t="str">
        <f>VLOOKUP(globalfreelancepreprocesseddata!A936,worksheet!A:P,3,FALSE)</f>
        <v>Deborah Kelley</v>
      </c>
      <c r="C936" s="5" t="str">
        <f>VLOOKUP(globalfreelancepreprocesseddata!A936,worksheet!A:P,5,FALSE)</f>
        <v>Female</v>
      </c>
      <c r="D936" s="5">
        <f>VLOOKUP(globalfreelancepreprocesseddata!A936,worksheet!A:P,6,FALSE)</f>
        <v>38</v>
      </c>
      <c r="E936" s="5" t="str">
        <f>VLOOKUP(globalfreelancepreprocesseddata!A936,worksheet!A:P,7,FALSE)</f>
        <v>Mexico</v>
      </c>
      <c r="F936" s="5" t="str">
        <f>VLOOKUP(globalfreelancepreprocesseddata!A936,worksheet!A:P,8,FALSE)</f>
        <v>Spanish</v>
      </c>
      <c r="G936" s="5" t="str">
        <f>VLOOKUP(globalfreelancepreprocesseddata!A936,worksheet!A:P,9,FALSE)</f>
        <v>Mobile Apps</v>
      </c>
      <c r="H936" s="5">
        <f>VLOOKUP(globalfreelancepreprocesseddata!A936,worksheet!A:P,10,FALSE)</f>
        <v>11</v>
      </c>
      <c r="I936" s="6">
        <f>VLOOKUP(globalfreelancepreprocesseddata!A936,worksheet!A:P,12,FALSE)</f>
        <v>40</v>
      </c>
      <c r="J936" s="5">
        <f>VLOOKUP(globalfreelancepreprocesseddata!A936,worksheet!A:P,13,FALSE)</f>
        <v>2.8</v>
      </c>
      <c r="K936" s="5">
        <f>VLOOKUP(globalfreelancepreprocesseddata!A936,worksheet!A:P,14,FALSE)</f>
        <v>1</v>
      </c>
      <c r="L936" s="7">
        <f>VLOOKUP(globalfreelancepreprocesseddata!A936,worksheet!A:P,16,FALSE)</f>
        <v>0.91</v>
      </c>
    </row>
    <row r="937" spans="1:12" x14ac:dyDescent="0.35">
      <c r="A937" s="5" t="s">
        <v>1941</v>
      </c>
      <c r="B937" s="5" t="str">
        <f>VLOOKUP(globalfreelancepreprocesseddata!A937,worksheet!A:P,3,FALSE)</f>
        <v>Kristina Miller</v>
      </c>
      <c r="C937" s="5" t="str">
        <f>VLOOKUP(globalfreelancepreprocesseddata!A937,worksheet!A:P,5,FALSE)</f>
        <v>Female</v>
      </c>
      <c r="D937" s="5">
        <f>VLOOKUP(globalfreelancepreprocesseddata!A937,worksheet!A:P,6,FALSE)</f>
        <v>26</v>
      </c>
      <c r="E937" s="5" t="str">
        <f>VLOOKUP(globalfreelancepreprocesseddata!A937,worksheet!A:P,7,FALSE)</f>
        <v>Russia</v>
      </c>
      <c r="F937" s="5" t="str">
        <f>VLOOKUP(globalfreelancepreprocesseddata!A937,worksheet!A:P,8,FALSE)</f>
        <v>Russian</v>
      </c>
      <c r="G937" s="5" t="str">
        <f>VLOOKUP(globalfreelancepreprocesseddata!A937,worksheet!A:P,9,FALSE)</f>
        <v>DevOps</v>
      </c>
      <c r="H937" s="5">
        <f>VLOOKUP(globalfreelancepreprocesseddata!A937,worksheet!A:P,10,FALSE)</f>
        <v>8</v>
      </c>
      <c r="I937" s="6" t="str">
        <f>VLOOKUP(globalfreelancepreprocesseddata!A937,worksheet!A:P,12,FALSE)</f>
        <v>$ 20</v>
      </c>
      <c r="J937" s="5">
        <f>VLOOKUP(globalfreelancepreprocesseddata!A937,worksheet!A:P,13,FALSE)</f>
        <v>4.0999999999999996</v>
      </c>
      <c r="K937" s="5">
        <f>VLOOKUP(globalfreelancepreprocesseddata!A937,worksheet!A:P,14,FALSE)</f>
        <v>1</v>
      </c>
      <c r="L937" s="7">
        <f>VLOOKUP(globalfreelancepreprocesseddata!A937,worksheet!A:P,16,FALSE)</f>
        <v>0.82</v>
      </c>
    </row>
    <row r="938" spans="1:12" x14ac:dyDescent="0.35">
      <c r="A938" s="5" t="s">
        <v>1943</v>
      </c>
      <c r="B938" s="5" t="str">
        <f>VLOOKUP(globalfreelancepreprocesseddata!A938,worksheet!A:P,3,FALSE)</f>
        <v>Anne Hampton</v>
      </c>
      <c r="C938" s="5" t="str">
        <f>VLOOKUP(globalfreelancepreprocesseddata!A938,worksheet!A:P,5,FALSE)</f>
        <v>Female</v>
      </c>
      <c r="D938" s="5">
        <f>VLOOKUP(globalfreelancepreprocesseddata!A938,worksheet!A:P,6,FALSE)</f>
        <v>43</v>
      </c>
      <c r="E938" s="5" t="str">
        <f>VLOOKUP(globalfreelancepreprocesseddata!A938,worksheet!A:P,7,FALSE)</f>
        <v>Netherlands</v>
      </c>
      <c r="F938" s="5" t="str">
        <f>VLOOKUP(globalfreelancepreprocesseddata!A938,worksheet!A:P,8,FALSE)</f>
        <v>Dutch</v>
      </c>
      <c r="G938" s="5" t="str">
        <f>VLOOKUP(globalfreelancepreprocesseddata!A938,worksheet!A:P,9,FALSE)</f>
        <v>AI</v>
      </c>
      <c r="H938" s="5">
        <f>VLOOKUP(globalfreelancepreprocesseddata!A938,worksheet!A:P,10,FALSE)</f>
        <v>3</v>
      </c>
      <c r="I938" s="6">
        <f>VLOOKUP(globalfreelancepreprocesseddata!A938,worksheet!A:P,12,FALSE)</f>
        <v>20</v>
      </c>
      <c r="J938" s="5">
        <f>VLOOKUP(globalfreelancepreprocesseddata!A938,worksheet!A:P,13,FALSE)</f>
        <v>0</v>
      </c>
      <c r="K938" s="5">
        <f>VLOOKUP(globalfreelancepreprocesseddata!A938,worksheet!A:P,14,FALSE)</f>
        <v>1</v>
      </c>
      <c r="L938" s="7">
        <f>VLOOKUP(globalfreelancepreprocesseddata!A938,worksheet!A:P,16,FALSE)</f>
        <v>0.95</v>
      </c>
    </row>
    <row r="939" spans="1:12" x14ac:dyDescent="0.35">
      <c r="A939" s="5" t="s">
        <v>1945</v>
      </c>
      <c r="B939" s="5" t="str">
        <f>VLOOKUP(globalfreelancepreprocesseddata!A939,worksheet!A:P,3,FALSE)</f>
        <v>Sandra Henry</v>
      </c>
      <c r="C939" s="5" t="str">
        <f>VLOOKUP(globalfreelancepreprocesseddata!A939,worksheet!A:P,5,FALSE)</f>
        <v>Female</v>
      </c>
      <c r="D939" s="5">
        <f>VLOOKUP(globalfreelancepreprocesseddata!A939,worksheet!A:P,6,FALSE)</f>
        <v>21</v>
      </c>
      <c r="E939" s="5" t="str">
        <f>VLOOKUP(globalfreelancepreprocesseddata!A939,worksheet!A:P,7,FALSE)</f>
        <v>Italy</v>
      </c>
      <c r="F939" s="5" t="str">
        <f>VLOOKUP(globalfreelancepreprocesseddata!A939,worksheet!A:P,8,FALSE)</f>
        <v>Italian</v>
      </c>
      <c r="G939" s="5" t="str">
        <f>VLOOKUP(globalfreelancepreprocesseddata!A939,worksheet!A:P,9,FALSE)</f>
        <v>Cybersecurity</v>
      </c>
      <c r="H939" s="5">
        <f>VLOOKUP(globalfreelancepreprocesseddata!A939,worksheet!A:P,10,FALSE)</f>
        <v>11</v>
      </c>
      <c r="I939" s="6">
        <f>VLOOKUP(globalfreelancepreprocesseddata!A939,worksheet!A:P,12,FALSE)</f>
        <v>40</v>
      </c>
      <c r="J939" s="5">
        <f>VLOOKUP(globalfreelancepreprocesseddata!A939,worksheet!A:P,13,FALSE)</f>
        <v>0</v>
      </c>
      <c r="K939" s="5">
        <f>VLOOKUP(globalfreelancepreprocesseddata!A939,worksheet!A:P,14,FALSE)</f>
        <v>1</v>
      </c>
      <c r="L939" s="7">
        <f>VLOOKUP(globalfreelancepreprocesseddata!A939,worksheet!A:P,16,FALSE)</f>
        <v>0.95</v>
      </c>
    </row>
    <row r="940" spans="1:12" x14ac:dyDescent="0.35">
      <c r="A940" s="5" t="s">
        <v>1947</v>
      </c>
      <c r="B940" s="5" t="str">
        <f>VLOOKUP(globalfreelancepreprocesseddata!A940,worksheet!A:P,3,FALSE)</f>
        <v>Tony Hester</v>
      </c>
      <c r="C940" s="5" t="str">
        <f>VLOOKUP(globalfreelancepreprocesseddata!A940,worksheet!A:P,5,FALSE)</f>
        <v>Male</v>
      </c>
      <c r="D940" s="5">
        <f>VLOOKUP(globalfreelancepreprocesseddata!A940,worksheet!A:P,6,FALSE)</f>
        <v>47</v>
      </c>
      <c r="E940" s="5" t="str">
        <f>VLOOKUP(globalfreelancepreprocesseddata!A940,worksheet!A:P,7,FALSE)</f>
        <v>South Korea</v>
      </c>
      <c r="F940" s="5" t="str">
        <f>VLOOKUP(globalfreelancepreprocesseddata!A940,worksheet!A:P,8,FALSE)</f>
        <v>Korean</v>
      </c>
      <c r="G940" s="5" t="str">
        <f>VLOOKUP(globalfreelancepreprocesseddata!A940,worksheet!A:P,9,FALSE)</f>
        <v>Mobile Apps</v>
      </c>
      <c r="H940" s="5">
        <f>VLOOKUP(globalfreelancepreprocesseddata!A940,worksheet!A:P,10,FALSE)</f>
        <v>7</v>
      </c>
      <c r="I940" s="6" t="str">
        <f>VLOOKUP(globalfreelancepreprocesseddata!A940,worksheet!A:P,12,FALSE)</f>
        <v>$ 30</v>
      </c>
      <c r="J940" s="5">
        <f>VLOOKUP(globalfreelancepreprocesseddata!A940,worksheet!A:P,13,FALSE)</f>
        <v>3</v>
      </c>
      <c r="K940" s="5">
        <f>VLOOKUP(globalfreelancepreprocesseddata!A940,worksheet!A:P,14,FALSE)</f>
        <v>1</v>
      </c>
      <c r="L940" s="7">
        <f>VLOOKUP(globalfreelancepreprocesseddata!A940,worksheet!A:P,16,FALSE)</f>
        <v>0.69</v>
      </c>
    </row>
    <row r="941" spans="1:12" x14ac:dyDescent="0.35">
      <c r="A941" s="5" t="s">
        <v>1949</v>
      </c>
      <c r="B941" s="5" t="str">
        <f>VLOOKUP(globalfreelancepreprocesseddata!A941,worksheet!A:P,3,FALSE)</f>
        <v>Nathan Davis</v>
      </c>
      <c r="C941" s="5" t="str">
        <f>VLOOKUP(globalfreelancepreprocesseddata!A941,worksheet!A:P,5,FALSE)</f>
        <v>Male</v>
      </c>
      <c r="D941" s="5">
        <f>VLOOKUP(globalfreelancepreprocesseddata!A941,worksheet!A:P,6,FALSE)</f>
        <v>35</v>
      </c>
      <c r="E941" s="5" t="str">
        <f>VLOOKUP(globalfreelancepreprocesseddata!A941,worksheet!A:P,7,FALSE)</f>
        <v>Spain</v>
      </c>
      <c r="F941" s="5" t="str">
        <f>VLOOKUP(globalfreelancepreprocesseddata!A941,worksheet!A:P,8,FALSE)</f>
        <v>Spanish</v>
      </c>
      <c r="G941" s="5" t="str">
        <f>VLOOKUP(globalfreelancepreprocesseddata!A941,worksheet!A:P,9,FALSE)</f>
        <v>Graphic Design</v>
      </c>
      <c r="H941" s="5">
        <f>VLOOKUP(globalfreelancepreprocesseddata!A941,worksheet!A:P,10,FALSE)</f>
        <v>6</v>
      </c>
      <c r="I941" s="6">
        <f>VLOOKUP(globalfreelancepreprocesseddata!A941,worksheet!A:P,12,FALSE)</f>
        <v>40</v>
      </c>
      <c r="J941" s="5">
        <f>VLOOKUP(globalfreelancepreprocesseddata!A941,worksheet!A:P,13,FALSE)</f>
        <v>3</v>
      </c>
      <c r="K941" s="5">
        <f>VLOOKUP(globalfreelancepreprocesseddata!A941,worksheet!A:P,14,FALSE)</f>
        <v>1</v>
      </c>
      <c r="L941" s="7">
        <f>VLOOKUP(globalfreelancepreprocesseddata!A941,worksheet!A:P,16,FALSE)</f>
        <v>0.91</v>
      </c>
    </row>
    <row r="942" spans="1:12" x14ac:dyDescent="0.35">
      <c r="A942" s="5" t="s">
        <v>1951</v>
      </c>
      <c r="B942" s="5" t="str">
        <f>VLOOKUP(globalfreelancepreprocesseddata!A942,worksheet!A:P,3,FALSE)</f>
        <v>Erica Jackson</v>
      </c>
      <c r="C942" s="5" t="str">
        <f>VLOOKUP(globalfreelancepreprocesseddata!A942,worksheet!A:P,5,FALSE)</f>
        <v>Female</v>
      </c>
      <c r="D942" s="5">
        <f>VLOOKUP(globalfreelancepreprocesseddata!A942,worksheet!A:P,6,FALSE)</f>
        <v>37</v>
      </c>
      <c r="E942" s="5" t="str">
        <f>VLOOKUP(globalfreelancepreprocesseddata!A942,worksheet!A:P,7,FALSE)</f>
        <v>Indonesia</v>
      </c>
      <c r="F942" s="5" t="str">
        <f>VLOOKUP(globalfreelancepreprocesseddata!A942,worksheet!A:P,8,FALSE)</f>
        <v>Indonesian</v>
      </c>
      <c r="G942" s="5" t="str">
        <f>VLOOKUP(globalfreelancepreprocesseddata!A942,worksheet!A:P,9,FALSE)</f>
        <v>Mobile Apps</v>
      </c>
      <c r="H942" s="5">
        <f>VLOOKUP(globalfreelancepreprocesseddata!A942,worksheet!A:P,10,FALSE)</f>
        <v>9</v>
      </c>
      <c r="I942" s="6">
        <f>VLOOKUP(globalfreelancepreprocesseddata!A942,worksheet!A:P,12,FALSE)</f>
        <v>30</v>
      </c>
      <c r="J942" s="5">
        <f>VLOOKUP(globalfreelancepreprocesseddata!A942,worksheet!A:P,13,FALSE)</f>
        <v>2.7</v>
      </c>
      <c r="K942" s="5">
        <f>VLOOKUP(globalfreelancepreprocesseddata!A942,worksheet!A:P,14,FALSE)</f>
        <v>1</v>
      </c>
      <c r="L942" s="7">
        <f>VLOOKUP(globalfreelancepreprocesseddata!A942,worksheet!A:P,16,FALSE)</f>
        <v>0.16</v>
      </c>
    </row>
    <row r="943" spans="1:12" x14ac:dyDescent="0.35">
      <c r="A943" s="5" t="s">
        <v>1953</v>
      </c>
      <c r="B943" s="5" t="str">
        <f>VLOOKUP(globalfreelancepreprocesseddata!A943,worksheet!A:P,3,FALSE)</f>
        <v>Nancy Glover</v>
      </c>
      <c r="C943" s="5" t="str">
        <f>VLOOKUP(globalfreelancepreprocesseddata!A943,worksheet!A:P,5,FALSE)</f>
        <v>Female</v>
      </c>
      <c r="D943" s="5">
        <f>VLOOKUP(globalfreelancepreprocesseddata!A943,worksheet!A:P,6,FALSE)</f>
        <v>38</v>
      </c>
      <c r="E943" s="5" t="str">
        <f>VLOOKUP(globalfreelancepreprocesseddata!A943,worksheet!A:P,7,FALSE)</f>
        <v>Brazil</v>
      </c>
      <c r="F943" s="5" t="str">
        <f>VLOOKUP(globalfreelancepreprocesseddata!A943,worksheet!A:P,8,FALSE)</f>
        <v>Portuguese</v>
      </c>
      <c r="G943" s="5" t="str">
        <f>VLOOKUP(globalfreelancepreprocesseddata!A943,worksheet!A:P,9,FALSE)</f>
        <v>AI</v>
      </c>
      <c r="H943" s="5">
        <f>VLOOKUP(globalfreelancepreprocesseddata!A943,worksheet!A:P,10,FALSE)</f>
        <v>15</v>
      </c>
      <c r="I943" s="6">
        <f>VLOOKUP(globalfreelancepreprocesseddata!A943,worksheet!A:P,12,FALSE)</f>
        <v>40</v>
      </c>
      <c r="J943" s="5">
        <f>VLOOKUP(globalfreelancepreprocesseddata!A943,worksheet!A:P,13,FALSE)</f>
        <v>4</v>
      </c>
      <c r="K943" s="5">
        <f>VLOOKUP(globalfreelancepreprocesseddata!A943,worksheet!A:P,14,FALSE)</f>
        <v>1</v>
      </c>
      <c r="L943" s="7">
        <f>VLOOKUP(globalfreelancepreprocesseddata!A943,worksheet!A:P,16,FALSE)</f>
        <v>0.62</v>
      </c>
    </row>
    <row r="944" spans="1:12" x14ac:dyDescent="0.35">
      <c r="A944" s="5" t="s">
        <v>1955</v>
      </c>
      <c r="B944" s="5" t="str">
        <f>VLOOKUP(globalfreelancepreprocesseddata!A944,worksheet!A:P,3,FALSE)</f>
        <v>Richard Sanchez</v>
      </c>
      <c r="C944" s="5" t="str">
        <f>VLOOKUP(globalfreelancepreprocesseddata!A944,worksheet!A:P,5,FALSE)</f>
        <v>Male</v>
      </c>
      <c r="D944" s="5">
        <f>VLOOKUP(globalfreelancepreprocesseddata!A944,worksheet!A:P,6,FALSE)</f>
        <v>40</v>
      </c>
      <c r="E944" s="5" t="str">
        <f>VLOOKUP(globalfreelancepreprocesseddata!A944,worksheet!A:P,7,FALSE)</f>
        <v>Canada</v>
      </c>
      <c r="F944" s="5" t="str">
        <f>VLOOKUP(globalfreelancepreprocesseddata!A944,worksheet!A:P,8,FALSE)</f>
        <v>English</v>
      </c>
      <c r="G944" s="5" t="str">
        <f>VLOOKUP(globalfreelancepreprocesseddata!A944,worksheet!A:P,9,FALSE)</f>
        <v>Data Analysis</v>
      </c>
      <c r="H944" s="5">
        <f>VLOOKUP(globalfreelancepreprocesseddata!A944,worksheet!A:P,10,FALSE)</f>
        <v>20</v>
      </c>
      <c r="I944" s="6">
        <f>VLOOKUP(globalfreelancepreprocesseddata!A944,worksheet!A:P,12,FALSE)</f>
        <v>20</v>
      </c>
      <c r="J944" s="5">
        <f>VLOOKUP(globalfreelancepreprocesseddata!A944,worksheet!A:P,13,FALSE)</f>
        <v>2.5</v>
      </c>
      <c r="K944" s="5">
        <f>VLOOKUP(globalfreelancepreprocesseddata!A944,worksheet!A:P,14,FALSE)</f>
        <v>0</v>
      </c>
      <c r="L944" s="7">
        <f>VLOOKUP(globalfreelancepreprocesseddata!A944,worksheet!A:P,16,FALSE)</f>
        <v>0.81</v>
      </c>
    </row>
    <row r="945" spans="1:12" x14ac:dyDescent="0.35">
      <c r="A945" s="5" t="s">
        <v>1957</v>
      </c>
      <c r="B945" s="5" t="str">
        <f>VLOOKUP(globalfreelancepreprocesseddata!A945,worksheet!A:P,3,FALSE)</f>
        <v>Savannah Reid</v>
      </c>
      <c r="C945" s="5" t="str">
        <f>VLOOKUP(globalfreelancepreprocesseddata!A945,worksheet!A:P,5,FALSE)</f>
        <v>Female</v>
      </c>
      <c r="D945" s="5">
        <f>VLOOKUP(globalfreelancepreprocesseddata!A945,worksheet!A:P,6,FALSE)</f>
        <v>46</v>
      </c>
      <c r="E945" s="5" t="str">
        <f>VLOOKUP(globalfreelancepreprocesseddata!A945,worksheet!A:P,7,FALSE)</f>
        <v>Brazil</v>
      </c>
      <c r="F945" s="5" t="str">
        <f>VLOOKUP(globalfreelancepreprocesseddata!A945,worksheet!A:P,8,FALSE)</f>
        <v>Portuguese</v>
      </c>
      <c r="G945" s="5" t="str">
        <f>VLOOKUP(globalfreelancepreprocesseddata!A945,worksheet!A:P,9,FALSE)</f>
        <v>Data Analysis</v>
      </c>
      <c r="H945" s="5">
        <f>VLOOKUP(globalfreelancepreprocesseddata!A945,worksheet!A:P,10,FALSE)</f>
        <v>16</v>
      </c>
      <c r="I945" s="6">
        <f>VLOOKUP(globalfreelancepreprocesseddata!A945,worksheet!A:P,12,FALSE)</f>
        <v>75</v>
      </c>
      <c r="J945" s="5">
        <f>VLOOKUP(globalfreelancepreprocesseddata!A945,worksheet!A:P,13,FALSE)</f>
        <v>0</v>
      </c>
      <c r="K945" s="5">
        <f>VLOOKUP(globalfreelancepreprocesseddata!A945,worksheet!A:P,14,FALSE)</f>
        <v>1</v>
      </c>
      <c r="L945" s="7">
        <f>VLOOKUP(globalfreelancepreprocesseddata!A945,worksheet!A:P,16,FALSE)</f>
        <v>0.94</v>
      </c>
    </row>
    <row r="946" spans="1:12" x14ac:dyDescent="0.35">
      <c r="A946" s="5" t="s">
        <v>1959</v>
      </c>
      <c r="B946" s="5" t="str">
        <f>VLOOKUP(globalfreelancepreprocesseddata!A946,worksheet!A:P,3,FALSE)</f>
        <v>Robert Salazar</v>
      </c>
      <c r="C946" s="5" t="str">
        <f>VLOOKUP(globalfreelancepreprocesseddata!A946,worksheet!A:P,5,FALSE)</f>
        <v>Male</v>
      </c>
      <c r="D946" s="5">
        <f>VLOOKUP(globalfreelancepreprocesseddata!A946,worksheet!A:P,6,FALSE)</f>
        <v>56</v>
      </c>
      <c r="E946" s="5" t="str">
        <f>VLOOKUP(globalfreelancepreprocesseddata!A946,worksheet!A:P,7,FALSE)</f>
        <v>Egypt</v>
      </c>
      <c r="F946" s="5" t="str">
        <f>VLOOKUP(globalfreelancepreprocesseddata!A946,worksheet!A:P,8,FALSE)</f>
        <v>Arabic</v>
      </c>
      <c r="G946" s="5" t="str">
        <f>VLOOKUP(globalfreelancepreprocesseddata!A946,worksheet!A:P,9,FALSE)</f>
        <v>DevOps</v>
      </c>
      <c r="H946" s="5">
        <f>VLOOKUP(globalfreelancepreprocesseddata!A946,worksheet!A:P,10,FALSE)</f>
        <v>22</v>
      </c>
      <c r="I946" s="6" t="str">
        <f>VLOOKUP(globalfreelancepreprocesseddata!A946,worksheet!A:P,12,FALSE)</f>
        <v>$ 30</v>
      </c>
      <c r="J946" s="5">
        <f>VLOOKUP(globalfreelancepreprocesseddata!A946,worksheet!A:P,13,FALSE)</f>
        <v>3</v>
      </c>
      <c r="K946" s="5">
        <f>VLOOKUP(globalfreelancepreprocesseddata!A946,worksheet!A:P,14,FALSE)</f>
        <v>1</v>
      </c>
      <c r="L946" s="7">
        <f>VLOOKUP(globalfreelancepreprocesseddata!A946,worksheet!A:P,16,FALSE)</f>
        <v>0.95</v>
      </c>
    </row>
    <row r="947" spans="1:12" x14ac:dyDescent="0.35">
      <c r="A947" s="5" t="s">
        <v>1961</v>
      </c>
      <c r="B947" s="5" t="str">
        <f>VLOOKUP(globalfreelancepreprocesseddata!A947,worksheet!A:P,3,FALSE)</f>
        <v>Hector Greer</v>
      </c>
      <c r="C947" s="5" t="str">
        <f>VLOOKUP(globalfreelancepreprocesseddata!A947,worksheet!A:P,5,FALSE)</f>
        <v>Male</v>
      </c>
      <c r="D947" s="5">
        <f>VLOOKUP(globalfreelancepreprocesseddata!A947,worksheet!A:P,6,FALSE)</f>
        <v>24</v>
      </c>
      <c r="E947" s="5" t="str">
        <f>VLOOKUP(globalfreelancepreprocesseddata!A947,worksheet!A:P,7,FALSE)</f>
        <v>Turkey</v>
      </c>
      <c r="F947" s="5" t="str">
        <f>VLOOKUP(globalfreelancepreprocesseddata!A947,worksheet!A:P,8,FALSE)</f>
        <v>Turkish</v>
      </c>
      <c r="G947" s="5" t="str">
        <f>VLOOKUP(globalfreelancepreprocesseddata!A947,worksheet!A:P,9,FALSE)</f>
        <v>Graphic Design</v>
      </c>
      <c r="H947" s="5">
        <f>VLOOKUP(globalfreelancepreprocesseddata!A947,worksheet!A:P,10,FALSE)</f>
        <v>2</v>
      </c>
      <c r="I947" s="6">
        <f>VLOOKUP(globalfreelancepreprocesseddata!A947,worksheet!A:P,12,FALSE)</f>
        <v>40</v>
      </c>
      <c r="J947" s="5">
        <f>VLOOKUP(globalfreelancepreprocesseddata!A947,worksheet!A:P,13,FALSE)</f>
        <v>1.6</v>
      </c>
      <c r="K947" s="5">
        <f>VLOOKUP(globalfreelancepreprocesseddata!A947,worksheet!A:P,14,FALSE)</f>
        <v>1</v>
      </c>
      <c r="L947" s="7">
        <f>VLOOKUP(globalfreelancepreprocesseddata!A947,worksheet!A:P,16,FALSE)</f>
        <v>0.01</v>
      </c>
    </row>
    <row r="948" spans="1:12" x14ac:dyDescent="0.35">
      <c r="A948" s="5" t="s">
        <v>1963</v>
      </c>
      <c r="B948" s="5" t="str">
        <f>VLOOKUP(globalfreelancepreprocesseddata!A948,worksheet!A:P,3,FALSE)</f>
        <v>Thomas Jackson</v>
      </c>
      <c r="C948" s="5" t="str">
        <f>VLOOKUP(globalfreelancepreprocesseddata!A948,worksheet!A:P,5,FALSE)</f>
        <v>Male</v>
      </c>
      <c r="D948" s="5">
        <f>VLOOKUP(globalfreelancepreprocesseddata!A948,worksheet!A:P,6,FALSE)</f>
        <v>41</v>
      </c>
      <c r="E948" s="5" t="str">
        <f>VLOOKUP(globalfreelancepreprocesseddata!A948,worksheet!A:P,7,FALSE)</f>
        <v>Mexico</v>
      </c>
      <c r="F948" s="5" t="str">
        <f>VLOOKUP(globalfreelancepreprocesseddata!A948,worksheet!A:P,8,FALSE)</f>
        <v>Spanish</v>
      </c>
      <c r="G948" s="5" t="str">
        <f>VLOOKUP(globalfreelancepreprocesseddata!A948,worksheet!A:P,9,FALSE)</f>
        <v>AI</v>
      </c>
      <c r="H948" s="5">
        <f>VLOOKUP(globalfreelancepreprocesseddata!A948,worksheet!A:P,10,FALSE)</f>
        <v>1</v>
      </c>
      <c r="I948" s="6">
        <f>VLOOKUP(globalfreelancepreprocesseddata!A948,worksheet!A:P,12,FALSE)</f>
        <v>75</v>
      </c>
      <c r="J948" s="5">
        <f>VLOOKUP(globalfreelancepreprocesseddata!A948,worksheet!A:P,13,FALSE)</f>
        <v>0</v>
      </c>
      <c r="K948" s="5">
        <f>VLOOKUP(globalfreelancepreprocesseddata!A948,worksheet!A:P,14,FALSE)</f>
        <v>1</v>
      </c>
      <c r="L948" s="7">
        <f>VLOOKUP(globalfreelancepreprocesseddata!A948,worksheet!A:P,16,FALSE)</f>
        <v>0.94</v>
      </c>
    </row>
    <row r="949" spans="1:12" x14ac:dyDescent="0.35">
      <c r="A949" s="5" t="s">
        <v>1965</v>
      </c>
      <c r="B949" s="5" t="str">
        <f>VLOOKUP(globalfreelancepreprocesseddata!A949,worksheet!A:P,3,FALSE)</f>
        <v>Tina Clark</v>
      </c>
      <c r="C949" s="5" t="str">
        <f>VLOOKUP(globalfreelancepreprocesseddata!A949,worksheet!A:P,5,FALSE)</f>
        <v>Female</v>
      </c>
      <c r="D949" s="5">
        <f>VLOOKUP(globalfreelancepreprocesseddata!A949,worksheet!A:P,6,FALSE)</f>
        <v>38</v>
      </c>
      <c r="E949" s="5" t="str">
        <f>VLOOKUP(globalfreelancepreprocesseddata!A949,worksheet!A:P,7,FALSE)</f>
        <v>Turkey</v>
      </c>
      <c r="F949" s="5" t="str">
        <f>VLOOKUP(globalfreelancepreprocesseddata!A949,worksheet!A:P,8,FALSE)</f>
        <v>Turkish</v>
      </c>
      <c r="G949" s="5" t="str">
        <f>VLOOKUP(globalfreelancepreprocesseddata!A949,worksheet!A:P,9,FALSE)</f>
        <v>Mobile Apps</v>
      </c>
      <c r="H949" s="5">
        <f>VLOOKUP(globalfreelancepreprocesseddata!A949,worksheet!A:P,10,FALSE)</f>
        <v>8</v>
      </c>
      <c r="I949" s="6">
        <f>VLOOKUP(globalfreelancepreprocesseddata!A949,worksheet!A:P,12,FALSE)</f>
        <v>30</v>
      </c>
      <c r="J949" s="5">
        <f>VLOOKUP(globalfreelancepreprocesseddata!A949,worksheet!A:P,13,FALSE)</f>
        <v>4</v>
      </c>
      <c r="K949" s="5">
        <f>VLOOKUP(globalfreelancepreprocesseddata!A949,worksheet!A:P,14,FALSE)</f>
        <v>1</v>
      </c>
      <c r="L949" s="7">
        <f>VLOOKUP(globalfreelancepreprocesseddata!A949,worksheet!A:P,16,FALSE)</f>
        <v>0.92</v>
      </c>
    </row>
    <row r="950" spans="1:12" x14ac:dyDescent="0.35">
      <c r="A950" s="5" t="s">
        <v>1967</v>
      </c>
      <c r="B950" s="5" t="str">
        <f>VLOOKUP(globalfreelancepreprocesseddata!A950,worksheet!A:P,3,FALSE)</f>
        <v>Heather Brown</v>
      </c>
      <c r="C950" s="5" t="str">
        <f>VLOOKUP(globalfreelancepreprocesseddata!A950,worksheet!A:P,5,FALSE)</f>
        <v>Female</v>
      </c>
      <c r="D950" s="5">
        <f>VLOOKUP(globalfreelancepreprocesseddata!A950,worksheet!A:P,6,FALSE)</f>
        <v>28</v>
      </c>
      <c r="E950" s="5" t="str">
        <f>VLOOKUP(globalfreelancepreprocesseddata!A950,worksheet!A:P,7,FALSE)</f>
        <v>France</v>
      </c>
      <c r="F950" s="5" t="str">
        <f>VLOOKUP(globalfreelancepreprocesseddata!A950,worksheet!A:P,8,FALSE)</f>
        <v>French</v>
      </c>
      <c r="G950" s="5" t="str">
        <f>VLOOKUP(globalfreelancepreprocesseddata!A950,worksheet!A:P,9,FALSE)</f>
        <v>DevOps</v>
      </c>
      <c r="H950" s="5">
        <f>VLOOKUP(globalfreelancepreprocesseddata!A950,worksheet!A:P,10,FALSE)</f>
        <v>8</v>
      </c>
      <c r="I950" s="6" t="str">
        <f>VLOOKUP(globalfreelancepreprocesseddata!A950,worksheet!A:P,12,FALSE)</f>
        <v>$ 50</v>
      </c>
      <c r="J950" s="5">
        <f>VLOOKUP(globalfreelancepreprocesseddata!A950,worksheet!A:P,13,FALSE)</f>
        <v>2.5</v>
      </c>
      <c r="K950" s="5">
        <f>VLOOKUP(globalfreelancepreprocesseddata!A950,worksheet!A:P,14,FALSE)</f>
        <v>1</v>
      </c>
      <c r="L950" s="7">
        <f>VLOOKUP(globalfreelancepreprocesseddata!A950,worksheet!A:P,16,FALSE)</f>
        <v>0.95</v>
      </c>
    </row>
    <row r="951" spans="1:12" x14ac:dyDescent="0.35">
      <c r="A951" s="5" t="s">
        <v>1969</v>
      </c>
      <c r="B951" s="5" t="str">
        <f>VLOOKUP(globalfreelancepreprocesseddata!A951,worksheet!A:P,3,FALSE)</f>
        <v>John Weaver</v>
      </c>
      <c r="C951" s="5" t="str">
        <f>VLOOKUP(globalfreelancepreprocesseddata!A951,worksheet!A:P,5,FALSE)</f>
        <v>Male</v>
      </c>
      <c r="D951" s="5">
        <f>VLOOKUP(globalfreelancepreprocesseddata!A951,worksheet!A:P,6,FALSE)</f>
        <v>25</v>
      </c>
      <c r="E951" s="5" t="str">
        <f>VLOOKUP(globalfreelancepreprocesseddata!A951,worksheet!A:P,7,FALSE)</f>
        <v>Brazil</v>
      </c>
      <c r="F951" s="5" t="str">
        <f>VLOOKUP(globalfreelancepreprocesseddata!A951,worksheet!A:P,8,FALSE)</f>
        <v>Portuguese</v>
      </c>
      <c r="G951" s="5" t="str">
        <f>VLOOKUP(globalfreelancepreprocesseddata!A951,worksheet!A:P,9,FALSE)</f>
        <v>DevOps</v>
      </c>
      <c r="H951" s="5">
        <f>VLOOKUP(globalfreelancepreprocesseddata!A951,worksheet!A:P,10,FALSE)</f>
        <v>7</v>
      </c>
      <c r="I951" s="6">
        <f>VLOOKUP(globalfreelancepreprocesseddata!A951,worksheet!A:P,12,FALSE)</f>
        <v>20</v>
      </c>
      <c r="J951" s="5">
        <f>VLOOKUP(globalfreelancepreprocesseddata!A951,worksheet!A:P,13,FALSE)</f>
        <v>3.8</v>
      </c>
      <c r="K951" s="5">
        <f>VLOOKUP(globalfreelancepreprocesseddata!A951,worksheet!A:P,14,FALSE)</f>
        <v>1</v>
      </c>
      <c r="L951" s="7">
        <f>VLOOKUP(globalfreelancepreprocesseddata!A951,worksheet!A:P,16,FALSE)</f>
        <v>0.97</v>
      </c>
    </row>
    <row r="952" spans="1:12" x14ac:dyDescent="0.35">
      <c r="A952" s="5" t="s">
        <v>1971</v>
      </c>
      <c r="B952" s="5" t="str">
        <f>VLOOKUP(globalfreelancepreprocesseddata!A952,worksheet!A:P,3,FALSE)</f>
        <v>Bradley Harris</v>
      </c>
      <c r="C952" s="5" t="str">
        <f>VLOOKUP(globalfreelancepreprocesseddata!A952,worksheet!A:P,5,FALSE)</f>
        <v>Male</v>
      </c>
      <c r="D952" s="5">
        <f>VLOOKUP(globalfreelancepreprocesseddata!A952,worksheet!A:P,6,FALSE)</f>
        <v>41</v>
      </c>
      <c r="E952" s="5" t="str">
        <f>VLOOKUP(globalfreelancepreprocesseddata!A952,worksheet!A:P,7,FALSE)</f>
        <v>United Kingdom</v>
      </c>
      <c r="F952" s="5" t="str">
        <f>VLOOKUP(globalfreelancepreprocesseddata!A952,worksheet!A:P,8,FALSE)</f>
        <v>English</v>
      </c>
      <c r="G952" s="5" t="str">
        <f>VLOOKUP(globalfreelancepreprocesseddata!A952,worksheet!A:P,9,FALSE)</f>
        <v>DevOps</v>
      </c>
      <c r="H952" s="5">
        <f>VLOOKUP(globalfreelancepreprocesseddata!A952,worksheet!A:P,10,FALSE)</f>
        <v>8</v>
      </c>
      <c r="I952" s="6">
        <f>VLOOKUP(globalfreelancepreprocesseddata!A952,worksheet!A:P,12,FALSE)</f>
        <v>50</v>
      </c>
      <c r="J952" s="5">
        <f>VLOOKUP(globalfreelancepreprocesseddata!A952,worksheet!A:P,13,FALSE)</f>
        <v>4.8</v>
      </c>
      <c r="K952" s="5">
        <f>VLOOKUP(globalfreelancepreprocesseddata!A952,worksheet!A:P,14,FALSE)</f>
        <v>0</v>
      </c>
      <c r="L952" s="7">
        <f>VLOOKUP(globalfreelancepreprocesseddata!A952,worksheet!A:P,16,FALSE)</f>
        <v>0.75</v>
      </c>
    </row>
    <row r="953" spans="1:12" x14ac:dyDescent="0.35">
      <c r="A953" s="5" t="s">
        <v>1973</v>
      </c>
      <c r="B953" s="5" t="str">
        <f>VLOOKUP(globalfreelancepreprocesseddata!A953,worksheet!A:P,3,FALSE)</f>
        <v>Cassandra Macdonald</v>
      </c>
      <c r="C953" s="5" t="str">
        <f>VLOOKUP(globalfreelancepreprocesseddata!A953,worksheet!A:P,5,FALSE)</f>
        <v>Female</v>
      </c>
      <c r="D953" s="5">
        <f>VLOOKUP(globalfreelancepreprocesseddata!A953,worksheet!A:P,6,FALSE)</f>
        <v>45</v>
      </c>
      <c r="E953" s="5" t="str">
        <f>VLOOKUP(globalfreelancepreprocesseddata!A953,worksheet!A:P,7,FALSE)</f>
        <v>Mexico</v>
      </c>
      <c r="F953" s="5" t="str">
        <f>VLOOKUP(globalfreelancepreprocesseddata!A953,worksheet!A:P,8,FALSE)</f>
        <v>Spanish</v>
      </c>
      <c r="G953" s="5" t="str">
        <f>VLOOKUP(globalfreelancepreprocesseddata!A953,worksheet!A:P,9,FALSE)</f>
        <v>Data Analysis</v>
      </c>
      <c r="H953" s="5">
        <f>VLOOKUP(globalfreelancepreprocesseddata!A953,worksheet!A:P,10,FALSE)</f>
        <v>6</v>
      </c>
      <c r="I953" s="6">
        <f>VLOOKUP(globalfreelancepreprocesseddata!A953,worksheet!A:P,12,FALSE)</f>
        <v>40</v>
      </c>
      <c r="J953" s="5">
        <f>VLOOKUP(globalfreelancepreprocesseddata!A953,worksheet!A:P,13,FALSE)</f>
        <v>2</v>
      </c>
      <c r="K953" s="5">
        <f>VLOOKUP(globalfreelancepreprocesseddata!A953,worksheet!A:P,14,FALSE)</f>
        <v>1</v>
      </c>
      <c r="L953" s="7">
        <f>VLOOKUP(globalfreelancepreprocesseddata!A953,worksheet!A:P,16,FALSE)</f>
        <v>0.78</v>
      </c>
    </row>
    <row r="954" spans="1:12" x14ac:dyDescent="0.35">
      <c r="A954" s="5" t="s">
        <v>1975</v>
      </c>
      <c r="B954" s="5" t="str">
        <f>VLOOKUP(globalfreelancepreprocesseddata!A954,worksheet!A:P,3,FALSE)</f>
        <v>Matthew White</v>
      </c>
      <c r="C954" s="5" t="str">
        <f>VLOOKUP(globalfreelancepreprocesseddata!A954,worksheet!A:P,5,FALSE)</f>
        <v>Male</v>
      </c>
      <c r="D954" s="5">
        <f>VLOOKUP(globalfreelancepreprocesseddata!A954,worksheet!A:P,6,FALSE)</f>
        <v>47</v>
      </c>
      <c r="E954" s="5" t="str">
        <f>VLOOKUP(globalfreelancepreprocesseddata!A954,worksheet!A:P,7,FALSE)</f>
        <v>Turkey</v>
      </c>
      <c r="F954" s="5" t="str">
        <f>VLOOKUP(globalfreelancepreprocesseddata!A954,worksheet!A:P,8,FALSE)</f>
        <v>Turkish</v>
      </c>
      <c r="G954" s="5" t="str">
        <f>VLOOKUP(globalfreelancepreprocesseddata!A954,worksheet!A:P,9,FALSE)</f>
        <v>DevOps</v>
      </c>
      <c r="H954" s="5">
        <f>VLOOKUP(globalfreelancepreprocesseddata!A954,worksheet!A:P,10,FALSE)</f>
        <v>16</v>
      </c>
      <c r="I954" s="6">
        <f>VLOOKUP(globalfreelancepreprocesseddata!A954,worksheet!A:P,12,FALSE)</f>
        <v>100</v>
      </c>
      <c r="J954" s="5">
        <f>VLOOKUP(globalfreelancepreprocesseddata!A954,worksheet!A:P,13,FALSE)</f>
        <v>3.3</v>
      </c>
      <c r="K954" s="5">
        <f>VLOOKUP(globalfreelancepreprocesseddata!A954,worksheet!A:P,14,FALSE)</f>
        <v>0</v>
      </c>
      <c r="L954" s="7">
        <f>VLOOKUP(globalfreelancepreprocesseddata!A954,worksheet!A:P,16,FALSE)</f>
        <v>0.65</v>
      </c>
    </row>
    <row r="955" spans="1:12" x14ac:dyDescent="0.35">
      <c r="A955" s="5" t="s">
        <v>1977</v>
      </c>
      <c r="B955" s="5" t="str">
        <f>VLOOKUP(globalfreelancepreprocesseddata!A955,worksheet!A:P,3,FALSE)</f>
        <v>Miss Kimberly Marshall</v>
      </c>
      <c r="C955" s="5" t="str">
        <f>VLOOKUP(globalfreelancepreprocesseddata!A955,worksheet!A:P,5,FALSE)</f>
        <v>Female</v>
      </c>
      <c r="D955" s="5">
        <f>VLOOKUP(globalfreelancepreprocesseddata!A955,worksheet!A:P,6,FALSE)</f>
        <v>59</v>
      </c>
      <c r="E955" s="5" t="str">
        <f>VLOOKUP(globalfreelancepreprocesseddata!A955,worksheet!A:P,7,FALSE)</f>
        <v>United Kingdom</v>
      </c>
      <c r="F955" s="5" t="str">
        <f>VLOOKUP(globalfreelancepreprocesseddata!A955,worksheet!A:P,8,FALSE)</f>
        <v>English</v>
      </c>
      <c r="G955" s="5" t="str">
        <f>VLOOKUP(globalfreelancepreprocesseddata!A955,worksheet!A:P,9,FALSE)</f>
        <v>Data Analysis</v>
      </c>
      <c r="H955" s="5">
        <f>VLOOKUP(globalfreelancepreprocesseddata!A955,worksheet!A:P,10,FALSE)</f>
        <v>40</v>
      </c>
      <c r="I955" s="6">
        <f>VLOOKUP(globalfreelancepreprocesseddata!A955,worksheet!A:P,12,FALSE)</f>
        <v>40</v>
      </c>
      <c r="J955" s="5">
        <f>VLOOKUP(globalfreelancepreprocesseddata!A955,worksheet!A:P,13,FALSE)</f>
        <v>2.5</v>
      </c>
      <c r="K955" s="5">
        <f>VLOOKUP(globalfreelancepreprocesseddata!A955,worksheet!A:P,14,FALSE)</f>
        <v>1</v>
      </c>
      <c r="L955" s="7">
        <f>VLOOKUP(globalfreelancepreprocesseddata!A955,worksheet!A:P,16,FALSE)</f>
        <v>0.7</v>
      </c>
    </row>
    <row r="956" spans="1:12" x14ac:dyDescent="0.35">
      <c r="A956" s="5" t="s">
        <v>1979</v>
      </c>
      <c r="B956" s="5" t="str">
        <f>VLOOKUP(globalfreelancepreprocesseddata!A956,worksheet!A:P,3,FALSE)</f>
        <v>Laura Thompson</v>
      </c>
      <c r="C956" s="5" t="str">
        <f>VLOOKUP(globalfreelancepreprocesseddata!A956,worksheet!A:P,5,FALSE)</f>
        <v>Female</v>
      </c>
      <c r="D956" s="5">
        <f>VLOOKUP(globalfreelancepreprocesseddata!A956,worksheet!A:P,6,FALSE)</f>
        <v>25</v>
      </c>
      <c r="E956" s="5" t="str">
        <f>VLOOKUP(globalfreelancepreprocesseddata!A956,worksheet!A:P,7,FALSE)</f>
        <v>Canada</v>
      </c>
      <c r="F956" s="5" t="str">
        <f>VLOOKUP(globalfreelancepreprocesseddata!A956,worksheet!A:P,8,FALSE)</f>
        <v>English</v>
      </c>
      <c r="G956" s="5" t="str">
        <f>VLOOKUP(globalfreelancepreprocesseddata!A956,worksheet!A:P,9,FALSE)</f>
        <v>Blockchain Development</v>
      </c>
      <c r="H956" s="5">
        <f>VLOOKUP(globalfreelancepreprocesseddata!A956,worksheet!A:P,10,FALSE)</f>
        <v>6</v>
      </c>
      <c r="I956" s="6">
        <f>VLOOKUP(globalfreelancepreprocesseddata!A956,worksheet!A:P,12,FALSE)</f>
        <v>100</v>
      </c>
      <c r="J956" s="5">
        <f>VLOOKUP(globalfreelancepreprocesseddata!A956,worksheet!A:P,13,FALSE)</f>
        <v>3</v>
      </c>
      <c r="K956" s="5">
        <f>VLOOKUP(globalfreelancepreprocesseddata!A956,worksheet!A:P,14,FALSE)</f>
        <v>1</v>
      </c>
      <c r="L956" s="7">
        <f>VLOOKUP(globalfreelancepreprocesseddata!A956,worksheet!A:P,16,FALSE)</f>
        <v>0.78</v>
      </c>
    </row>
    <row r="957" spans="1:12" x14ac:dyDescent="0.35">
      <c r="A957" s="5" t="s">
        <v>1981</v>
      </c>
      <c r="B957" s="5" t="str">
        <f>VLOOKUP(globalfreelancepreprocesseddata!A957,worksheet!A:P,3,FALSE)</f>
        <v>Nathan Soto</v>
      </c>
      <c r="C957" s="5" t="str">
        <f>VLOOKUP(globalfreelancepreprocesseddata!A957,worksheet!A:P,5,FALSE)</f>
        <v>Male</v>
      </c>
      <c r="D957" s="5">
        <f>VLOOKUP(globalfreelancepreprocesseddata!A957,worksheet!A:P,6,FALSE)</f>
        <v>27</v>
      </c>
      <c r="E957" s="5" t="str">
        <f>VLOOKUP(globalfreelancepreprocesseddata!A957,worksheet!A:P,7,FALSE)</f>
        <v>Australia</v>
      </c>
      <c r="F957" s="5" t="str">
        <f>VLOOKUP(globalfreelancepreprocesseddata!A957,worksheet!A:P,8,FALSE)</f>
        <v>English</v>
      </c>
      <c r="G957" s="5" t="str">
        <f>VLOOKUP(globalfreelancepreprocesseddata!A957,worksheet!A:P,9,FALSE)</f>
        <v>Web Development</v>
      </c>
      <c r="H957" s="5">
        <f>VLOOKUP(globalfreelancepreprocesseddata!A957,worksheet!A:P,10,FALSE)</f>
        <v>3</v>
      </c>
      <c r="I957" s="6" t="str">
        <f>VLOOKUP(globalfreelancepreprocesseddata!A957,worksheet!A:P,12,FALSE)</f>
        <v>$ 50</v>
      </c>
      <c r="J957" s="5">
        <f>VLOOKUP(globalfreelancepreprocesseddata!A957,worksheet!A:P,13,FALSE)</f>
        <v>3</v>
      </c>
      <c r="K957" s="5">
        <f>VLOOKUP(globalfreelancepreprocesseddata!A957,worksheet!A:P,14,FALSE)</f>
        <v>1</v>
      </c>
      <c r="L957" s="7">
        <f>VLOOKUP(globalfreelancepreprocesseddata!A957,worksheet!A:P,16,FALSE)</f>
        <v>0.96</v>
      </c>
    </row>
    <row r="958" spans="1:12" x14ac:dyDescent="0.35">
      <c r="A958" s="5" t="s">
        <v>1983</v>
      </c>
      <c r="B958" s="5" t="str">
        <f>VLOOKUP(globalfreelancepreprocesseddata!A958,worksheet!A:P,3,FALSE)</f>
        <v>Rhonda Hines</v>
      </c>
      <c r="C958" s="5" t="str">
        <f>VLOOKUP(globalfreelancepreprocesseddata!A958,worksheet!A:P,5,FALSE)</f>
        <v>Female</v>
      </c>
      <c r="D958" s="5">
        <f>VLOOKUP(globalfreelancepreprocesseddata!A958,worksheet!A:P,6,FALSE)</f>
        <v>57</v>
      </c>
      <c r="E958" s="5" t="str">
        <f>VLOOKUP(globalfreelancepreprocesseddata!A958,worksheet!A:P,7,FALSE)</f>
        <v>Australia</v>
      </c>
      <c r="F958" s="5" t="str">
        <f>VLOOKUP(globalfreelancepreprocesseddata!A958,worksheet!A:P,8,FALSE)</f>
        <v>English</v>
      </c>
      <c r="G958" s="5" t="str">
        <f>VLOOKUP(globalfreelancepreprocesseddata!A958,worksheet!A:P,9,FALSE)</f>
        <v>AI</v>
      </c>
      <c r="H958" s="5">
        <f>VLOOKUP(globalfreelancepreprocesseddata!A958,worksheet!A:P,10,FALSE)</f>
        <v>5</v>
      </c>
      <c r="I958" s="6" t="str">
        <f>VLOOKUP(globalfreelancepreprocesseddata!A958,worksheet!A:P,12,FALSE)</f>
        <v>$ 100</v>
      </c>
      <c r="J958" s="5">
        <f>VLOOKUP(globalfreelancepreprocesseddata!A958,worksheet!A:P,13,FALSE)</f>
        <v>0</v>
      </c>
      <c r="K958" s="5">
        <f>VLOOKUP(globalfreelancepreprocesseddata!A958,worksheet!A:P,14,FALSE)</f>
        <v>1</v>
      </c>
      <c r="L958" s="7">
        <f>VLOOKUP(globalfreelancepreprocesseddata!A958,worksheet!A:P,16,FALSE)</f>
        <v>0.8</v>
      </c>
    </row>
    <row r="959" spans="1:12" x14ac:dyDescent="0.35">
      <c r="A959" s="5" t="s">
        <v>1985</v>
      </c>
      <c r="B959" s="5" t="str">
        <f>VLOOKUP(globalfreelancepreprocesseddata!A959,worksheet!A:P,3,FALSE)</f>
        <v>Gabrielle Bowman</v>
      </c>
      <c r="C959" s="5" t="str">
        <f>VLOOKUP(globalfreelancepreprocesseddata!A959,worksheet!A:P,5,FALSE)</f>
        <v>Female</v>
      </c>
      <c r="D959" s="5">
        <f>VLOOKUP(globalfreelancepreprocesseddata!A959,worksheet!A:P,6,FALSE)</f>
        <v>34</v>
      </c>
      <c r="E959" s="5" t="str">
        <f>VLOOKUP(globalfreelancepreprocesseddata!A959,worksheet!A:P,7,FALSE)</f>
        <v>Turkey</v>
      </c>
      <c r="F959" s="5" t="str">
        <f>VLOOKUP(globalfreelancepreprocesseddata!A959,worksheet!A:P,8,FALSE)</f>
        <v>Turkish</v>
      </c>
      <c r="G959" s="5" t="str">
        <f>VLOOKUP(globalfreelancepreprocesseddata!A959,worksheet!A:P,9,FALSE)</f>
        <v>UI/UX Design</v>
      </c>
      <c r="H959" s="5">
        <f>VLOOKUP(globalfreelancepreprocesseddata!A959,worksheet!A:P,10,FALSE)</f>
        <v>12</v>
      </c>
      <c r="I959" s="6">
        <f>VLOOKUP(globalfreelancepreprocesseddata!A959,worksheet!A:P,12,FALSE)</f>
        <v>20</v>
      </c>
      <c r="J959" s="5">
        <f>VLOOKUP(globalfreelancepreprocesseddata!A959,worksheet!A:P,13,FALSE)</f>
        <v>1.6</v>
      </c>
      <c r="K959" s="5">
        <f>VLOOKUP(globalfreelancepreprocesseddata!A959,worksheet!A:P,14,FALSE)</f>
        <v>1</v>
      </c>
      <c r="L959" s="7">
        <f>VLOOKUP(globalfreelancepreprocesseddata!A959,worksheet!A:P,16,FALSE)</f>
        <v>0.64</v>
      </c>
    </row>
    <row r="960" spans="1:12" x14ac:dyDescent="0.35">
      <c r="A960" s="5" t="s">
        <v>1987</v>
      </c>
      <c r="B960" s="5" t="str">
        <f>VLOOKUP(globalfreelancepreprocesseddata!A960,worksheet!A:P,3,FALSE)</f>
        <v>Julian Edwards</v>
      </c>
      <c r="C960" s="5" t="str">
        <f>VLOOKUP(globalfreelancepreprocesseddata!A960,worksheet!A:P,5,FALSE)</f>
        <v>Male</v>
      </c>
      <c r="D960" s="5">
        <f>VLOOKUP(globalfreelancepreprocesseddata!A960,worksheet!A:P,6,FALSE)</f>
        <v>55</v>
      </c>
      <c r="E960" s="5" t="str">
        <f>VLOOKUP(globalfreelancepreprocesseddata!A960,worksheet!A:P,7,FALSE)</f>
        <v>France</v>
      </c>
      <c r="F960" s="5" t="str">
        <f>VLOOKUP(globalfreelancepreprocesseddata!A960,worksheet!A:P,8,FALSE)</f>
        <v>French</v>
      </c>
      <c r="G960" s="5" t="str">
        <f>VLOOKUP(globalfreelancepreprocesseddata!A960,worksheet!A:P,9,FALSE)</f>
        <v>UI/UX Design</v>
      </c>
      <c r="H960" s="5">
        <f>VLOOKUP(globalfreelancepreprocesseddata!A960,worksheet!A:P,10,FALSE)</f>
        <v>33</v>
      </c>
      <c r="I960" s="6">
        <f>VLOOKUP(globalfreelancepreprocesseddata!A960,worksheet!A:P,12,FALSE)</f>
        <v>50</v>
      </c>
      <c r="J960" s="5">
        <f>VLOOKUP(globalfreelancepreprocesseddata!A960,worksheet!A:P,13,FALSE)</f>
        <v>0</v>
      </c>
      <c r="K960" s="5">
        <f>VLOOKUP(globalfreelancepreprocesseddata!A960,worksheet!A:P,14,FALSE)</f>
        <v>0</v>
      </c>
      <c r="L960" s="7">
        <f>VLOOKUP(globalfreelancepreprocesseddata!A960,worksheet!A:P,16,FALSE)</f>
        <v>0.92</v>
      </c>
    </row>
    <row r="961" spans="1:12" x14ac:dyDescent="0.35">
      <c r="A961" s="5" t="s">
        <v>1989</v>
      </c>
      <c r="B961" s="5" t="str">
        <f>VLOOKUP(globalfreelancepreprocesseddata!A961,worksheet!A:P,3,FALSE)</f>
        <v>Nicholas Scott</v>
      </c>
      <c r="C961" s="5" t="str">
        <f>VLOOKUP(globalfreelancepreprocesseddata!A961,worksheet!A:P,5,FALSE)</f>
        <v>Male</v>
      </c>
      <c r="D961" s="5">
        <f>VLOOKUP(globalfreelancepreprocesseddata!A961,worksheet!A:P,6,FALSE)</f>
        <v>21</v>
      </c>
      <c r="E961" s="5" t="str">
        <f>VLOOKUP(globalfreelancepreprocesseddata!A961,worksheet!A:P,7,FALSE)</f>
        <v>Egypt</v>
      </c>
      <c r="F961" s="5" t="str">
        <f>VLOOKUP(globalfreelancepreprocesseddata!A961,worksheet!A:P,8,FALSE)</f>
        <v>Arabic</v>
      </c>
      <c r="G961" s="5" t="str">
        <f>VLOOKUP(globalfreelancepreprocesseddata!A961,worksheet!A:P,9,FALSE)</f>
        <v>Blockchain Development</v>
      </c>
      <c r="H961" s="5">
        <f>VLOOKUP(globalfreelancepreprocesseddata!A961,worksheet!A:P,10,FALSE)</f>
        <v>1</v>
      </c>
      <c r="I961" s="6">
        <f>VLOOKUP(globalfreelancepreprocesseddata!A961,worksheet!A:P,12,FALSE)</f>
        <v>100</v>
      </c>
      <c r="J961" s="5">
        <f>VLOOKUP(globalfreelancepreprocesseddata!A961,worksheet!A:P,13,FALSE)</f>
        <v>0</v>
      </c>
      <c r="K961" s="5">
        <f>VLOOKUP(globalfreelancepreprocesseddata!A961,worksheet!A:P,14,FALSE)</f>
        <v>1</v>
      </c>
      <c r="L961" s="7">
        <f>VLOOKUP(globalfreelancepreprocesseddata!A961,worksheet!A:P,16,FALSE)</f>
        <v>0.16</v>
      </c>
    </row>
    <row r="962" spans="1:12" x14ac:dyDescent="0.35">
      <c r="A962" s="5" t="s">
        <v>1991</v>
      </c>
      <c r="B962" s="5" t="str">
        <f>VLOOKUP(globalfreelancepreprocesseddata!A962,worksheet!A:P,3,FALSE)</f>
        <v>Daniel Green</v>
      </c>
      <c r="C962" s="5" t="str">
        <f>VLOOKUP(globalfreelancepreprocesseddata!A962,worksheet!A:P,5,FALSE)</f>
        <v>Male</v>
      </c>
      <c r="D962" s="5">
        <f>VLOOKUP(globalfreelancepreprocesseddata!A962,worksheet!A:P,6,FALSE)</f>
        <v>53</v>
      </c>
      <c r="E962" s="5" t="str">
        <f>VLOOKUP(globalfreelancepreprocesseddata!A962,worksheet!A:P,7,FALSE)</f>
        <v>Netherlands</v>
      </c>
      <c r="F962" s="5" t="str">
        <f>VLOOKUP(globalfreelancepreprocesseddata!A962,worksheet!A:P,8,FALSE)</f>
        <v>Dutch</v>
      </c>
      <c r="G962" s="5" t="str">
        <f>VLOOKUP(globalfreelancepreprocesseddata!A962,worksheet!A:P,9,FALSE)</f>
        <v>DevOps</v>
      </c>
      <c r="H962" s="5">
        <f>VLOOKUP(globalfreelancepreprocesseddata!A962,worksheet!A:P,10,FALSE)</f>
        <v>27</v>
      </c>
      <c r="I962" s="6" t="str">
        <f>VLOOKUP(globalfreelancepreprocesseddata!A962,worksheet!A:P,12,FALSE)</f>
        <v>$ 20</v>
      </c>
      <c r="J962" s="5">
        <f>VLOOKUP(globalfreelancepreprocesseddata!A962,worksheet!A:P,13,FALSE)</f>
        <v>4.7</v>
      </c>
      <c r="K962" s="5">
        <f>VLOOKUP(globalfreelancepreprocesseddata!A962,worksheet!A:P,14,FALSE)</f>
        <v>1</v>
      </c>
      <c r="L962" s="7">
        <f>VLOOKUP(globalfreelancepreprocesseddata!A962,worksheet!A:P,16,FALSE)</f>
        <v>0.71</v>
      </c>
    </row>
    <row r="963" spans="1:12" x14ac:dyDescent="0.35">
      <c r="A963" s="5" t="s">
        <v>1993</v>
      </c>
      <c r="B963" s="5" t="str">
        <f>VLOOKUP(globalfreelancepreprocesseddata!A963,worksheet!A:P,3,FALSE)</f>
        <v>Catherine Johnston</v>
      </c>
      <c r="C963" s="5" t="str">
        <f>VLOOKUP(globalfreelancepreprocesseddata!A963,worksheet!A:P,5,FALSE)</f>
        <v>Female</v>
      </c>
      <c r="D963" s="5">
        <f>VLOOKUP(globalfreelancepreprocesseddata!A963,worksheet!A:P,6,FALSE)</f>
        <v>21</v>
      </c>
      <c r="E963" s="5" t="str">
        <f>VLOOKUP(globalfreelancepreprocesseddata!A963,worksheet!A:P,7,FALSE)</f>
        <v>Germany</v>
      </c>
      <c r="F963" s="5" t="str">
        <f>VLOOKUP(globalfreelancepreprocesseddata!A963,worksheet!A:P,8,FALSE)</f>
        <v>German</v>
      </c>
      <c r="G963" s="5" t="str">
        <f>VLOOKUP(globalfreelancepreprocesseddata!A963,worksheet!A:P,9,FALSE)</f>
        <v>UI/UX Design</v>
      </c>
      <c r="H963" s="5">
        <f>VLOOKUP(globalfreelancepreprocesseddata!A963,worksheet!A:P,10,FALSE)</f>
        <v>1</v>
      </c>
      <c r="I963" s="6">
        <f>VLOOKUP(globalfreelancepreprocesseddata!A963,worksheet!A:P,12,FALSE)</f>
        <v>100</v>
      </c>
      <c r="J963" s="5">
        <f>VLOOKUP(globalfreelancepreprocesseddata!A963,worksheet!A:P,13,FALSE)</f>
        <v>0</v>
      </c>
      <c r="K963" s="5">
        <f>VLOOKUP(globalfreelancepreprocesseddata!A963,worksheet!A:P,14,FALSE)</f>
        <v>1</v>
      </c>
      <c r="L963" s="7">
        <f>VLOOKUP(globalfreelancepreprocesseddata!A963,worksheet!A:P,16,FALSE)</f>
        <v>0.95</v>
      </c>
    </row>
    <row r="964" spans="1:12" x14ac:dyDescent="0.35">
      <c r="A964" s="5" t="s">
        <v>1995</v>
      </c>
      <c r="B964" s="5" t="str">
        <f>VLOOKUP(globalfreelancepreprocesseddata!A964,worksheet!A:P,3,FALSE)</f>
        <v>Brenda Koch</v>
      </c>
      <c r="C964" s="5" t="str">
        <f>VLOOKUP(globalfreelancepreprocesseddata!A964,worksheet!A:P,5,FALSE)</f>
        <v>Female</v>
      </c>
      <c r="D964" s="5">
        <f>VLOOKUP(globalfreelancepreprocesseddata!A964,worksheet!A:P,6,FALSE)</f>
        <v>36</v>
      </c>
      <c r="E964" s="5" t="str">
        <f>VLOOKUP(globalfreelancepreprocesseddata!A964,worksheet!A:P,7,FALSE)</f>
        <v>Brazil</v>
      </c>
      <c r="F964" s="5" t="str">
        <f>VLOOKUP(globalfreelancepreprocesseddata!A964,worksheet!A:P,8,FALSE)</f>
        <v>Portuguese</v>
      </c>
      <c r="G964" s="5" t="str">
        <f>VLOOKUP(globalfreelancepreprocesseddata!A964,worksheet!A:P,9,FALSE)</f>
        <v>Web Development</v>
      </c>
      <c r="H964" s="5">
        <f>VLOOKUP(globalfreelancepreprocesseddata!A964,worksheet!A:P,10,FALSE)</f>
        <v>11</v>
      </c>
      <c r="I964" s="6">
        <f>VLOOKUP(globalfreelancepreprocesseddata!A964,worksheet!A:P,12,FALSE)</f>
        <v>20</v>
      </c>
      <c r="J964" s="5">
        <f>VLOOKUP(globalfreelancepreprocesseddata!A964,worksheet!A:P,13,FALSE)</f>
        <v>4.0999999999999996</v>
      </c>
      <c r="K964" s="5">
        <f>VLOOKUP(globalfreelancepreprocesseddata!A964,worksheet!A:P,14,FALSE)</f>
        <v>0</v>
      </c>
      <c r="L964" s="7">
        <f>VLOOKUP(globalfreelancepreprocesseddata!A964,worksheet!A:P,16,FALSE)</f>
        <v>0.86</v>
      </c>
    </row>
    <row r="965" spans="1:12" x14ac:dyDescent="0.35">
      <c r="A965" s="5" t="s">
        <v>1997</v>
      </c>
      <c r="B965" s="5" t="str">
        <f>VLOOKUP(globalfreelancepreprocesseddata!A965,worksheet!A:P,3,FALSE)</f>
        <v>Mr. Robert Meza</v>
      </c>
      <c r="C965" s="5" t="str">
        <f>VLOOKUP(globalfreelancepreprocesseddata!A965,worksheet!A:P,5,FALSE)</f>
        <v>Male</v>
      </c>
      <c r="D965" s="5">
        <f>VLOOKUP(globalfreelancepreprocesseddata!A965,worksheet!A:P,6,FALSE)</f>
        <v>40</v>
      </c>
      <c r="E965" s="5" t="str">
        <f>VLOOKUP(globalfreelancepreprocesseddata!A965,worksheet!A:P,7,FALSE)</f>
        <v>Germany</v>
      </c>
      <c r="F965" s="5" t="str">
        <f>VLOOKUP(globalfreelancepreprocesseddata!A965,worksheet!A:P,8,FALSE)</f>
        <v>German</v>
      </c>
      <c r="G965" s="5" t="str">
        <f>VLOOKUP(globalfreelancepreprocesseddata!A965,worksheet!A:P,9,FALSE)</f>
        <v>AI</v>
      </c>
      <c r="H965" s="5">
        <f>VLOOKUP(globalfreelancepreprocesseddata!A965,worksheet!A:P,10,FALSE)</f>
        <v>2</v>
      </c>
      <c r="I965" s="6">
        <f>VLOOKUP(globalfreelancepreprocesseddata!A965,worksheet!A:P,12,FALSE)</f>
        <v>30</v>
      </c>
      <c r="J965" s="5">
        <f>VLOOKUP(globalfreelancepreprocesseddata!A965,worksheet!A:P,13,FALSE)</f>
        <v>1.3</v>
      </c>
      <c r="K965" s="5">
        <f>VLOOKUP(globalfreelancepreprocesseddata!A965,worksheet!A:P,14,FALSE)</f>
        <v>1</v>
      </c>
      <c r="L965" s="7">
        <f>VLOOKUP(globalfreelancepreprocesseddata!A965,worksheet!A:P,16,FALSE)</f>
        <v>0.77</v>
      </c>
    </row>
    <row r="966" spans="1:12" x14ac:dyDescent="0.35">
      <c r="A966" s="5" t="s">
        <v>1999</v>
      </c>
      <c r="B966" s="5" t="str">
        <f>VLOOKUP(globalfreelancepreprocesseddata!A966,worksheet!A:P,3,FALSE)</f>
        <v>Latoya Brown</v>
      </c>
      <c r="C966" s="5" t="str">
        <f>VLOOKUP(globalfreelancepreprocesseddata!A966,worksheet!A:P,5,FALSE)</f>
        <v>Female</v>
      </c>
      <c r="D966" s="5">
        <f>VLOOKUP(globalfreelancepreprocesseddata!A966,worksheet!A:P,6,FALSE)</f>
        <v>59</v>
      </c>
      <c r="E966" s="5" t="str">
        <f>VLOOKUP(globalfreelancepreprocesseddata!A966,worksheet!A:P,7,FALSE)</f>
        <v>United Kingdom</v>
      </c>
      <c r="F966" s="5" t="str">
        <f>VLOOKUP(globalfreelancepreprocesseddata!A966,worksheet!A:P,8,FALSE)</f>
        <v>English</v>
      </c>
      <c r="G966" s="5" t="str">
        <f>VLOOKUP(globalfreelancepreprocesseddata!A966,worksheet!A:P,9,FALSE)</f>
        <v>UI/UX Design</v>
      </c>
      <c r="H966" s="5">
        <f>VLOOKUP(globalfreelancepreprocesseddata!A966,worksheet!A:P,10,FALSE)</f>
        <v>40</v>
      </c>
      <c r="I966" s="6">
        <f>VLOOKUP(globalfreelancepreprocesseddata!A966,worksheet!A:P,12,FALSE)</f>
        <v>100</v>
      </c>
      <c r="J966" s="5">
        <f>VLOOKUP(globalfreelancepreprocesseddata!A966,worksheet!A:P,13,FALSE)</f>
        <v>2.6</v>
      </c>
      <c r="K966" s="5">
        <f>VLOOKUP(globalfreelancepreprocesseddata!A966,worksheet!A:P,14,FALSE)</f>
        <v>1</v>
      </c>
      <c r="L966" s="7">
        <f>VLOOKUP(globalfreelancepreprocesseddata!A966,worksheet!A:P,16,FALSE)</f>
        <v>0.16</v>
      </c>
    </row>
    <row r="967" spans="1:12" x14ac:dyDescent="0.35">
      <c r="A967" s="5" t="s">
        <v>2001</v>
      </c>
      <c r="B967" s="5" t="str">
        <f>VLOOKUP(globalfreelancepreprocesseddata!A967,worksheet!A:P,3,FALSE)</f>
        <v>David Osborne Iii</v>
      </c>
      <c r="C967" s="5" t="str">
        <f>VLOOKUP(globalfreelancepreprocesseddata!A967,worksheet!A:P,5,FALSE)</f>
        <v>Male</v>
      </c>
      <c r="D967" s="5">
        <f>VLOOKUP(globalfreelancepreprocesseddata!A967,worksheet!A:P,6,FALSE)</f>
        <v>45</v>
      </c>
      <c r="E967" s="5" t="str">
        <f>VLOOKUP(globalfreelancepreprocesseddata!A967,worksheet!A:P,7,FALSE)</f>
        <v>Netherlands</v>
      </c>
      <c r="F967" s="5" t="str">
        <f>VLOOKUP(globalfreelancepreprocesseddata!A967,worksheet!A:P,8,FALSE)</f>
        <v>Dutch</v>
      </c>
      <c r="G967" s="5" t="str">
        <f>VLOOKUP(globalfreelancepreprocesseddata!A967,worksheet!A:P,9,FALSE)</f>
        <v>Cybersecurity</v>
      </c>
      <c r="H967" s="5">
        <f>VLOOKUP(globalfreelancepreprocesseddata!A967,worksheet!A:P,10,FALSE)</f>
        <v>4</v>
      </c>
      <c r="I967" s="6">
        <f>VLOOKUP(globalfreelancepreprocesseddata!A967,worksheet!A:P,12,FALSE)</f>
        <v>20</v>
      </c>
      <c r="J967" s="5">
        <f>VLOOKUP(globalfreelancepreprocesseddata!A967,worksheet!A:P,13,FALSE)</f>
        <v>2.7</v>
      </c>
      <c r="K967" s="5">
        <f>VLOOKUP(globalfreelancepreprocesseddata!A967,worksheet!A:P,14,FALSE)</f>
        <v>1</v>
      </c>
      <c r="L967" s="7">
        <f>VLOOKUP(globalfreelancepreprocesseddata!A967,worksheet!A:P,16,FALSE)</f>
        <v>0.72</v>
      </c>
    </row>
    <row r="968" spans="1:12" x14ac:dyDescent="0.35">
      <c r="A968" s="5" t="s">
        <v>2003</v>
      </c>
      <c r="B968" s="5" t="str">
        <f>VLOOKUP(globalfreelancepreprocesseddata!A968,worksheet!A:P,3,FALSE)</f>
        <v>David Hooper</v>
      </c>
      <c r="C968" s="5" t="str">
        <f>VLOOKUP(globalfreelancepreprocesseddata!A968,worksheet!A:P,5,FALSE)</f>
        <v>Male</v>
      </c>
      <c r="D968" s="5">
        <f>VLOOKUP(globalfreelancepreprocesseddata!A968,worksheet!A:P,6,FALSE)</f>
        <v>44</v>
      </c>
      <c r="E968" s="5" t="str">
        <f>VLOOKUP(globalfreelancepreprocesseddata!A968,worksheet!A:P,7,FALSE)</f>
        <v>South Korea</v>
      </c>
      <c r="F968" s="5" t="str">
        <f>VLOOKUP(globalfreelancepreprocesseddata!A968,worksheet!A:P,8,FALSE)</f>
        <v>Korean</v>
      </c>
      <c r="G968" s="5" t="str">
        <f>VLOOKUP(globalfreelancepreprocesseddata!A968,worksheet!A:P,9,FALSE)</f>
        <v>Machine Learning</v>
      </c>
      <c r="H968" s="5">
        <f>VLOOKUP(globalfreelancepreprocesseddata!A968,worksheet!A:P,10,FALSE)</f>
        <v>9</v>
      </c>
      <c r="I968" s="6">
        <f>VLOOKUP(globalfreelancepreprocesseddata!A968,worksheet!A:P,12,FALSE)</f>
        <v>40</v>
      </c>
      <c r="J968" s="5">
        <f>VLOOKUP(globalfreelancepreprocesseddata!A968,worksheet!A:P,13,FALSE)</f>
        <v>3</v>
      </c>
      <c r="K968" s="5">
        <f>VLOOKUP(globalfreelancepreprocesseddata!A968,worksheet!A:P,14,FALSE)</f>
        <v>0</v>
      </c>
      <c r="L968" s="7">
        <f>VLOOKUP(globalfreelancepreprocesseddata!A968,worksheet!A:P,16,FALSE)</f>
        <v>0.7</v>
      </c>
    </row>
    <row r="969" spans="1:12" x14ac:dyDescent="0.35">
      <c r="A969" s="5" t="s">
        <v>2005</v>
      </c>
      <c r="B969" s="5" t="str">
        <f>VLOOKUP(globalfreelancepreprocesseddata!A969,worksheet!A:P,3,FALSE)</f>
        <v>Sarah Miller</v>
      </c>
      <c r="C969" s="5" t="str">
        <f>VLOOKUP(globalfreelancepreprocesseddata!A969,worksheet!A:P,5,FALSE)</f>
        <v>Female</v>
      </c>
      <c r="D969" s="5">
        <f>VLOOKUP(globalfreelancepreprocesseddata!A969,worksheet!A:P,6,FALSE)</f>
        <v>36</v>
      </c>
      <c r="E969" s="5" t="str">
        <f>VLOOKUP(globalfreelancepreprocesseddata!A969,worksheet!A:P,7,FALSE)</f>
        <v>United Kingdom</v>
      </c>
      <c r="F969" s="5" t="str">
        <f>VLOOKUP(globalfreelancepreprocesseddata!A969,worksheet!A:P,8,FALSE)</f>
        <v>English</v>
      </c>
      <c r="G969" s="5" t="str">
        <f>VLOOKUP(globalfreelancepreprocesseddata!A969,worksheet!A:P,9,FALSE)</f>
        <v>Cybersecurity</v>
      </c>
      <c r="H969" s="5">
        <f>VLOOKUP(globalfreelancepreprocesseddata!A969,worksheet!A:P,10,FALSE)</f>
        <v>13</v>
      </c>
      <c r="I969" s="6">
        <f>VLOOKUP(globalfreelancepreprocesseddata!A969,worksheet!A:P,12,FALSE)</f>
        <v>30</v>
      </c>
      <c r="J969" s="5">
        <f>VLOOKUP(globalfreelancepreprocesseddata!A969,worksheet!A:P,13,FALSE)</f>
        <v>3.6</v>
      </c>
      <c r="K969" s="5">
        <f>VLOOKUP(globalfreelancepreprocesseddata!A969,worksheet!A:P,14,FALSE)</f>
        <v>0</v>
      </c>
      <c r="L969" s="7">
        <f>VLOOKUP(globalfreelancepreprocesseddata!A969,worksheet!A:P,16,FALSE)</f>
        <v>0.86</v>
      </c>
    </row>
    <row r="970" spans="1:12" x14ac:dyDescent="0.35">
      <c r="A970" s="5" t="s">
        <v>2007</v>
      </c>
      <c r="B970" s="5" t="str">
        <f>VLOOKUP(globalfreelancepreprocesseddata!A970,worksheet!A:P,3,FALSE)</f>
        <v>Lisa Werner Md</v>
      </c>
      <c r="C970" s="5" t="str">
        <f>VLOOKUP(globalfreelancepreprocesseddata!A970,worksheet!A:P,5,FALSE)</f>
        <v>Female</v>
      </c>
      <c r="D970" s="5">
        <f>VLOOKUP(globalfreelancepreprocesseddata!A970,worksheet!A:P,6,FALSE)</f>
        <v>26</v>
      </c>
      <c r="E970" s="5" t="str">
        <f>VLOOKUP(globalfreelancepreprocesseddata!A970,worksheet!A:P,7,FALSE)</f>
        <v>India</v>
      </c>
      <c r="F970" s="5" t="str">
        <f>VLOOKUP(globalfreelancepreprocesseddata!A970,worksheet!A:P,8,FALSE)</f>
        <v>Hindi</v>
      </c>
      <c r="G970" s="5" t="str">
        <f>VLOOKUP(globalfreelancepreprocesseddata!A970,worksheet!A:P,9,FALSE)</f>
        <v>Graphic Design</v>
      </c>
      <c r="H970" s="5">
        <f>VLOOKUP(globalfreelancepreprocesseddata!A970,worksheet!A:P,10,FALSE)</f>
        <v>1</v>
      </c>
      <c r="I970" s="6">
        <f>VLOOKUP(globalfreelancepreprocesseddata!A970,worksheet!A:P,12,FALSE)</f>
        <v>75</v>
      </c>
      <c r="J970" s="5">
        <f>VLOOKUP(globalfreelancepreprocesseddata!A970,worksheet!A:P,13,FALSE)</f>
        <v>3</v>
      </c>
      <c r="K970" s="5">
        <f>VLOOKUP(globalfreelancepreprocesseddata!A970,worksheet!A:P,14,FALSE)</f>
        <v>1</v>
      </c>
      <c r="L970" s="7">
        <f>VLOOKUP(globalfreelancepreprocesseddata!A970,worksheet!A:P,16,FALSE)</f>
        <v>0.16</v>
      </c>
    </row>
    <row r="971" spans="1:12" x14ac:dyDescent="0.35">
      <c r="A971" s="5" t="s">
        <v>2009</v>
      </c>
      <c r="B971" s="5" t="str">
        <f>VLOOKUP(globalfreelancepreprocesseddata!A971,worksheet!A:P,3,FALSE)</f>
        <v>Eric Jimenez</v>
      </c>
      <c r="C971" s="5" t="str">
        <f>VLOOKUP(globalfreelancepreprocesseddata!A971,worksheet!A:P,5,FALSE)</f>
        <v>Male</v>
      </c>
      <c r="D971" s="5">
        <f>VLOOKUP(globalfreelancepreprocesseddata!A971,worksheet!A:P,6,FALSE)</f>
        <v>49</v>
      </c>
      <c r="E971" s="5" t="str">
        <f>VLOOKUP(globalfreelancepreprocesseddata!A971,worksheet!A:P,7,FALSE)</f>
        <v>India</v>
      </c>
      <c r="F971" s="5" t="str">
        <f>VLOOKUP(globalfreelancepreprocesseddata!A971,worksheet!A:P,8,FALSE)</f>
        <v>Hindi</v>
      </c>
      <c r="G971" s="5" t="str">
        <f>VLOOKUP(globalfreelancepreprocesseddata!A971,worksheet!A:P,9,FALSE)</f>
        <v>Web Development</v>
      </c>
      <c r="H971" s="5">
        <f>VLOOKUP(globalfreelancepreprocesseddata!A971,worksheet!A:P,10,FALSE)</f>
        <v>1</v>
      </c>
      <c r="I971" s="6">
        <f>VLOOKUP(globalfreelancepreprocesseddata!A971,worksheet!A:P,12,FALSE)</f>
        <v>40</v>
      </c>
      <c r="J971" s="5">
        <f>VLOOKUP(globalfreelancepreprocesseddata!A971,worksheet!A:P,13,FALSE)</f>
        <v>0</v>
      </c>
      <c r="K971" s="5">
        <f>VLOOKUP(globalfreelancepreprocesseddata!A971,worksheet!A:P,14,FALSE)</f>
        <v>0</v>
      </c>
      <c r="L971" s="7">
        <f>VLOOKUP(globalfreelancepreprocesseddata!A971,worksheet!A:P,16,FALSE)</f>
        <v>0.82</v>
      </c>
    </row>
    <row r="972" spans="1:12" x14ac:dyDescent="0.35">
      <c r="A972" s="5" t="s">
        <v>2011</v>
      </c>
      <c r="B972" s="5" t="str">
        <f>VLOOKUP(globalfreelancepreprocesseddata!A972,worksheet!A:P,3,FALSE)</f>
        <v>Jay Bush</v>
      </c>
      <c r="C972" s="5" t="str">
        <f>VLOOKUP(globalfreelancepreprocesseddata!A972,worksheet!A:P,5,FALSE)</f>
        <v>Male</v>
      </c>
      <c r="D972" s="5">
        <f>VLOOKUP(globalfreelancepreprocesseddata!A972,worksheet!A:P,6,FALSE)</f>
        <v>29</v>
      </c>
      <c r="E972" s="5" t="str">
        <f>VLOOKUP(globalfreelancepreprocesseddata!A972,worksheet!A:P,7,FALSE)</f>
        <v>France</v>
      </c>
      <c r="F972" s="5" t="str">
        <f>VLOOKUP(globalfreelancepreprocesseddata!A972,worksheet!A:P,8,FALSE)</f>
        <v>French</v>
      </c>
      <c r="G972" s="5" t="str">
        <f>VLOOKUP(globalfreelancepreprocesseddata!A972,worksheet!A:P,9,FALSE)</f>
        <v>Mobile Apps</v>
      </c>
      <c r="H972" s="5">
        <f>VLOOKUP(globalfreelancepreprocesseddata!A972,worksheet!A:P,10,FALSE)</f>
        <v>3</v>
      </c>
      <c r="I972" s="6" t="str">
        <f>VLOOKUP(globalfreelancepreprocesseddata!A972,worksheet!A:P,12,FALSE)</f>
        <v>$ 40</v>
      </c>
      <c r="J972" s="5">
        <f>VLOOKUP(globalfreelancepreprocesseddata!A972,worksheet!A:P,13,FALSE)</f>
        <v>0</v>
      </c>
      <c r="K972" s="5">
        <f>VLOOKUP(globalfreelancepreprocesseddata!A972,worksheet!A:P,14,FALSE)</f>
        <v>1</v>
      </c>
      <c r="L972" s="7">
        <f>VLOOKUP(globalfreelancepreprocesseddata!A972,worksheet!A:P,16,FALSE)</f>
        <v>0.81</v>
      </c>
    </row>
    <row r="973" spans="1:12" x14ac:dyDescent="0.35">
      <c r="A973" s="5" t="s">
        <v>2013</v>
      </c>
      <c r="B973" s="5" t="str">
        <f>VLOOKUP(globalfreelancepreprocesseddata!A973,worksheet!A:P,3,FALSE)</f>
        <v>Johnny Rice</v>
      </c>
      <c r="C973" s="5" t="str">
        <f>VLOOKUP(globalfreelancepreprocesseddata!A973,worksheet!A:P,5,FALSE)</f>
        <v>Male</v>
      </c>
      <c r="D973" s="5">
        <f>VLOOKUP(globalfreelancepreprocesseddata!A973,worksheet!A:P,6,FALSE)</f>
        <v>32</v>
      </c>
      <c r="E973" s="5" t="str">
        <f>VLOOKUP(globalfreelancepreprocesseddata!A973,worksheet!A:P,7,FALSE)</f>
        <v>France</v>
      </c>
      <c r="F973" s="5" t="str">
        <f>VLOOKUP(globalfreelancepreprocesseddata!A973,worksheet!A:P,8,FALSE)</f>
        <v>French</v>
      </c>
      <c r="G973" s="5" t="str">
        <f>VLOOKUP(globalfreelancepreprocesseddata!A973,worksheet!A:P,9,FALSE)</f>
        <v>Graphic Design</v>
      </c>
      <c r="H973" s="5">
        <f>VLOOKUP(globalfreelancepreprocesseddata!A973,worksheet!A:P,10,FALSE)</f>
        <v>1</v>
      </c>
      <c r="I973" s="6">
        <f>VLOOKUP(globalfreelancepreprocesseddata!A973,worksheet!A:P,12,FALSE)</f>
        <v>40</v>
      </c>
      <c r="J973" s="5">
        <f>VLOOKUP(globalfreelancepreprocesseddata!A973,worksheet!A:P,13,FALSE)</f>
        <v>3.1</v>
      </c>
      <c r="K973" s="5">
        <f>VLOOKUP(globalfreelancepreprocesseddata!A973,worksheet!A:P,14,FALSE)</f>
        <v>1</v>
      </c>
      <c r="L973" s="7">
        <f>VLOOKUP(globalfreelancepreprocesseddata!A973,worksheet!A:P,16,FALSE)</f>
        <v>0.76</v>
      </c>
    </row>
    <row r="974" spans="1:12" x14ac:dyDescent="0.35">
      <c r="A974" s="5" t="s">
        <v>2015</v>
      </c>
      <c r="B974" s="5" t="str">
        <f>VLOOKUP(globalfreelancepreprocesseddata!A974,worksheet!A:P,3,FALSE)</f>
        <v>Matthew Strong</v>
      </c>
      <c r="C974" s="5" t="str">
        <f>VLOOKUP(globalfreelancepreprocesseddata!A974,worksheet!A:P,5,FALSE)</f>
        <v>Male</v>
      </c>
      <c r="D974" s="5">
        <f>VLOOKUP(globalfreelancepreprocesseddata!A974,worksheet!A:P,6,FALSE)</f>
        <v>24</v>
      </c>
      <c r="E974" s="5" t="str">
        <f>VLOOKUP(globalfreelancepreprocesseddata!A974,worksheet!A:P,7,FALSE)</f>
        <v>Indonesia</v>
      </c>
      <c r="F974" s="5" t="str">
        <f>VLOOKUP(globalfreelancepreprocesseddata!A974,worksheet!A:P,8,FALSE)</f>
        <v>Indonesian</v>
      </c>
      <c r="G974" s="5" t="str">
        <f>VLOOKUP(globalfreelancepreprocesseddata!A974,worksheet!A:P,9,FALSE)</f>
        <v>Blockchain Development</v>
      </c>
      <c r="H974" s="5">
        <f>VLOOKUP(globalfreelancepreprocesseddata!A974,worksheet!A:P,10,FALSE)</f>
        <v>3</v>
      </c>
      <c r="I974" s="6" t="str">
        <f>VLOOKUP(globalfreelancepreprocesseddata!A974,worksheet!A:P,12,FALSE)</f>
        <v>$ 30</v>
      </c>
      <c r="J974" s="5">
        <f>VLOOKUP(globalfreelancepreprocesseddata!A974,worksheet!A:P,13,FALSE)</f>
        <v>3.9</v>
      </c>
      <c r="K974" s="5">
        <f>VLOOKUP(globalfreelancepreprocesseddata!A974,worksheet!A:P,14,FALSE)</f>
        <v>0</v>
      </c>
      <c r="L974" s="7">
        <f>VLOOKUP(globalfreelancepreprocesseddata!A974,worksheet!A:P,16,FALSE)</f>
        <v>0.9</v>
      </c>
    </row>
    <row r="975" spans="1:12" x14ac:dyDescent="0.35">
      <c r="A975" s="5" t="s">
        <v>2017</v>
      </c>
      <c r="B975" s="5" t="str">
        <f>VLOOKUP(globalfreelancepreprocesseddata!A975,worksheet!A:P,3,FALSE)</f>
        <v>Mark Chandler</v>
      </c>
      <c r="C975" s="5" t="str">
        <f>VLOOKUP(globalfreelancepreprocesseddata!A975,worksheet!A:P,5,FALSE)</f>
        <v>Male</v>
      </c>
      <c r="D975" s="5">
        <f>VLOOKUP(globalfreelancepreprocesseddata!A975,worksheet!A:P,6,FALSE)</f>
        <v>35</v>
      </c>
      <c r="E975" s="5" t="str">
        <f>VLOOKUP(globalfreelancepreprocesseddata!A975,worksheet!A:P,7,FALSE)</f>
        <v>South Korea</v>
      </c>
      <c r="F975" s="5" t="str">
        <f>VLOOKUP(globalfreelancepreprocesseddata!A975,worksheet!A:P,8,FALSE)</f>
        <v>Korean</v>
      </c>
      <c r="G975" s="5" t="str">
        <f>VLOOKUP(globalfreelancepreprocesseddata!A975,worksheet!A:P,9,FALSE)</f>
        <v>DevOps</v>
      </c>
      <c r="H975" s="5">
        <f>VLOOKUP(globalfreelancepreprocesseddata!A975,worksheet!A:P,10,FALSE)</f>
        <v>14</v>
      </c>
      <c r="I975" s="6">
        <f>VLOOKUP(globalfreelancepreprocesseddata!A975,worksheet!A:P,12,FALSE)</f>
        <v>30</v>
      </c>
      <c r="J975" s="5">
        <f>VLOOKUP(globalfreelancepreprocesseddata!A975,worksheet!A:P,13,FALSE)</f>
        <v>1.6</v>
      </c>
      <c r="K975" s="5">
        <f>VLOOKUP(globalfreelancepreprocesseddata!A975,worksheet!A:P,14,FALSE)</f>
        <v>1</v>
      </c>
      <c r="L975" s="7">
        <f>VLOOKUP(globalfreelancepreprocesseddata!A975,worksheet!A:P,16,FALSE)</f>
        <v>0.67</v>
      </c>
    </row>
    <row r="976" spans="1:12" x14ac:dyDescent="0.35">
      <c r="A976" s="5" t="s">
        <v>2019</v>
      </c>
      <c r="B976" s="5" t="str">
        <f>VLOOKUP(globalfreelancepreprocesseddata!A976,worksheet!A:P,3,FALSE)</f>
        <v>Crystal Brown</v>
      </c>
      <c r="C976" s="5" t="str">
        <f>VLOOKUP(globalfreelancepreprocesseddata!A976,worksheet!A:P,5,FALSE)</f>
        <v>Female</v>
      </c>
      <c r="D976" s="5">
        <f>VLOOKUP(globalfreelancepreprocesseddata!A976,worksheet!A:P,6,FALSE)</f>
        <v>43</v>
      </c>
      <c r="E976" s="5" t="str">
        <f>VLOOKUP(globalfreelancepreprocesseddata!A976,worksheet!A:P,7,FALSE)</f>
        <v>Spain</v>
      </c>
      <c r="F976" s="5" t="str">
        <f>VLOOKUP(globalfreelancepreprocesseddata!A976,worksheet!A:P,8,FALSE)</f>
        <v>Spanish</v>
      </c>
      <c r="G976" s="5" t="str">
        <f>VLOOKUP(globalfreelancepreprocesseddata!A976,worksheet!A:P,9,FALSE)</f>
        <v>Blockchain Development</v>
      </c>
      <c r="H976" s="5">
        <f>VLOOKUP(globalfreelancepreprocesseddata!A976,worksheet!A:P,10,FALSE)</f>
        <v>2</v>
      </c>
      <c r="I976" s="6">
        <f>VLOOKUP(globalfreelancepreprocesseddata!A976,worksheet!A:P,12,FALSE)</f>
        <v>40</v>
      </c>
      <c r="J976" s="5">
        <f>VLOOKUP(globalfreelancepreprocesseddata!A976,worksheet!A:P,13,FALSE)</f>
        <v>1.8</v>
      </c>
      <c r="K976" s="5">
        <f>VLOOKUP(globalfreelancepreprocesseddata!A976,worksheet!A:P,14,FALSE)</f>
        <v>1</v>
      </c>
      <c r="L976" s="7">
        <f>VLOOKUP(globalfreelancepreprocesseddata!A976,worksheet!A:P,16,FALSE)</f>
        <v>0.61</v>
      </c>
    </row>
    <row r="977" spans="1:12" x14ac:dyDescent="0.35">
      <c r="A977" s="5" t="s">
        <v>2021</v>
      </c>
      <c r="B977" s="5" t="str">
        <f>VLOOKUP(globalfreelancepreprocesseddata!A977,worksheet!A:P,3,FALSE)</f>
        <v>Timothy Barton</v>
      </c>
      <c r="C977" s="5" t="str">
        <f>VLOOKUP(globalfreelancepreprocesseddata!A977,worksheet!A:P,5,FALSE)</f>
        <v>Male</v>
      </c>
      <c r="D977" s="5">
        <f>VLOOKUP(globalfreelancepreprocesseddata!A977,worksheet!A:P,6,FALSE)</f>
        <v>53</v>
      </c>
      <c r="E977" s="5" t="str">
        <f>VLOOKUP(globalfreelancepreprocesseddata!A977,worksheet!A:P,7,FALSE)</f>
        <v>South Korea</v>
      </c>
      <c r="F977" s="5" t="str">
        <f>VLOOKUP(globalfreelancepreprocesseddata!A977,worksheet!A:P,8,FALSE)</f>
        <v>Korean</v>
      </c>
      <c r="G977" s="5" t="str">
        <f>VLOOKUP(globalfreelancepreprocesseddata!A977,worksheet!A:P,9,FALSE)</f>
        <v>Machine Learning</v>
      </c>
      <c r="H977" s="5">
        <f>VLOOKUP(globalfreelancepreprocesseddata!A977,worksheet!A:P,10,FALSE)</f>
        <v>27</v>
      </c>
      <c r="I977" s="6">
        <f>VLOOKUP(globalfreelancepreprocesseddata!A977,worksheet!A:P,12,FALSE)</f>
        <v>100</v>
      </c>
      <c r="J977" s="5">
        <f>VLOOKUP(globalfreelancepreprocesseddata!A977,worksheet!A:P,13,FALSE)</f>
        <v>3.7</v>
      </c>
      <c r="K977" s="5">
        <f>VLOOKUP(globalfreelancepreprocesseddata!A977,worksheet!A:P,14,FALSE)</f>
        <v>1</v>
      </c>
      <c r="L977" s="7">
        <f>VLOOKUP(globalfreelancepreprocesseddata!A977,worksheet!A:P,16,FALSE)</f>
        <v>0.73</v>
      </c>
    </row>
    <row r="978" spans="1:12" x14ac:dyDescent="0.35">
      <c r="A978" s="5" t="s">
        <v>2023</v>
      </c>
      <c r="B978" s="5" t="str">
        <f>VLOOKUP(globalfreelancepreprocesseddata!A978,worksheet!A:P,3,FALSE)</f>
        <v>Lisa Hickman</v>
      </c>
      <c r="C978" s="5" t="str">
        <f>VLOOKUP(globalfreelancepreprocesseddata!A978,worksheet!A:P,5,FALSE)</f>
        <v>Female</v>
      </c>
      <c r="D978" s="5">
        <f>VLOOKUP(globalfreelancepreprocesseddata!A978,worksheet!A:P,6,FALSE)</f>
        <v>38</v>
      </c>
      <c r="E978" s="5" t="str">
        <f>VLOOKUP(globalfreelancepreprocesseddata!A978,worksheet!A:P,7,FALSE)</f>
        <v>Russia</v>
      </c>
      <c r="F978" s="5" t="str">
        <f>VLOOKUP(globalfreelancepreprocesseddata!A978,worksheet!A:P,8,FALSE)</f>
        <v>Russian</v>
      </c>
      <c r="G978" s="5" t="str">
        <f>VLOOKUP(globalfreelancepreprocesseddata!A978,worksheet!A:P,9,FALSE)</f>
        <v>DevOps</v>
      </c>
      <c r="H978" s="5">
        <f>VLOOKUP(globalfreelancepreprocesseddata!A978,worksheet!A:P,10,FALSE)</f>
        <v>7</v>
      </c>
      <c r="I978" s="6">
        <f>VLOOKUP(globalfreelancepreprocesseddata!A978,worksheet!A:P,12,FALSE)</f>
        <v>75</v>
      </c>
      <c r="J978" s="5">
        <f>VLOOKUP(globalfreelancepreprocesseddata!A978,worksheet!A:P,13,FALSE)</f>
        <v>3</v>
      </c>
      <c r="K978" s="5">
        <f>VLOOKUP(globalfreelancepreprocesseddata!A978,worksheet!A:P,14,FALSE)</f>
        <v>0</v>
      </c>
      <c r="L978" s="7">
        <f>VLOOKUP(globalfreelancepreprocesseddata!A978,worksheet!A:P,16,FALSE)</f>
        <v>0.16</v>
      </c>
    </row>
    <row r="979" spans="1:12" x14ac:dyDescent="0.35">
      <c r="A979" s="5" t="s">
        <v>2025</v>
      </c>
      <c r="B979" s="5" t="str">
        <f>VLOOKUP(globalfreelancepreprocesseddata!A979,worksheet!A:P,3,FALSE)</f>
        <v>Alan Mendoza</v>
      </c>
      <c r="C979" s="5" t="str">
        <f>VLOOKUP(globalfreelancepreprocesseddata!A979,worksheet!A:P,5,FALSE)</f>
        <v>Male</v>
      </c>
      <c r="D979" s="5">
        <f>VLOOKUP(globalfreelancepreprocesseddata!A979,worksheet!A:P,6,FALSE)</f>
        <v>57</v>
      </c>
      <c r="E979" s="5" t="str">
        <f>VLOOKUP(globalfreelancepreprocesseddata!A979,worksheet!A:P,7,FALSE)</f>
        <v>United Kingdom</v>
      </c>
      <c r="F979" s="5" t="str">
        <f>VLOOKUP(globalfreelancepreprocesseddata!A979,worksheet!A:P,8,FALSE)</f>
        <v>English</v>
      </c>
      <c r="G979" s="5" t="str">
        <f>VLOOKUP(globalfreelancepreprocesseddata!A979,worksheet!A:P,9,FALSE)</f>
        <v>Cybersecurity</v>
      </c>
      <c r="H979" s="5">
        <f>VLOOKUP(globalfreelancepreprocesseddata!A979,worksheet!A:P,10,FALSE)</f>
        <v>29</v>
      </c>
      <c r="I979" s="6">
        <f>VLOOKUP(globalfreelancepreprocesseddata!A979,worksheet!A:P,12,FALSE)</f>
        <v>75</v>
      </c>
      <c r="J979" s="5">
        <f>VLOOKUP(globalfreelancepreprocesseddata!A979,worksheet!A:P,13,FALSE)</f>
        <v>4.0999999999999996</v>
      </c>
      <c r="K979" s="5">
        <f>VLOOKUP(globalfreelancepreprocesseddata!A979,worksheet!A:P,14,FALSE)</f>
        <v>0</v>
      </c>
      <c r="L979" s="7">
        <f>VLOOKUP(globalfreelancepreprocesseddata!A979,worksheet!A:P,16,FALSE)</f>
        <v>0.9</v>
      </c>
    </row>
    <row r="980" spans="1:12" x14ac:dyDescent="0.35">
      <c r="A980" s="5" t="s">
        <v>2027</v>
      </c>
      <c r="B980" s="5" t="str">
        <f>VLOOKUP(globalfreelancepreprocesseddata!A980,worksheet!A:P,3,FALSE)</f>
        <v>Jason Sanders</v>
      </c>
      <c r="C980" s="5" t="str">
        <f>VLOOKUP(globalfreelancepreprocesseddata!A980,worksheet!A:P,5,FALSE)</f>
        <v>Male</v>
      </c>
      <c r="D980" s="5">
        <f>VLOOKUP(globalfreelancepreprocesseddata!A980,worksheet!A:P,6,FALSE)</f>
        <v>27</v>
      </c>
      <c r="E980" s="5" t="str">
        <f>VLOOKUP(globalfreelancepreprocesseddata!A980,worksheet!A:P,7,FALSE)</f>
        <v>China</v>
      </c>
      <c r="F980" s="5" t="str">
        <f>VLOOKUP(globalfreelancepreprocesseddata!A980,worksheet!A:P,8,FALSE)</f>
        <v>Mandarin</v>
      </c>
      <c r="G980" s="5" t="str">
        <f>VLOOKUP(globalfreelancepreprocesseddata!A980,worksheet!A:P,9,FALSE)</f>
        <v>Blockchain Development</v>
      </c>
      <c r="H980" s="5">
        <f>VLOOKUP(globalfreelancepreprocesseddata!A980,worksheet!A:P,10,FALSE)</f>
        <v>5</v>
      </c>
      <c r="I980" s="6">
        <f>VLOOKUP(globalfreelancepreprocesseddata!A980,worksheet!A:P,12,FALSE)</f>
        <v>75</v>
      </c>
      <c r="J980" s="5">
        <f>VLOOKUP(globalfreelancepreprocesseddata!A980,worksheet!A:P,13,FALSE)</f>
        <v>1.4</v>
      </c>
      <c r="K980" s="5">
        <f>VLOOKUP(globalfreelancepreprocesseddata!A980,worksheet!A:P,14,FALSE)</f>
        <v>1</v>
      </c>
      <c r="L980" s="7">
        <f>VLOOKUP(globalfreelancepreprocesseddata!A980,worksheet!A:P,16,FALSE)</f>
        <v>0.64</v>
      </c>
    </row>
    <row r="981" spans="1:12" x14ac:dyDescent="0.35">
      <c r="A981" s="5" t="s">
        <v>2029</v>
      </c>
      <c r="B981" s="5" t="str">
        <f>VLOOKUP(globalfreelancepreprocesseddata!A981,worksheet!A:P,3,FALSE)</f>
        <v>Charles Dean</v>
      </c>
      <c r="C981" s="5" t="str">
        <f>VLOOKUP(globalfreelancepreprocesseddata!A981,worksheet!A:P,5,FALSE)</f>
        <v>Male</v>
      </c>
      <c r="D981" s="5">
        <f>VLOOKUP(globalfreelancepreprocesseddata!A981,worksheet!A:P,6,FALSE)</f>
        <v>43</v>
      </c>
      <c r="E981" s="5" t="str">
        <f>VLOOKUP(globalfreelancepreprocesseddata!A981,worksheet!A:P,7,FALSE)</f>
        <v>Argentina</v>
      </c>
      <c r="F981" s="5" t="str">
        <f>VLOOKUP(globalfreelancepreprocesseddata!A981,worksheet!A:P,8,FALSE)</f>
        <v>Spanish</v>
      </c>
      <c r="G981" s="5" t="str">
        <f>VLOOKUP(globalfreelancepreprocesseddata!A981,worksheet!A:P,9,FALSE)</f>
        <v>Web Development</v>
      </c>
      <c r="H981" s="5">
        <f>VLOOKUP(globalfreelancepreprocesseddata!A981,worksheet!A:P,10,FALSE)</f>
        <v>2</v>
      </c>
      <c r="I981" s="6">
        <f>VLOOKUP(globalfreelancepreprocesseddata!A981,worksheet!A:P,12,FALSE)</f>
        <v>100</v>
      </c>
      <c r="J981" s="5">
        <f>VLOOKUP(globalfreelancepreprocesseddata!A981,worksheet!A:P,13,FALSE)</f>
        <v>1.1000000000000001</v>
      </c>
      <c r="K981" s="5">
        <f>VLOOKUP(globalfreelancepreprocesseddata!A981,worksheet!A:P,14,FALSE)</f>
        <v>1</v>
      </c>
      <c r="L981" s="7">
        <f>VLOOKUP(globalfreelancepreprocesseddata!A981,worksheet!A:P,16,FALSE)</f>
        <v>0.63</v>
      </c>
    </row>
    <row r="982" spans="1:12" x14ac:dyDescent="0.35">
      <c r="A982" s="5" t="s">
        <v>2031</v>
      </c>
      <c r="B982" s="5" t="str">
        <f>VLOOKUP(globalfreelancepreprocesseddata!A982,worksheet!A:P,3,FALSE)</f>
        <v>Blake Newton</v>
      </c>
      <c r="C982" s="5" t="str">
        <f>VLOOKUP(globalfreelancepreprocesseddata!A982,worksheet!A:P,5,FALSE)</f>
        <v>Male</v>
      </c>
      <c r="D982" s="5">
        <f>VLOOKUP(globalfreelancepreprocesseddata!A982,worksheet!A:P,6,FALSE)</f>
        <v>48</v>
      </c>
      <c r="E982" s="5" t="str">
        <f>VLOOKUP(globalfreelancepreprocesseddata!A982,worksheet!A:P,7,FALSE)</f>
        <v>Canada</v>
      </c>
      <c r="F982" s="5" t="str">
        <f>VLOOKUP(globalfreelancepreprocesseddata!A982,worksheet!A:P,8,FALSE)</f>
        <v>English</v>
      </c>
      <c r="G982" s="5" t="str">
        <f>VLOOKUP(globalfreelancepreprocesseddata!A982,worksheet!A:P,9,FALSE)</f>
        <v>Data Analysis</v>
      </c>
      <c r="H982" s="5">
        <f>VLOOKUP(globalfreelancepreprocesseddata!A982,worksheet!A:P,10,FALSE)</f>
        <v>18</v>
      </c>
      <c r="I982" s="6">
        <f>VLOOKUP(globalfreelancepreprocesseddata!A982,worksheet!A:P,12,FALSE)</f>
        <v>40</v>
      </c>
      <c r="J982" s="5">
        <f>VLOOKUP(globalfreelancepreprocesseddata!A982,worksheet!A:P,13,FALSE)</f>
        <v>3.9</v>
      </c>
      <c r="K982" s="5">
        <f>VLOOKUP(globalfreelancepreprocesseddata!A982,worksheet!A:P,14,FALSE)</f>
        <v>1</v>
      </c>
      <c r="L982" s="7">
        <f>VLOOKUP(globalfreelancepreprocesseddata!A982,worksheet!A:P,16,FALSE)</f>
        <v>0.16</v>
      </c>
    </row>
    <row r="983" spans="1:12" x14ac:dyDescent="0.35">
      <c r="A983" s="5" t="s">
        <v>2033</v>
      </c>
      <c r="B983" s="5" t="str">
        <f>VLOOKUP(globalfreelancepreprocesseddata!A983,worksheet!A:P,3,FALSE)</f>
        <v>David Gonzalez</v>
      </c>
      <c r="C983" s="5" t="str">
        <f>VLOOKUP(globalfreelancepreprocesseddata!A983,worksheet!A:P,5,FALSE)</f>
        <v>Male</v>
      </c>
      <c r="D983" s="5">
        <f>VLOOKUP(globalfreelancepreprocesseddata!A983,worksheet!A:P,6,FALSE)</f>
        <v>26</v>
      </c>
      <c r="E983" s="5" t="str">
        <f>VLOOKUP(globalfreelancepreprocesseddata!A983,worksheet!A:P,7,FALSE)</f>
        <v>Brazil</v>
      </c>
      <c r="F983" s="5" t="str">
        <f>VLOOKUP(globalfreelancepreprocesseddata!A983,worksheet!A:P,8,FALSE)</f>
        <v>Portuguese</v>
      </c>
      <c r="G983" s="5" t="str">
        <f>VLOOKUP(globalfreelancepreprocesseddata!A983,worksheet!A:P,9,FALSE)</f>
        <v>Cybersecurity</v>
      </c>
      <c r="H983" s="5">
        <f>VLOOKUP(globalfreelancepreprocesseddata!A983,worksheet!A:P,10,FALSE)</f>
        <v>8</v>
      </c>
      <c r="I983" s="6">
        <f>VLOOKUP(globalfreelancepreprocesseddata!A983,worksheet!A:P,12,FALSE)</f>
        <v>20</v>
      </c>
      <c r="J983" s="5">
        <f>VLOOKUP(globalfreelancepreprocesseddata!A983,worksheet!A:P,13,FALSE)</f>
        <v>3.6</v>
      </c>
      <c r="K983" s="5">
        <f>VLOOKUP(globalfreelancepreprocesseddata!A983,worksheet!A:P,14,FALSE)</f>
        <v>0</v>
      </c>
      <c r="L983" s="7">
        <f>VLOOKUP(globalfreelancepreprocesseddata!A983,worksheet!A:P,16,FALSE)</f>
        <v>0.67</v>
      </c>
    </row>
    <row r="984" spans="1:12" x14ac:dyDescent="0.35">
      <c r="A984" s="5" t="s">
        <v>2035</v>
      </c>
      <c r="B984" s="5" t="str">
        <f>VLOOKUP(globalfreelancepreprocesseddata!A984,worksheet!A:P,3,FALSE)</f>
        <v>Cindy Williams</v>
      </c>
      <c r="C984" s="5" t="str">
        <f>VLOOKUP(globalfreelancepreprocesseddata!A984,worksheet!A:P,5,FALSE)</f>
        <v>Female</v>
      </c>
      <c r="D984" s="5">
        <f>VLOOKUP(globalfreelancepreprocesseddata!A984,worksheet!A:P,6,FALSE)</f>
        <v>41</v>
      </c>
      <c r="E984" s="5" t="str">
        <f>VLOOKUP(globalfreelancepreprocesseddata!A984,worksheet!A:P,7,FALSE)</f>
        <v>South Africa</v>
      </c>
      <c r="F984" s="5" t="str">
        <f>VLOOKUP(globalfreelancepreprocesseddata!A984,worksheet!A:P,8,FALSE)</f>
        <v>Afrikaans</v>
      </c>
      <c r="G984" s="5" t="str">
        <f>VLOOKUP(globalfreelancepreprocesseddata!A984,worksheet!A:P,9,FALSE)</f>
        <v>Graphic Design</v>
      </c>
      <c r="H984" s="5">
        <f>VLOOKUP(globalfreelancepreprocesseddata!A984,worksheet!A:P,10,FALSE)</f>
        <v>11</v>
      </c>
      <c r="I984" s="6">
        <f>VLOOKUP(globalfreelancepreprocesseddata!A984,worksheet!A:P,12,FALSE)</f>
        <v>40</v>
      </c>
      <c r="J984" s="5">
        <f>VLOOKUP(globalfreelancepreprocesseddata!A984,worksheet!A:P,13,FALSE)</f>
        <v>0</v>
      </c>
      <c r="K984" s="5">
        <f>VLOOKUP(globalfreelancepreprocesseddata!A984,worksheet!A:P,14,FALSE)</f>
        <v>1</v>
      </c>
      <c r="L984" s="7">
        <f>VLOOKUP(globalfreelancepreprocesseddata!A984,worksheet!A:P,16,FALSE)</f>
        <v>0.97</v>
      </c>
    </row>
    <row r="985" spans="1:12" x14ac:dyDescent="0.35">
      <c r="A985" s="5" t="s">
        <v>2037</v>
      </c>
      <c r="B985" s="5" t="str">
        <f>VLOOKUP(globalfreelancepreprocesseddata!A985,worksheet!A:P,3,FALSE)</f>
        <v>Laura Wong Dds</v>
      </c>
      <c r="C985" s="5" t="str">
        <f>VLOOKUP(globalfreelancepreprocesseddata!A985,worksheet!A:P,5,FALSE)</f>
        <v>Female</v>
      </c>
      <c r="D985" s="5">
        <f>VLOOKUP(globalfreelancepreprocesseddata!A985,worksheet!A:P,6,FALSE)</f>
        <v>50</v>
      </c>
      <c r="E985" s="5" t="str">
        <f>VLOOKUP(globalfreelancepreprocesseddata!A985,worksheet!A:P,7,FALSE)</f>
        <v>Italy</v>
      </c>
      <c r="F985" s="5" t="str">
        <f>VLOOKUP(globalfreelancepreprocesseddata!A985,worksheet!A:P,8,FALSE)</f>
        <v>Italian</v>
      </c>
      <c r="G985" s="5" t="str">
        <f>VLOOKUP(globalfreelancepreprocesseddata!A985,worksheet!A:P,9,FALSE)</f>
        <v>Data Analysis</v>
      </c>
      <c r="H985" s="5">
        <f>VLOOKUP(globalfreelancepreprocesseddata!A985,worksheet!A:P,10,FALSE)</f>
        <v>16</v>
      </c>
      <c r="I985" s="6">
        <f>VLOOKUP(globalfreelancepreprocesseddata!A985,worksheet!A:P,12,FALSE)</f>
        <v>75</v>
      </c>
      <c r="J985" s="5">
        <f>VLOOKUP(globalfreelancepreprocesseddata!A985,worksheet!A:P,13,FALSE)</f>
        <v>4.5</v>
      </c>
      <c r="K985" s="5">
        <f>VLOOKUP(globalfreelancepreprocesseddata!A985,worksheet!A:P,14,FALSE)</f>
        <v>0</v>
      </c>
      <c r="L985" s="7">
        <f>VLOOKUP(globalfreelancepreprocesseddata!A985,worksheet!A:P,16,FALSE)</f>
        <v>0.69</v>
      </c>
    </row>
    <row r="986" spans="1:12" x14ac:dyDescent="0.35">
      <c r="A986" s="5" t="s">
        <v>2039</v>
      </c>
      <c r="B986" s="5" t="str">
        <f>VLOOKUP(globalfreelancepreprocesseddata!A986,worksheet!A:P,3,FALSE)</f>
        <v>Robert Moran</v>
      </c>
      <c r="C986" s="5" t="str">
        <f>VLOOKUP(globalfreelancepreprocesseddata!A986,worksheet!A:P,5,FALSE)</f>
        <v>Male</v>
      </c>
      <c r="D986" s="5">
        <f>VLOOKUP(globalfreelancepreprocesseddata!A986,worksheet!A:P,6,FALSE)</f>
        <v>48</v>
      </c>
      <c r="E986" s="5" t="str">
        <f>VLOOKUP(globalfreelancepreprocesseddata!A986,worksheet!A:P,7,FALSE)</f>
        <v>South Africa</v>
      </c>
      <c r="F986" s="5" t="str">
        <f>VLOOKUP(globalfreelancepreprocesseddata!A986,worksheet!A:P,8,FALSE)</f>
        <v>Afrikaans</v>
      </c>
      <c r="G986" s="5" t="str">
        <f>VLOOKUP(globalfreelancepreprocesseddata!A986,worksheet!A:P,9,FALSE)</f>
        <v>Web Development</v>
      </c>
      <c r="H986" s="5">
        <f>VLOOKUP(globalfreelancepreprocesseddata!A986,worksheet!A:P,10,FALSE)</f>
        <v>8</v>
      </c>
      <c r="I986" s="6">
        <f>VLOOKUP(globalfreelancepreprocesseddata!A986,worksheet!A:P,12,FALSE)</f>
        <v>50</v>
      </c>
      <c r="J986" s="5">
        <f>VLOOKUP(globalfreelancepreprocesseddata!A986,worksheet!A:P,13,FALSE)</f>
        <v>3</v>
      </c>
      <c r="K986" s="5">
        <f>VLOOKUP(globalfreelancepreprocesseddata!A986,worksheet!A:P,14,FALSE)</f>
        <v>1</v>
      </c>
      <c r="L986" s="7">
        <f>VLOOKUP(globalfreelancepreprocesseddata!A986,worksheet!A:P,16,FALSE)</f>
        <v>0.73</v>
      </c>
    </row>
    <row r="987" spans="1:12" x14ac:dyDescent="0.35">
      <c r="A987" s="5" t="s">
        <v>2041</v>
      </c>
      <c r="B987" s="5" t="str">
        <f>VLOOKUP(globalfreelancepreprocesseddata!A987,worksheet!A:P,3,FALSE)</f>
        <v>Bradley Wu</v>
      </c>
      <c r="C987" s="5" t="str">
        <f>VLOOKUP(globalfreelancepreprocesseddata!A987,worksheet!A:P,5,FALSE)</f>
        <v>Male</v>
      </c>
      <c r="D987" s="5">
        <f>VLOOKUP(globalfreelancepreprocesseddata!A987,worksheet!A:P,6,FALSE)</f>
        <v>60</v>
      </c>
      <c r="E987" s="5" t="str">
        <f>VLOOKUP(globalfreelancepreprocesseddata!A987,worksheet!A:P,7,FALSE)</f>
        <v>Spain</v>
      </c>
      <c r="F987" s="5" t="str">
        <f>VLOOKUP(globalfreelancepreprocesseddata!A987,worksheet!A:P,8,FALSE)</f>
        <v>Spanish</v>
      </c>
      <c r="G987" s="5" t="str">
        <f>VLOOKUP(globalfreelancepreprocesseddata!A987,worksheet!A:P,9,FALSE)</f>
        <v>Blockchain Development</v>
      </c>
      <c r="H987" s="5">
        <f>VLOOKUP(globalfreelancepreprocesseddata!A987,worksheet!A:P,10,FALSE)</f>
        <v>39</v>
      </c>
      <c r="I987" s="6">
        <f>VLOOKUP(globalfreelancepreprocesseddata!A987,worksheet!A:P,12,FALSE)</f>
        <v>20</v>
      </c>
      <c r="J987" s="5">
        <f>VLOOKUP(globalfreelancepreprocesseddata!A987,worksheet!A:P,13,FALSE)</f>
        <v>1.4</v>
      </c>
      <c r="K987" s="5">
        <f>VLOOKUP(globalfreelancepreprocesseddata!A987,worksheet!A:P,14,FALSE)</f>
        <v>1</v>
      </c>
      <c r="L987" s="7">
        <f>VLOOKUP(globalfreelancepreprocesseddata!A987,worksheet!A:P,16,FALSE)</f>
        <v>0.86</v>
      </c>
    </row>
    <row r="988" spans="1:12" x14ac:dyDescent="0.35">
      <c r="A988" s="5" t="s">
        <v>2043</v>
      </c>
      <c r="B988" s="5" t="str">
        <f>VLOOKUP(globalfreelancepreprocesseddata!A988,worksheet!A:P,3,FALSE)</f>
        <v>Daniel Thomas</v>
      </c>
      <c r="C988" s="5" t="str">
        <f>VLOOKUP(globalfreelancepreprocesseddata!A988,worksheet!A:P,5,FALSE)</f>
        <v>Male</v>
      </c>
      <c r="D988" s="5">
        <f>VLOOKUP(globalfreelancepreprocesseddata!A988,worksheet!A:P,6,FALSE)</f>
        <v>26</v>
      </c>
      <c r="E988" s="5" t="str">
        <f>VLOOKUP(globalfreelancepreprocesseddata!A988,worksheet!A:P,7,FALSE)</f>
        <v>Egypt</v>
      </c>
      <c r="F988" s="5" t="str">
        <f>VLOOKUP(globalfreelancepreprocesseddata!A988,worksheet!A:P,8,FALSE)</f>
        <v>Arabic</v>
      </c>
      <c r="G988" s="5" t="str">
        <f>VLOOKUP(globalfreelancepreprocesseddata!A988,worksheet!A:P,9,FALSE)</f>
        <v>Machine Learning</v>
      </c>
      <c r="H988" s="5">
        <f>VLOOKUP(globalfreelancepreprocesseddata!A988,worksheet!A:P,10,FALSE)</f>
        <v>11</v>
      </c>
      <c r="I988" s="6">
        <f>VLOOKUP(globalfreelancepreprocesseddata!A988,worksheet!A:P,12,FALSE)</f>
        <v>50</v>
      </c>
      <c r="J988" s="5">
        <f>VLOOKUP(globalfreelancepreprocesseddata!A988,worksheet!A:P,13,FALSE)</f>
        <v>0</v>
      </c>
      <c r="K988" s="5">
        <f>VLOOKUP(globalfreelancepreprocesseddata!A988,worksheet!A:P,14,FALSE)</f>
        <v>1</v>
      </c>
      <c r="L988" s="7">
        <f>VLOOKUP(globalfreelancepreprocesseddata!A988,worksheet!A:P,16,FALSE)</f>
        <v>0.81</v>
      </c>
    </row>
    <row r="989" spans="1:12" x14ac:dyDescent="0.35">
      <c r="A989" s="5" t="s">
        <v>2045</v>
      </c>
      <c r="B989" s="5" t="str">
        <f>VLOOKUP(globalfreelancepreprocesseddata!A989,worksheet!A:P,3,FALSE)</f>
        <v>Michelle Peterson</v>
      </c>
      <c r="C989" s="5" t="str">
        <f>VLOOKUP(globalfreelancepreprocesseddata!A989,worksheet!A:P,5,FALSE)</f>
        <v>Female</v>
      </c>
      <c r="D989" s="5">
        <f>VLOOKUP(globalfreelancepreprocesseddata!A989,worksheet!A:P,6,FALSE)</f>
        <v>35</v>
      </c>
      <c r="E989" s="5" t="str">
        <f>VLOOKUP(globalfreelancepreprocesseddata!A989,worksheet!A:P,7,FALSE)</f>
        <v>South Korea</v>
      </c>
      <c r="F989" s="5" t="str">
        <f>VLOOKUP(globalfreelancepreprocesseddata!A989,worksheet!A:P,8,FALSE)</f>
        <v>Korean</v>
      </c>
      <c r="G989" s="5" t="str">
        <f>VLOOKUP(globalfreelancepreprocesseddata!A989,worksheet!A:P,9,FALSE)</f>
        <v>Graphic Design</v>
      </c>
      <c r="H989" s="5">
        <f>VLOOKUP(globalfreelancepreprocesseddata!A989,worksheet!A:P,10,FALSE)</f>
        <v>16</v>
      </c>
      <c r="I989" s="6" t="str">
        <f>VLOOKUP(globalfreelancepreprocesseddata!A989,worksheet!A:P,12,FALSE)</f>
        <v>$ 100</v>
      </c>
      <c r="J989" s="5">
        <f>VLOOKUP(globalfreelancepreprocesseddata!A989,worksheet!A:P,13,FALSE)</f>
        <v>4.3</v>
      </c>
      <c r="K989" s="5">
        <f>VLOOKUP(globalfreelancepreprocesseddata!A989,worksheet!A:P,14,FALSE)</f>
        <v>1</v>
      </c>
      <c r="L989" s="7">
        <f>VLOOKUP(globalfreelancepreprocesseddata!A989,worksheet!A:P,16,FALSE)</f>
        <v>0.74</v>
      </c>
    </row>
    <row r="990" spans="1:12" x14ac:dyDescent="0.35">
      <c r="A990" s="5" t="s">
        <v>2047</v>
      </c>
      <c r="B990" s="5" t="str">
        <f>VLOOKUP(globalfreelancepreprocesseddata!A990,worksheet!A:P,3,FALSE)</f>
        <v>Seth Thomas</v>
      </c>
      <c r="C990" s="5" t="str">
        <f>VLOOKUP(globalfreelancepreprocesseddata!A990,worksheet!A:P,5,FALSE)</f>
        <v>Male</v>
      </c>
      <c r="D990" s="5">
        <f>VLOOKUP(globalfreelancepreprocesseddata!A990,worksheet!A:P,6,FALSE)</f>
        <v>23</v>
      </c>
      <c r="E990" s="5" t="str">
        <f>VLOOKUP(globalfreelancepreprocesseddata!A990,worksheet!A:P,7,FALSE)</f>
        <v>United States</v>
      </c>
      <c r="F990" s="5" t="str">
        <f>VLOOKUP(globalfreelancepreprocesseddata!A990,worksheet!A:P,8,FALSE)</f>
        <v>English</v>
      </c>
      <c r="G990" s="5" t="str">
        <f>VLOOKUP(globalfreelancepreprocesseddata!A990,worksheet!A:P,9,FALSE)</f>
        <v>Blockchain Development</v>
      </c>
      <c r="H990" s="5">
        <f>VLOOKUP(globalfreelancepreprocesseddata!A990,worksheet!A:P,10,FALSE)</f>
        <v>4</v>
      </c>
      <c r="I990" s="6">
        <f>VLOOKUP(globalfreelancepreprocesseddata!A990,worksheet!A:P,12,FALSE)</f>
        <v>100</v>
      </c>
      <c r="J990" s="5">
        <f>VLOOKUP(globalfreelancepreprocesseddata!A990,worksheet!A:P,13,FALSE)</f>
        <v>2.2000000000000002</v>
      </c>
      <c r="K990" s="5">
        <f>VLOOKUP(globalfreelancepreprocesseddata!A990,worksheet!A:P,14,FALSE)</f>
        <v>1</v>
      </c>
      <c r="L990" s="7">
        <f>VLOOKUP(globalfreelancepreprocesseddata!A990,worksheet!A:P,16,FALSE)</f>
        <v>0.64</v>
      </c>
    </row>
    <row r="991" spans="1:12" x14ac:dyDescent="0.35">
      <c r="A991" s="5" t="s">
        <v>2049</v>
      </c>
      <c r="B991" s="5" t="str">
        <f>VLOOKUP(globalfreelancepreprocesseddata!A991,worksheet!A:P,3,FALSE)</f>
        <v>Evan Ramos</v>
      </c>
      <c r="C991" s="5" t="str">
        <f>VLOOKUP(globalfreelancepreprocesseddata!A991,worksheet!A:P,5,FALSE)</f>
        <v>Male</v>
      </c>
      <c r="D991" s="5">
        <f>VLOOKUP(globalfreelancepreprocesseddata!A991,worksheet!A:P,6,FALSE)</f>
        <v>37</v>
      </c>
      <c r="E991" s="5" t="str">
        <f>VLOOKUP(globalfreelancepreprocesseddata!A991,worksheet!A:P,7,FALSE)</f>
        <v>Australia</v>
      </c>
      <c r="F991" s="5" t="str">
        <f>VLOOKUP(globalfreelancepreprocesseddata!A991,worksheet!A:P,8,FALSE)</f>
        <v>English</v>
      </c>
      <c r="G991" s="5" t="str">
        <f>VLOOKUP(globalfreelancepreprocesseddata!A991,worksheet!A:P,9,FALSE)</f>
        <v>Graphic Design</v>
      </c>
      <c r="H991" s="5">
        <f>VLOOKUP(globalfreelancepreprocesseddata!A991,worksheet!A:P,10,FALSE)</f>
        <v>4</v>
      </c>
      <c r="I991" s="6">
        <f>VLOOKUP(globalfreelancepreprocesseddata!A991,worksheet!A:P,12,FALSE)</f>
        <v>75</v>
      </c>
      <c r="J991" s="5">
        <f>VLOOKUP(globalfreelancepreprocesseddata!A991,worksheet!A:P,13,FALSE)</f>
        <v>3.2</v>
      </c>
      <c r="K991" s="5">
        <f>VLOOKUP(globalfreelancepreprocesseddata!A991,worksheet!A:P,14,FALSE)</f>
        <v>0</v>
      </c>
      <c r="L991" s="7">
        <f>VLOOKUP(globalfreelancepreprocesseddata!A991,worksheet!A:P,16,FALSE)</f>
        <v>0.76</v>
      </c>
    </row>
    <row r="992" spans="1:12" x14ac:dyDescent="0.35">
      <c r="A992" s="5" t="s">
        <v>2051</v>
      </c>
      <c r="B992" s="5" t="str">
        <f>VLOOKUP(globalfreelancepreprocesseddata!A992,worksheet!A:P,3,FALSE)</f>
        <v>Michelle Solis</v>
      </c>
      <c r="C992" s="5" t="str">
        <f>VLOOKUP(globalfreelancepreprocesseddata!A992,worksheet!A:P,5,FALSE)</f>
        <v>Female</v>
      </c>
      <c r="D992" s="5">
        <f>VLOOKUP(globalfreelancepreprocesseddata!A992,worksheet!A:P,6,FALSE)</f>
        <v>21</v>
      </c>
      <c r="E992" s="5" t="str">
        <f>VLOOKUP(globalfreelancepreprocesseddata!A992,worksheet!A:P,7,FALSE)</f>
        <v>Argentina</v>
      </c>
      <c r="F992" s="5" t="str">
        <f>VLOOKUP(globalfreelancepreprocesseddata!A992,worksheet!A:P,8,FALSE)</f>
        <v>Spanish</v>
      </c>
      <c r="G992" s="5" t="str">
        <f>VLOOKUP(globalfreelancepreprocesseddata!A992,worksheet!A:P,9,FALSE)</f>
        <v>AI</v>
      </c>
      <c r="H992" s="5">
        <f>VLOOKUP(globalfreelancepreprocesseddata!A992,worksheet!A:P,10,FALSE)</f>
        <v>2</v>
      </c>
      <c r="I992" s="6">
        <f>VLOOKUP(globalfreelancepreprocesseddata!A992,worksheet!A:P,12,FALSE)</f>
        <v>100</v>
      </c>
      <c r="J992" s="5">
        <f>VLOOKUP(globalfreelancepreprocesseddata!A992,worksheet!A:P,13,FALSE)</f>
        <v>3.7</v>
      </c>
      <c r="K992" s="5">
        <f>VLOOKUP(globalfreelancepreprocesseddata!A992,worksheet!A:P,14,FALSE)</f>
        <v>1</v>
      </c>
      <c r="L992" s="7">
        <f>VLOOKUP(globalfreelancepreprocesseddata!A992,worksheet!A:P,16,FALSE)</f>
        <v>0.73</v>
      </c>
    </row>
    <row r="993" spans="1:12" x14ac:dyDescent="0.35">
      <c r="A993" s="5" t="s">
        <v>2053</v>
      </c>
      <c r="B993" s="5" t="str">
        <f>VLOOKUP(globalfreelancepreprocesseddata!A993,worksheet!A:P,3,FALSE)</f>
        <v>Charlotte Taylor</v>
      </c>
      <c r="C993" s="5" t="str">
        <f>VLOOKUP(globalfreelancepreprocesseddata!A993,worksheet!A:P,5,FALSE)</f>
        <v>Female</v>
      </c>
      <c r="D993" s="5">
        <f>VLOOKUP(globalfreelancepreprocesseddata!A993,worksheet!A:P,6,FALSE)</f>
        <v>58</v>
      </c>
      <c r="E993" s="5" t="str">
        <f>VLOOKUP(globalfreelancepreprocesseddata!A993,worksheet!A:P,7,FALSE)</f>
        <v>Germany</v>
      </c>
      <c r="F993" s="5" t="str">
        <f>VLOOKUP(globalfreelancepreprocesseddata!A993,worksheet!A:P,8,FALSE)</f>
        <v>German</v>
      </c>
      <c r="G993" s="5" t="str">
        <f>VLOOKUP(globalfreelancepreprocesseddata!A993,worksheet!A:P,9,FALSE)</f>
        <v>UI/UX Design</v>
      </c>
      <c r="H993" s="5">
        <f>VLOOKUP(globalfreelancepreprocesseddata!A993,worksheet!A:P,10,FALSE)</f>
        <v>37</v>
      </c>
      <c r="I993" s="6" t="str">
        <f>VLOOKUP(globalfreelancepreprocesseddata!A993,worksheet!A:P,12,FALSE)</f>
        <v>$ 50</v>
      </c>
      <c r="J993" s="5">
        <f>VLOOKUP(globalfreelancepreprocesseddata!A993,worksheet!A:P,13,FALSE)</f>
        <v>4.9000000000000004</v>
      </c>
      <c r="K993" s="5">
        <f>VLOOKUP(globalfreelancepreprocesseddata!A993,worksheet!A:P,14,FALSE)</f>
        <v>0</v>
      </c>
      <c r="L993" s="7">
        <f>VLOOKUP(globalfreelancepreprocesseddata!A993,worksheet!A:P,16,FALSE)</f>
        <v>0.69</v>
      </c>
    </row>
    <row r="994" spans="1:12" x14ac:dyDescent="0.35">
      <c r="A994" s="5" t="s">
        <v>2055</v>
      </c>
      <c r="B994" s="5" t="str">
        <f>VLOOKUP(globalfreelancepreprocesseddata!A994,worksheet!A:P,3,FALSE)</f>
        <v>Sandra Preston</v>
      </c>
      <c r="C994" s="5" t="str">
        <f>VLOOKUP(globalfreelancepreprocesseddata!A994,worksheet!A:P,5,FALSE)</f>
        <v>Female</v>
      </c>
      <c r="D994" s="5">
        <f>VLOOKUP(globalfreelancepreprocesseddata!A994,worksheet!A:P,6,FALSE)</f>
        <v>52</v>
      </c>
      <c r="E994" s="5" t="str">
        <f>VLOOKUP(globalfreelancepreprocesseddata!A994,worksheet!A:P,7,FALSE)</f>
        <v>Indonesia</v>
      </c>
      <c r="F994" s="5" t="str">
        <f>VLOOKUP(globalfreelancepreprocesseddata!A994,worksheet!A:P,8,FALSE)</f>
        <v>Indonesian</v>
      </c>
      <c r="G994" s="5" t="str">
        <f>VLOOKUP(globalfreelancepreprocesseddata!A994,worksheet!A:P,9,FALSE)</f>
        <v>Mobile Apps</v>
      </c>
      <c r="H994" s="5">
        <f>VLOOKUP(globalfreelancepreprocesseddata!A994,worksheet!A:P,10,FALSE)</f>
        <v>32</v>
      </c>
      <c r="I994" s="6">
        <f>VLOOKUP(globalfreelancepreprocesseddata!A994,worksheet!A:P,12,FALSE)</f>
        <v>75</v>
      </c>
      <c r="J994" s="5">
        <f>VLOOKUP(globalfreelancepreprocesseddata!A994,worksheet!A:P,13,FALSE)</f>
        <v>3.2</v>
      </c>
      <c r="K994" s="5">
        <f>VLOOKUP(globalfreelancepreprocesseddata!A994,worksheet!A:P,14,FALSE)</f>
        <v>0</v>
      </c>
      <c r="L994" s="7">
        <f>VLOOKUP(globalfreelancepreprocesseddata!A994,worksheet!A:P,16,FALSE)</f>
        <v>0.79</v>
      </c>
    </row>
    <row r="995" spans="1:12" x14ac:dyDescent="0.35">
      <c r="A995" s="5" t="s">
        <v>2057</v>
      </c>
      <c r="B995" s="5" t="str">
        <f>VLOOKUP(globalfreelancepreprocesseddata!A995,worksheet!A:P,3,FALSE)</f>
        <v>Jim Weiss</v>
      </c>
      <c r="C995" s="5" t="str">
        <f>VLOOKUP(globalfreelancepreprocesseddata!A995,worksheet!A:P,5,FALSE)</f>
        <v>Male</v>
      </c>
      <c r="D995" s="5">
        <f>VLOOKUP(globalfreelancepreprocesseddata!A995,worksheet!A:P,6,FALSE)</f>
        <v>46</v>
      </c>
      <c r="E995" s="5" t="str">
        <f>VLOOKUP(globalfreelancepreprocesseddata!A995,worksheet!A:P,7,FALSE)</f>
        <v>Russia</v>
      </c>
      <c r="F995" s="5" t="str">
        <f>VLOOKUP(globalfreelancepreprocesseddata!A995,worksheet!A:P,8,FALSE)</f>
        <v>Russian</v>
      </c>
      <c r="G995" s="5" t="str">
        <f>VLOOKUP(globalfreelancepreprocesseddata!A995,worksheet!A:P,9,FALSE)</f>
        <v>Mobile Apps</v>
      </c>
      <c r="H995" s="5">
        <f>VLOOKUP(globalfreelancepreprocesseddata!A995,worksheet!A:P,10,FALSE)</f>
        <v>8</v>
      </c>
      <c r="I995" s="6">
        <f>VLOOKUP(globalfreelancepreprocesseddata!A995,worksheet!A:P,12,FALSE)</f>
        <v>20</v>
      </c>
      <c r="J995" s="5">
        <f>VLOOKUP(globalfreelancepreprocesseddata!A995,worksheet!A:P,13,FALSE)</f>
        <v>2.2000000000000002</v>
      </c>
      <c r="K995" s="5">
        <f>VLOOKUP(globalfreelancepreprocesseddata!A995,worksheet!A:P,14,FALSE)</f>
        <v>1</v>
      </c>
      <c r="L995" s="7">
        <f>VLOOKUP(globalfreelancepreprocesseddata!A995,worksheet!A:P,16,FALSE)</f>
        <v>0.89</v>
      </c>
    </row>
    <row r="996" spans="1:12" x14ac:dyDescent="0.35">
      <c r="A996" s="5" t="s">
        <v>2059</v>
      </c>
      <c r="B996" s="5" t="str">
        <f>VLOOKUP(globalfreelancepreprocesseddata!A996,worksheet!A:P,3,FALSE)</f>
        <v>Jennifer Hinton</v>
      </c>
      <c r="C996" s="5" t="str">
        <f>VLOOKUP(globalfreelancepreprocesseddata!A996,worksheet!A:P,5,FALSE)</f>
        <v>Female</v>
      </c>
      <c r="D996" s="5">
        <f>VLOOKUP(globalfreelancepreprocesseddata!A996,worksheet!A:P,6,FALSE)</f>
        <v>34</v>
      </c>
      <c r="E996" s="5" t="str">
        <f>VLOOKUP(globalfreelancepreprocesseddata!A996,worksheet!A:P,7,FALSE)</f>
        <v>South Africa</v>
      </c>
      <c r="F996" s="5" t="str">
        <f>VLOOKUP(globalfreelancepreprocesseddata!A996,worksheet!A:P,8,FALSE)</f>
        <v>Afrikaans</v>
      </c>
      <c r="G996" s="5" t="str">
        <f>VLOOKUP(globalfreelancepreprocesseddata!A996,worksheet!A:P,9,FALSE)</f>
        <v>DevOps</v>
      </c>
      <c r="H996" s="5">
        <f>VLOOKUP(globalfreelancepreprocesseddata!A996,worksheet!A:P,10,FALSE)</f>
        <v>8</v>
      </c>
      <c r="I996" s="6">
        <f>VLOOKUP(globalfreelancepreprocesseddata!A996,worksheet!A:P,12,FALSE)</f>
        <v>30</v>
      </c>
      <c r="J996" s="5">
        <f>VLOOKUP(globalfreelancepreprocesseddata!A996,worksheet!A:P,13,FALSE)</f>
        <v>3.9</v>
      </c>
      <c r="K996" s="5">
        <f>VLOOKUP(globalfreelancepreprocesseddata!A996,worksheet!A:P,14,FALSE)</f>
        <v>1</v>
      </c>
      <c r="L996" s="7">
        <f>VLOOKUP(globalfreelancepreprocesseddata!A996,worksheet!A:P,16,FALSE)</f>
        <v>0.95</v>
      </c>
    </row>
    <row r="997" spans="1:12" x14ac:dyDescent="0.35">
      <c r="A997" s="5" t="s">
        <v>2061</v>
      </c>
      <c r="B997" s="5" t="str">
        <f>VLOOKUP(globalfreelancepreprocesseddata!A997,worksheet!A:P,3,FALSE)</f>
        <v>Albert Wilcox</v>
      </c>
      <c r="C997" s="5" t="str">
        <f>VLOOKUP(globalfreelancepreprocesseddata!A997,worksheet!A:P,5,FALSE)</f>
        <v>Male</v>
      </c>
      <c r="D997" s="5">
        <f>VLOOKUP(globalfreelancepreprocesseddata!A997,worksheet!A:P,6,FALSE)</f>
        <v>56</v>
      </c>
      <c r="E997" s="5" t="str">
        <f>VLOOKUP(globalfreelancepreprocesseddata!A997,worksheet!A:P,7,FALSE)</f>
        <v>Turkey</v>
      </c>
      <c r="F997" s="5" t="str">
        <f>VLOOKUP(globalfreelancepreprocesseddata!A997,worksheet!A:P,8,FALSE)</f>
        <v>Turkish</v>
      </c>
      <c r="G997" s="5" t="str">
        <f>VLOOKUP(globalfreelancepreprocesseddata!A997,worksheet!A:P,9,FALSE)</f>
        <v>DevOps</v>
      </c>
      <c r="H997" s="5">
        <f>VLOOKUP(globalfreelancepreprocesseddata!A997,worksheet!A:P,10,FALSE)</f>
        <v>13</v>
      </c>
      <c r="I997" s="6">
        <f>VLOOKUP(globalfreelancepreprocesseddata!A997,worksheet!A:P,12,FALSE)</f>
        <v>100</v>
      </c>
      <c r="J997" s="5">
        <f>VLOOKUP(globalfreelancepreprocesseddata!A997,worksheet!A:P,13,FALSE)</f>
        <v>0</v>
      </c>
      <c r="K997" s="5">
        <f>VLOOKUP(globalfreelancepreprocesseddata!A997,worksheet!A:P,14,FALSE)</f>
        <v>1</v>
      </c>
      <c r="L997" s="7">
        <f>VLOOKUP(globalfreelancepreprocesseddata!A997,worksheet!A:P,16,FALSE)</f>
        <v>0.68</v>
      </c>
    </row>
    <row r="998" spans="1:12" x14ac:dyDescent="0.35">
      <c r="A998" s="5" t="s">
        <v>2063</v>
      </c>
      <c r="B998" s="5" t="str">
        <f>VLOOKUP(globalfreelancepreprocesseddata!A998,worksheet!A:P,3,FALSE)</f>
        <v>Cheryl Norris</v>
      </c>
      <c r="C998" s="5" t="str">
        <f>VLOOKUP(globalfreelancepreprocesseddata!A998,worksheet!A:P,5,FALSE)</f>
        <v>Female</v>
      </c>
      <c r="D998" s="5">
        <f>VLOOKUP(globalfreelancepreprocesseddata!A998,worksheet!A:P,6,FALSE)</f>
        <v>26</v>
      </c>
      <c r="E998" s="5" t="str">
        <f>VLOOKUP(globalfreelancepreprocesseddata!A998,worksheet!A:P,7,FALSE)</f>
        <v>Germany</v>
      </c>
      <c r="F998" s="5" t="str">
        <f>VLOOKUP(globalfreelancepreprocesseddata!A998,worksheet!A:P,8,FALSE)</f>
        <v>German</v>
      </c>
      <c r="G998" s="5" t="str">
        <f>VLOOKUP(globalfreelancepreprocesseddata!A998,worksheet!A:P,9,FALSE)</f>
        <v>Blockchain Development</v>
      </c>
      <c r="H998" s="5">
        <f>VLOOKUP(globalfreelancepreprocesseddata!A998,worksheet!A:P,10,FALSE)</f>
        <v>6</v>
      </c>
      <c r="I998" s="6" t="str">
        <f>VLOOKUP(globalfreelancepreprocesseddata!A998,worksheet!A:P,12,FALSE)</f>
        <v>$ 40</v>
      </c>
      <c r="J998" s="5">
        <f>VLOOKUP(globalfreelancepreprocesseddata!A998,worksheet!A:P,13,FALSE)</f>
        <v>2.8</v>
      </c>
      <c r="K998" s="5">
        <f>VLOOKUP(globalfreelancepreprocesseddata!A998,worksheet!A:P,14,FALSE)</f>
        <v>0</v>
      </c>
      <c r="L998" s="7">
        <f>VLOOKUP(globalfreelancepreprocesseddata!A998,worksheet!A:P,16,FALSE)</f>
        <v>0.82</v>
      </c>
    </row>
    <row r="999" spans="1:12" x14ac:dyDescent="0.35">
      <c r="A999" s="5" t="s">
        <v>2065</v>
      </c>
      <c r="B999" s="5" t="str">
        <f>VLOOKUP(globalfreelancepreprocesseddata!A999,worksheet!A:P,3,FALSE)</f>
        <v>Kathy Watkins</v>
      </c>
      <c r="C999" s="5" t="str">
        <f>VLOOKUP(globalfreelancepreprocesseddata!A999,worksheet!A:P,5,FALSE)</f>
        <v>Female</v>
      </c>
      <c r="D999" s="5">
        <f>VLOOKUP(globalfreelancepreprocesseddata!A999,worksheet!A:P,6,FALSE)</f>
        <v>37</v>
      </c>
      <c r="E999" s="5" t="str">
        <f>VLOOKUP(globalfreelancepreprocesseddata!A999,worksheet!A:P,7,FALSE)</f>
        <v>Japan</v>
      </c>
      <c r="F999" s="5" t="str">
        <f>VLOOKUP(globalfreelancepreprocesseddata!A999,worksheet!A:P,8,FALSE)</f>
        <v>Japanese</v>
      </c>
      <c r="G999" s="5" t="str">
        <f>VLOOKUP(globalfreelancepreprocesseddata!A999,worksheet!A:P,9,FALSE)</f>
        <v>Data Analysis</v>
      </c>
      <c r="H999" s="5">
        <f>VLOOKUP(globalfreelancepreprocesseddata!A999,worksheet!A:P,10,FALSE)</f>
        <v>15</v>
      </c>
      <c r="I999" s="6">
        <f>VLOOKUP(globalfreelancepreprocesseddata!A999,worksheet!A:P,12,FALSE)</f>
        <v>75</v>
      </c>
      <c r="J999" s="5">
        <f>VLOOKUP(globalfreelancepreprocesseddata!A999,worksheet!A:P,13,FALSE)</f>
        <v>3</v>
      </c>
      <c r="K999" s="5">
        <f>VLOOKUP(globalfreelancepreprocesseddata!A999,worksheet!A:P,14,FALSE)</f>
        <v>0</v>
      </c>
      <c r="L999" s="7">
        <f>VLOOKUP(globalfreelancepreprocesseddata!A999,worksheet!A:P,16,FALSE)</f>
        <v>0.94</v>
      </c>
    </row>
    <row r="1000" spans="1:12" x14ac:dyDescent="0.35">
      <c r="A1000" s="5" t="s">
        <v>2067</v>
      </c>
      <c r="B1000" s="5" t="str">
        <f>VLOOKUP(globalfreelancepreprocesseddata!A1000,worksheet!A:P,3,FALSE)</f>
        <v>John Obrien</v>
      </c>
      <c r="C1000" s="5" t="str">
        <f>VLOOKUP(globalfreelancepreprocesseddata!A1000,worksheet!A:P,5,FALSE)</f>
        <v>Male</v>
      </c>
      <c r="D1000" s="5">
        <f>VLOOKUP(globalfreelancepreprocesseddata!A1000,worksheet!A:P,6,FALSE)</f>
        <v>46</v>
      </c>
      <c r="E1000" s="5" t="str">
        <f>VLOOKUP(globalfreelancepreprocesseddata!A1000,worksheet!A:P,7,FALSE)</f>
        <v>Russia</v>
      </c>
      <c r="F1000" s="5" t="str">
        <f>VLOOKUP(globalfreelancepreprocesseddata!A1000,worksheet!A:P,8,FALSE)</f>
        <v>Russian</v>
      </c>
      <c r="G1000" s="5" t="str">
        <f>VLOOKUP(globalfreelancepreprocesseddata!A1000,worksheet!A:P,9,FALSE)</f>
        <v>Machine Learning</v>
      </c>
      <c r="H1000" s="5">
        <f>VLOOKUP(globalfreelancepreprocesseddata!A1000,worksheet!A:P,10,FALSE)</f>
        <v>22</v>
      </c>
      <c r="I1000" s="6">
        <f>VLOOKUP(globalfreelancepreprocesseddata!A1000,worksheet!A:P,12,FALSE)</f>
        <v>100</v>
      </c>
      <c r="J1000" s="5">
        <f>VLOOKUP(globalfreelancepreprocesseddata!A1000,worksheet!A:P,13,FALSE)</f>
        <v>2.8</v>
      </c>
      <c r="K1000" s="5">
        <f>VLOOKUP(globalfreelancepreprocesseddata!A1000,worksheet!A:P,14,FALSE)</f>
        <v>1</v>
      </c>
      <c r="L1000" s="7">
        <f>VLOOKUP(globalfreelancepreprocesseddata!A1000,worksheet!A:P,16,FALSE)</f>
        <v>0.97</v>
      </c>
    </row>
    <row r="1001" spans="1:12" x14ac:dyDescent="0.35">
      <c r="A1001" s="5" t="s">
        <v>2069</v>
      </c>
      <c r="B1001" s="5" t="str">
        <f>VLOOKUP(globalfreelancepreprocesseddata!A1001,worksheet!A:P,3,FALSE)</f>
        <v>Dawn Green</v>
      </c>
      <c r="C1001" s="5" t="str">
        <f>VLOOKUP(globalfreelancepreprocesseddata!A1001,worksheet!A:P,5,FALSE)</f>
        <v>Female</v>
      </c>
      <c r="D1001" s="5">
        <f>VLOOKUP(globalfreelancepreprocesseddata!A1001,worksheet!A:P,6,FALSE)</f>
        <v>36</v>
      </c>
      <c r="E1001" s="5" t="str">
        <f>VLOOKUP(globalfreelancepreprocesseddata!A1001,worksheet!A:P,7,FALSE)</f>
        <v>Mexico</v>
      </c>
      <c r="F1001" s="5" t="str">
        <f>VLOOKUP(globalfreelancepreprocesseddata!A1001,worksheet!A:P,8,FALSE)</f>
        <v>Spanish</v>
      </c>
      <c r="G1001" s="5" t="str">
        <f>VLOOKUP(globalfreelancepreprocesseddata!A1001,worksheet!A:P,9,FALSE)</f>
        <v>UI/UX Design</v>
      </c>
      <c r="H1001" s="5">
        <f>VLOOKUP(globalfreelancepreprocesseddata!A1001,worksheet!A:P,10,FALSE)</f>
        <v>18</v>
      </c>
      <c r="I1001" s="6">
        <f>VLOOKUP(globalfreelancepreprocesseddata!A1001,worksheet!A:P,12,FALSE)</f>
        <v>20</v>
      </c>
      <c r="J1001" s="5">
        <f>VLOOKUP(globalfreelancepreprocesseddata!A1001,worksheet!A:P,13,FALSE)</f>
        <v>1.7</v>
      </c>
      <c r="K1001" s="5">
        <f>VLOOKUP(globalfreelancepreprocesseddata!A1001,worksheet!A:P,14,FALSE)</f>
        <v>1</v>
      </c>
      <c r="L1001" s="7">
        <f>VLOOKUP(globalfreelancepreprocesseddata!A1001,worksheet!A:P,16,FALSE)</f>
        <v>0.72</v>
      </c>
    </row>
  </sheetData>
  <conditionalFormatting sqref="A1:L1001">
    <cfRule type="expression" dxfId="0" priority="1">
      <formula>ISEVEN(ROW())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4B118-C4A6-426B-89DD-E4121BE70271}">
  <dimension ref="A3:C743"/>
  <sheetViews>
    <sheetView tabSelected="1" topLeftCell="A82" zoomScale="44" zoomScaleNormal="44" workbookViewId="0">
      <selection activeCell="A714" sqref="A714"/>
    </sheetView>
  </sheetViews>
  <sheetFormatPr defaultRowHeight="14.5" x14ac:dyDescent="0.35"/>
  <cols>
    <col min="1" max="1" width="16.453125" bestFit="1" customWidth="1"/>
    <col min="2" max="2" width="22.6328125" bestFit="1" customWidth="1"/>
    <col min="3" max="3" width="19.36328125" bestFit="1" customWidth="1"/>
  </cols>
  <sheetData>
    <row r="3" spans="1:2" x14ac:dyDescent="0.35">
      <c r="A3" s="11" t="s">
        <v>2072</v>
      </c>
      <c r="B3" t="s">
        <v>2084</v>
      </c>
    </row>
    <row r="4" spans="1:2" x14ac:dyDescent="0.35">
      <c r="A4" s="4" t="s">
        <v>1335</v>
      </c>
      <c r="B4">
        <v>41</v>
      </c>
    </row>
    <row r="5" spans="1:2" x14ac:dyDescent="0.35">
      <c r="A5" s="4" t="s">
        <v>2042</v>
      </c>
      <c r="B5">
        <v>39</v>
      </c>
    </row>
    <row r="6" spans="1:2" x14ac:dyDescent="0.35">
      <c r="A6" s="4" t="s">
        <v>217</v>
      </c>
      <c r="B6">
        <v>38</v>
      </c>
    </row>
    <row r="7" spans="1:2" x14ac:dyDescent="0.35">
      <c r="A7" s="4" t="s">
        <v>729</v>
      </c>
      <c r="B7">
        <v>40</v>
      </c>
    </row>
    <row r="8" spans="1:2" x14ac:dyDescent="0.35">
      <c r="A8" s="4" t="s">
        <v>1594</v>
      </c>
      <c r="B8">
        <v>40</v>
      </c>
    </row>
    <row r="9" spans="1:2" x14ac:dyDescent="0.35">
      <c r="A9" s="4" t="s">
        <v>2000</v>
      </c>
      <c r="B9">
        <v>40</v>
      </c>
    </row>
    <row r="10" spans="1:2" x14ac:dyDescent="0.35">
      <c r="A10" s="4" t="s">
        <v>1978</v>
      </c>
      <c r="B10">
        <v>40</v>
      </c>
    </row>
    <row r="11" spans="1:2" x14ac:dyDescent="0.35">
      <c r="A11" s="4" t="s">
        <v>1195</v>
      </c>
      <c r="B11">
        <v>39</v>
      </c>
    </row>
    <row r="12" spans="1:2" x14ac:dyDescent="0.35">
      <c r="A12" s="4" t="s">
        <v>1279</v>
      </c>
      <c r="B12">
        <v>39</v>
      </c>
    </row>
    <row r="13" spans="1:2" x14ac:dyDescent="0.35">
      <c r="A13" s="4" t="s">
        <v>350</v>
      </c>
      <c r="B13">
        <v>39</v>
      </c>
    </row>
    <row r="14" spans="1:2" x14ac:dyDescent="0.35">
      <c r="A14" s="4" t="s">
        <v>2083</v>
      </c>
      <c r="B14">
        <v>39.5</v>
      </c>
    </row>
    <row r="18" spans="1:2" x14ac:dyDescent="0.35">
      <c r="A18" s="11" t="s">
        <v>2098</v>
      </c>
      <c r="B18" t="s">
        <v>2085</v>
      </c>
    </row>
    <row r="19" spans="1:2" x14ac:dyDescent="0.35">
      <c r="A19" s="4" t="s">
        <v>68</v>
      </c>
      <c r="B19">
        <v>47</v>
      </c>
    </row>
    <row r="20" spans="1:2" x14ac:dyDescent="0.35">
      <c r="A20" s="4" t="s">
        <v>21</v>
      </c>
      <c r="B20">
        <v>51</v>
      </c>
    </row>
    <row r="21" spans="1:2" x14ac:dyDescent="0.35">
      <c r="A21" s="4" t="s">
        <v>104</v>
      </c>
      <c r="B21">
        <v>31</v>
      </c>
    </row>
    <row r="22" spans="1:2" x14ac:dyDescent="0.35">
      <c r="A22" s="4" t="s">
        <v>124</v>
      </c>
      <c r="B22">
        <v>65</v>
      </c>
    </row>
    <row r="23" spans="1:2" x14ac:dyDescent="0.35">
      <c r="A23" s="4" t="s">
        <v>170</v>
      </c>
      <c r="B23">
        <v>49</v>
      </c>
    </row>
    <row r="24" spans="1:2" x14ac:dyDescent="0.35">
      <c r="A24" s="4" t="s">
        <v>135</v>
      </c>
      <c r="B24">
        <v>42</v>
      </c>
    </row>
    <row r="25" spans="1:2" x14ac:dyDescent="0.35">
      <c r="A25" s="4" t="s">
        <v>131</v>
      </c>
      <c r="B25">
        <v>44</v>
      </c>
    </row>
    <row r="26" spans="1:2" x14ac:dyDescent="0.35">
      <c r="A26" s="4" t="s">
        <v>28</v>
      </c>
      <c r="B26">
        <v>52</v>
      </c>
    </row>
    <row r="27" spans="1:2" x14ac:dyDescent="0.35">
      <c r="A27" s="4" t="s">
        <v>90</v>
      </c>
      <c r="B27">
        <v>45</v>
      </c>
    </row>
    <row r="28" spans="1:2" x14ac:dyDescent="0.35">
      <c r="A28" s="4" t="s">
        <v>47</v>
      </c>
      <c r="B28">
        <v>46</v>
      </c>
    </row>
    <row r="29" spans="1:2" x14ac:dyDescent="0.35">
      <c r="A29" s="4" t="s">
        <v>15</v>
      </c>
      <c r="B29">
        <v>42</v>
      </c>
    </row>
    <row r="30" spans="1:2" x14ac:dyDescent="0.35">
      <c r="A30" s="4" t="s">
        <v>82</v>
      </c>
      <c r="B30">
        <v>37</v>
      </c>
    </row>
    <row r="31" spans="1:2" x14ac:dyDescent="0.35">
      <c r="A31" s="4" t="s">
        <v>174</v>
      </c>
      <c r="B31">
        <v>50</v>
      </c>
    </row>
    <row r="32" spans="1:2" x14ac:dyDescent="0.35">
      <c r="A32" s="4" t="s">
        <v>41</v>
      </c>
      <c r="B32">
        <v>51</v>
      </c>
    </row>
    <row r="33" spans="1:3" x14ac:dyDescent="0.35">
      <c r="A33" s="4" t="s">
        <v>120</v>
      </c>
      <c r="B33">
        <v>47</v>
      </c>
    </row>
    <row r="34" spans="1:3" x14ac:dyDescent="0.35">
      <c r="A34" s="4" t="s">
        <v>149</v>
      </c>
      <c r="B34">
        <v>44</v>
      </c>
    </row>
    <row r="35" spans="1:3" x14ac:dyDescent="0.35">
      <c r="A35" s="4" t="s">
        <v>109</v>
      </c>
      <c r="B35">
        <v>68</v>
      </c>
    </row>
    <row r="36" spans="1:3" x14ac:dyDescent="0.35">
      <c r="A36" s="4" t="s">
        <v>185</v>
      </c>
      <c r="B36">
        <v>45</v>
      </c>
    </row>
    <row r="37" spans="1:3" x14ac:dyDescent="0.35">
      <c r="A37" s="4" t="s">
        <v>60</v>
      </c>
      <c r="B37">
        <v>45</v>
      </c>
    </row>
    <row r="38" spans="1:3" x14ac:dyDescent="0.35">
      <c r="A38" s="4" t="s">
        <v>64</v>
      </c>
      <c r="B38">
        <v>50</v>
      </c>
    </row>
    <row r="39" spans="1:3" x14ac:dyDescent="0.35">
      <c r="A39" s="4" t="s">
        <v>56</v>
      </c>
      <c r="B39">
        <v>49</v>
      </c>
    </row>
    <row r="40" spans="1:3" x14ac:dyDescent="0.35">
      <c r="A40" s="4" t="s">
        <v>2083</v>
      </c>
      <c r="B40">
        <v>1000</v>
      </c>
    </row>
    <row r="44" spans="1:3" x14ac:dyDescent="0.35">
      <c r="B44" s="11" t="s">
        <v>2099</v>
      </c>
      <c r="C44" t="s">
        <v>2085</v>
      </c>
    </row>
    <row r="45" spans="1:3" x14ac:dyDescent="0.35">
      <c r="B45" s="4" t="s">
        <v>43</v>
      </c>
      <c r="C45">
        <v>100</v>
      </c>
    </row>
    <row r="46" spans="1:3" x14ac:dyDescent="0.35">
      <c r="B46" s="4" t="s">
        <v>17</v>
      </c>
      <c r="C46">
        <v>105</v>
      </c>
    </row>
    <row r="47" spans="1:3" x14ac:dyDescent="0.35">
      <c r="B47" s="4" t="s">
        <v>75</v>
      </c>
      <c r="C47">
        <v>86</v>
      </c>
    </row>
    <row r="48" spans="1:3" x14ac:dyDescent="0.35">
      <c r="B48" s="4" t="s">
        <v>49</v>
      </c>
      <c r="C48">
        <v>96</v>
      </c>
    </row>
    <row r="49" spans="1:3" x14ac:dyDescent="0.35">
      <c r="B49" s="4" t="s">
        <v>86</v>
      </c>
      <c r="C49">
        <v>112</v>
      </c>
    </row>
    <row r="50" spans="1:3" x14ac:dyDescent="0.35">
      <c r="B50" s="4" t="s">
        <v>30</v>
      </c>
      <c r="C50">
        <v>93</v>
      </c>
    </row>
    <row r="51" spans="1:3" x14ac:dyDescent="0.35">
      <c r="B51" s="4" t="s">
        <v>111</v>
      </c>
      <c r="C51">
        <v>93</v>
      </c>
    </row>
    <row r="52" spans="1:3" x14ac:dyDescent="0.35">
      <c r="B52" s="4" t="s">
        <v>23</v>
      </c>
      <c r="C52">
        <v>102</v>
      </c>
    </row>
    <row r="53" spans="1:3" x14ac:dyDescent="0.35">
      <c r="B53" s="4" t="s">
        <v>70</v>
      </c>
      <c r="C53">
        <v>109</v>
      </c>
    </row>
    <row r="54" spans="1:3" x14ac:dyDescent="0.35">
      <c r="B54" s="4" t="s">
        <v>35</v>
      </c>
      <c r="C54">
        <v>104</v>
      </c>
    </row>
    <row r="55" spans="1:3" x14ac:dyDescent="0.35">
      <c r="B55" s="4" t="s">
        <v>2083</v>
      </c>
      <c r="C55">
        <v>1000</v>
      </c>
    </row>
    <row r="60" spans="1:3" x14ac:dyDescent="0.35">
      <c r="A60" s="11" t="s">
        <v>2072</v>
      </c>
      <c r="B60" t="s">
        <v>2086</v>
      </c>
    </row>
    <row r="61" spans="1:3" x14ac:dyDescent="0.35">
      <c r="A61" s="4" t="s">
        <v>711</v>
      </c>
      <c r="B61">
        <v>5</v>
      </c>
    </row>
    <row r="62" spans="1:3" x14ac:dyDescent="0.35">
      <c r="A62" s="4" t="s">
        <v>948</v>
      </c>
      <c r="B62">
        <v>5</v>
      </c>
    </row>
    <row r="63" spans="1:3" x14ac:dyDescent="0.35">
      <c r="A63" s="4" t="s">
        <v>271</v>
      </c>
      <c r="B63">
        <v>5</v>
      </c>
    </row>
    <row r="64" spans="1:3" x14ac:dyDescent="0.35">
      <c r="A64" s="4" t="s">
        <v>553</v>
      </c>
      <c r="B64">
        <v>5</v>
      </c>
    </row>
    <row r="65" spans="1:2" x14ac:dyDescent="0.35">
      <c r="A65" s="4" t="s">
        <v>1201</v>
      </c>
      <c r="B65">
        <v>5</v>
      </c>
    </row>
    <row r="66" spans="1:2" x14ac:dyDescent="0.35">
      <c r="A66" s="4" t="s">
        <v>1686</v>
      </c>
      <c r="B66">
        <v>5</v>
      </c>
    </row>
    <row r="67" spans="1:2" x14ac:dyDescent="0.35">
      <c r="A67" s="4" t="s">
        <v>330</v>
      </c>
      <c r="B67">
        <v>5</v>
      </c>
    </row>
    <row r="68" spans="1:2" x14ac:dyDescent="0.35">
      <c r="A68" s="4" t="s">
        <v>998</v>
      </c>
      <c r="B68">
        <v>5</v>
      </c>
    </row>
    <row r="69" spans="1:2" x14ac:dyDescent="0.35">
      <c r="A69" s="4" t="s">
        <v>40</v>
      </c>
      <c r="B69">
        <v>7.1999999999999993</v>
      </c>
    </row>
    <row r="70" spans="1:2" x14ac:dyDescent="0.35">
      <c r="A70" s="4" t="s">
        <v>1648</v>
      </c>
      <c r="B70">
        <v>5</v>
      </c>
    </row>
    <row r="71" spans="1:2" x14ac:dyDescent="0.35">
      <c r="A71" s="4" t="s">
        <v>561</v>
      </c>
      <c r="B71">
        <v>7.8000000000000007</v>
      </c>
    </row>
    <row r="72" spans="1:2" x14ac:dyDescent="0.35">
      <c r="A72" s="4" t="s">
        <v>587</v>
      </c>
      <c r="B72">
        <v>5</v>
      </c>
    </row>
    <row r="73" spans="1:2" x14ac:dyDescent="0.35">
      <c r="A73" s="4" t="s">
        <v>2083</v>
      </c>
      <c r="B73">
        <v>65</v>
      </c>
    </row>
    <row r="77" spans="1:2" x14ac:dyDescent="0.35">
      <c r="A77" s="11" t="s">
        <v>2072</v>
      </c>
      <c r="B77" t="s">
        <v>2095</v>
      </c>
    </row>
    <row r="78" spans="1:2" x14ac:dyDescent="0.35">
      <c r="A78" s="4" t="s">
        <v>1818</v>
      </c>
      <c r="B78">
        <v>1</v>
      </c>
    </row>
    <row r="79" spans="1:2" x14ac:dyDescent="0.35">
      <c r="A79" s="4" t="s">
        <v>1600</v>
      </c>
      <c r="B79">
        <v>1</v>
      </c>
    </row>
    <row r="80" spans="1:2" x14ac:dyDescent="0.35">
      <c r="A80" s="4" t="s">
        <v>1702</v>
      </c>
      <c r="B80">
        <v>1</v>
      </c>
    </row>
    <row r="81" spans="1:2" x14ac:dyDescent="0.35">
      <c r="A81" s="4" t="s">
        <v>2062</v>
      </c>
      <c r="B81">
        <v>1</v>
      </c>
    </row>
    <row r="82" spans="1:2" x14ac:dyDescent="0.35">
      <c r="A82" s="4" t="s">
        <v>1506</v>
      </c>
      <c r="B82">
        <v>1</v>
      </c>
    </row>
    <row r="83" spans="1:2" x14ac:dyDescent="0.35">
      <c r="A83" s="4" t="s">
        <v>673</v>
      </c>
      <c r="B83">
        <v>1</v>
      </c>
    </row>
    <row r="84" spans="1:2" x14ac:dyDescent="0.35">
      <c r="A84" s="4" t="s">
        <v>787</v>
      </c>
      <c r="B84">
        <v>1</v>
      </c>
    </row>
    <row r="85" spans="1:2" x14ac:dyDescent="0.35">
      <c r="A85" s="4" t="s">
        <v>338</v>
      </c>
      <c r="B85">
        <v>1</v>
      </c>
    </row>
    <row r="86" spans="1:2" x14ac:dyDescent="0.35">
      <c r="A86" s="4" t="s">
        <v>1712</v>
      </c>
      <c r="B86">
        <v>1</v>
      </c>
    </row>
    <row r="87" spans="1:2" x14ac:dyDescent="0.35">
      <c r="A87" s="4" t="s">
        <v>119</v>
      </c>
      <c r="B87">
        <v>1</v>
      </c>
    </row>
    <row r="88" spans="1:2" x14ac:dyDescent="0.35">
      <c r="A88" s="4" t="s">
        <v>1351</v>
      </c>
      <c r="B88">
        <v>1</v>
      </c>
    </row>
    <row r="89" spans="1:2" x14ac:dyDescent="0.35">
      <c r="A89" s="4" t="s">
        <v>1838</v>
      </c>
      <c r="B89">
        <v>1</v>
      </c>
    </row>
    <row r="90" spans="1:2" x14ac:dyDescent="0.35">
      <c r="A90" s="4" t="s">
        <v>905</v>
      </c>
      <c r="B90">
        <v>1</v>
      </c>
    </row>
    <row r="91" spans="1:2" x14ac:dyDescent="0.35">
      <c r="A91" s="4" t="s">
        <v>928</v>
      </c>
      <c r="B91">
        <v>1</v>
      </c>
    </row>
    <row r="92" spans="1:2" x14ac:dyDescent="0.35">
      <c r="A92" s="4" t="s">
        <v>2087</v>
      </c>
      <c r="B92">
        <v>1</v>
      </c>
    </row>
    <row r="93" spans="1:2" x14ac:dyDescent="0.35">
      <c r="A93" s="4" t="s">
        <v>1055</v>
      </c>
      <c r="B93">
        <v>1</v>
      </c>
    </row>
    <row r="94" spans="1:2" x14ac:dyDescent="0.35">
      <c r="A94" s="4" t="s">
        <v>974</v>
      </c>
      <c r="B94">
        <v>1</v>
      </c>
    </row>
    <row r="95" spans="1:2" x14ac:dyDescent="0.35">
      <c r="A95" s="4" t="s">
        <v>1415</v>
      </c>
      <c r="B95">
        <v>1</v>
      </c>
    </row>
    <row r="96" spans="1:2" x14ac:dyDescent="0.35">
      <c r="A96" s="4" t="s">
        <v>1684</v>
      </c>
      <c r="B96">
        <v>1</v>
      </c>
    </row>
    <row r="97" spans="1:2" x14ac:dyDescent="0.35">
      <c r="A97" s="4" t="s">
        <v>1217</v>
      </c>
      <c r="B97">
        <v>1</v>
      </c>
    </row>
    <row r="98" spans="1:2" x14ac:dyDescent="0.35">
      <c r="A98" s="4" t="s">
        <v>1630</v>
      </c>
      <c r="B98">
        <v>1</v>
      </c>
    </row>
    <row r="99" spans="1:2" x14ac:dyDescent="0.35">
      <c r="A99" s="4" t="s">
        <v>1912</v>
      </c>
      <c r="B99">
        <v>1</v>
      </c>
    </row>
    <row r="100" spans="1:2" x14ac:dyDescent="0.35">
      <c r="A100" s="4" t="s">
        <v>275</v>
      </c>
      <c r="B100">
        <v>1</v>
      </c>
    </row>
    <row r="101" spans="1:2" x14ac:dyDescent="0.35">
      <c r="A101" s="4" t="s">
        <v>966</v>
      </c>
      <c r="B101">
        <v>1</v>
      </c>
    </row>
    <row r="102" spans="1:2" x14ac:dyDescent="0.35">
      <c r="A102" s="4" t="s">
        <v>1335</v>
      </c>
      <c r="B102">
        <v>1</v>
      </c>
    </row>
    <row r="103" spans="1:2" x14ac:dyDescent="0.35">
      <c r="A103" s="4" t="s">
        <v>709</v>
      </c>
      <c r="B103">
        <v>1</v>
      </c>
    </row>
    <row r="104" spans="1:2" x14ac:dyDescent="0.35">
      <c r="A104" s="4" t="s">
        <v>805</v>
      </c>
      <c r="B104">
        <v>1</v>
      </c>
    </row>
    <row r="105" spans="1:2" x14ac:dyDescent="0.35">
      <c r="A105" s="4" t="s">
        <v>1401</v>
      </c>
      <c r="B105">
        <v>1</v>
      </c>
    </row>
    <row r="106" spans="1:2" x14ac:dyDescent="0.35">
      <c r="A106" s="4" t="s">
        <v>154</v>
      </c>
      <c r="B106">
        <v>1</v>
      </c>
    </row>
    <row r="107" spans="1:2" x14ac:dyDescent="0.35">
      <c r="A107" s="4" t="s">
        <v>1914</v>
      </c>
      <c r="B107">
        <v>1</v>
      </c>
    </row>
    <row r="108" spans="1:2" x14ac:dyDescent="0.35">
      <c r="A108" s="4" t="s">
        <v>549</v>
      </c>
      <c r="B108">
        <v>1</v>
      </c>
    </row>
    <row r="109" spans="1:2" x14ac:dyDescent="0.35">
      <c r="A109" s="4" t="s">
        <v>115</v>
      </c>
      <c r="B109">
        <v>1</v>
      </c>
    </row>
    <row r="110" spans="1:2" x14ac:dyDescent="0.35">
      <c r="A110" s="4" t="s">
        <v>386</v>
      </c>
      <c r="B110">
        <v>1</v>
      </c>
    </row>
    <row r="111" spans="1:2" x14ac:dyDescent="0.35">
      <c r="A111" s="4" t="s">
        <v>1614</v>
      </c>
      <c r="B111">
        <v>1</v>
      </c>
    </row>
    <row r="112" spans="1:2" x14ac:dyDescent="0.35">
      <c r="A112" s="4" t="s">
        <v>1944</v>
      </c>
      <c r="B112">
        <v>1</v>
      </c>
    </row>
    <row r="113" spans="1:2" x14ac:dyDescent="0.35">
      <c r="A113" s="4" t="s">
        <v>1632</v>
      </c>
      <c r="B113">
        <v>1</v>
      </c>
    </row>
    <row r="114" spans="1:2" x14ac:dyDescent="0.35">
      <c r="A114" s="4" t="s">
        <v>948</v>
      </c>
      <c r="B114">
        <v>1</v>
      </c>
    </row>
    <row r="115" spans="1:2" x14ac:dyDescent="0.35">
      <c r="A115" s="4" t="s">
        <v>2088</v>
      </c>
      <c r="B115">
        <v>1</v>
      </c>
    </row>
    <row r="116" spans="1:2" x14ac:dyDescent="0.35">
      <c r="A116" s="4" t="s">
        <v>1580</v>
      </c>
      <c r="B116">
        <v>1</v>
      </c>
    </row>
    <row r="117" spans="1:2" x14ac:dyDescent="0.35">
      <c r="A117" s="4" t="s">
        <v>416</v>
      </c>
      <c r="B117">
        <v>1</v>
      </c>
    </row>
    <row r="118" spans="1:2" x14ac:dyDescent="0.35">
      <c r="A118" s="4" t="s">
        <v>1225</v>
      </c>
      <c r="B118">
        <v>1</v>
      </c>
    </row>
    <row r="119" spans="1:2" x14ac:dyDescent="0.35">
      <c r="A119" s="4" t="s">
        <v>1522</v>
      </c>
      <c r="B119">
        <v>1</v>
      </c>
    </row>
    <row r="120" spans="1:2" x14ac:dyDescent="0.35">
      <c r="A120" s="4" t="s">
        <v>1223</v>
      </c>
      <c r="B120">
        <v>1</v>
      </c>
    </row>
    <row r="121" spans="1:2" x14ac:dyDescent="0.35">
      <c r="A121" s="4" t="s">
        <v>1313</v>
      </c>
      <c r="B121">
        <v>1</v>
      </c>
    </row>
    <row r="122" spans="1:2" x14ac:dyDescent="0.35">
      <c r="A122" s="4" t="s">
        <v>1365</v>
      </c>
      <c r="B122">
        <v>1</v>
      </c>
    </row>
    <row r="123" spans="1:2" x14ac:dyDescent="0.35">
      <c r="A123" s="4" t="s">
        <v>1855</v>
      </c>
      <c r="B123">
        <v>1</v>
      </c>
    </row>
    <row r="124" spans="1:2" x14ac:dyDescent="0.35">
      <c r="A124" s="4" t="s">
        <v>247</v>
      </c>
      <c r="B124">
        <v>1</v>
      </c>
    </row>
    <row r="125" spans="1:2" x14ac:dyDescent="0.35">
      <c r="A125" s="4" t="s">
        <v>332</v>
      </c>
      <c r="B125">
        <v>1</v>
      </c>
    </row>
    <row r="126" spans="1:2" x14ac:dyDescent="0.35">
      <c r="A126" s="4" t="s">
        <v>942</v>
      </c>
      <c r="B126">
        <v>1</v>
      </c>
    </row>
    <row r="127" spans="1:2" x14ac:dyDescent="0.35">
      <c r="A127" s="4" t="s">
        <v>615</v>
      </c>
      <c r="B127">
        <v>1</v>
      </c>
    </row>
    <row r="128" spans="1:2" x14ac:dyDescent="0.35">
      <c r="A128" s="4" t="s">
        <v>1383</v>
      </c>
      <c r="B128">
        <v>1</v>
      </c>
    </row>
    <row r="129" spans="1:2" x14ac:dyDescent="0.35">
      <c r="A129" s="4" t="s">
        <v>1478</v>
      </c>
      <c r="B129">
        <v>1</v>
      </c>
    </row>
    <row r="130" spans="1:2" x14ac:dyDescent="0.35">
      <c r="A130" s="4" t="s">
        <v>1840</v>
      </c>
      <c r="B130">
        <v>1</v>
      </c>
    </row>
    <row r="131" spans="1:2" x14ac:dyDescent="0.35">
      <c r="A131" s="4" t="s">
        <v>2032</v>
      </c>
      <c r="B131">
        <v>1</v>
      </c>
    </row>
    <row r="132" spans="1:2" x14ac:dyDescent="0.35">
      <c r="A132" s="4" t="s">
        <v>1042</v>
      </c>
      <c r="B132">
        <v>1</v>
      </c>
    </row>
    <row r="133" spans="1:2" x14ac:dyDescent="0.35">
      <c r="A133" s="4" t="s">
        <v>801</v>
      </c>
      <c r="B133">
        <v>1</v>
      </c>
    </row>
    <row r="134" spans="1:2" x14ac:dyDescent="0.35">
      <c r="A134" s="4" t="s">
        <v>1520</v>
      </c>
      <c r="B134">
        <v>1</v>
      </c>
    </row>
    <row r="135" spans="1:2" x14ac:dyDescent="0.35">
      <c r="A135" s="4" t="s">
        <v>930</v>
      </c>
      <c r="B135">
        <v>1</v>
      </c>
    </row>
    <row r="136" spans="1:2" x14ac:dyDescent="0.35">
      <c r="A136" s="4" t="s">
        <v>2042</v>
      </c>
      <c r="B136">
        <v>1</v>
      </c>
    </row>
    <row r="137" spans="1:2" x14ac:dyDescent="0.35">
      <c r="A137" s="4" t="s">
        <v>467</v>
      </c>
      <c r="B137">
        <v>1</v>
      </c>
    </row>
    <row r="138" spans="1:2" x14ac:dyDescent="0.35">
      <c r="A138" s="4" t="s">
        <v>450</v>
      </c>
      <c r="B138">
        <v>1</v>
      </c>
    </row>
    <row r="139" spans="1:2" x14ac:dyDescent="0.35">
      <c r="A139" s="4" t="s">
        <v>1369</v>
      </c>
      <c r="B139">
        <v>1</v>
      </c>
    </row>
    <row r="140" spans="1:2" x14ac:dyDescent="0.35">
      <c r="A140" s="4" t="s">
        <v>811</v>
      </c>
      <c r="B140">
        <v>1</v>
      </c>
    </row>
    <row r="141" spans="1:2" x14ac:dyDescent="0.35">
      <c r="A141" s="4" t="s">
        <v>703</v>
      </c>
      <c r="B141">
        <v>1</v>
      </c>
    </row>
    <row r="142" spans="1:2" x14ac:dyDescent="0.35">
      <c r="A142" s="4" t="s">
        <v>551</v>
      </c>
      <c r="B142">
        <v>1</v>
      </c>
    </row>
    <row r="143" spans="1:2" x14ac:dyDescent="0.35">
      <c r="A143" s="4" t="s">
        <v>249</v>
      </c>
      <c r="B143">
        <v>1</v>
      </c>
    </row>
    <row r="144" spans="1:2" x14ac:dyDescent="0.35">
      <c r="A144" s="4" t="s">
        <v>591</v>
      </c>
      <c r="B144">
        <v>1</v>
      </c>
    </row>
    <row r="145" spans="1:2" x14ac:dyDescent="0.35">
      <c r="A145" s="4" t="s">
        <v>609</v>
      </c>
      <c r="B145">
        <v>1</v>
      </c>
    </row>
    <row r="146" spans="1:2" x14ac:dyDescent="0.35">
      <c r="A146" s="4" t="s">
        <v>473</v>
      </c>
      <c r="B146">
        <v>1</v>
      </c>
    </row>
    <row r="147" spans="1:2" x14ac:dyDescent="0.35">
      <c r="A147" s="4" t="s">
        <v>1706</v>
      </c>
      <c r="B147">
        <v>1</v>
      </c>
    </row>
    <row r="148" spans="1:2" x14ac:dyDescent="0.35">
      <c r="A148" s="4" t="s">
        <v>1261</v>
      </c>
      <c r="B148">
        <v>1</v>
      </c>
    </row>
    <row r="149" spans="1:2" x14ac:dyDescent="0.35">
      <c r="A149" s="4" t="s">
        <v>1650</v>
      </c>
      <c r="B149">
        <v>1</v>
      </c>
    </row>
    <row r="150" spans="1:2" x14ac:dyDescent="0.35">
      <c r="A150" s="4" t="s">
        <v>599</v>
      </c>
      <c r="B150">
        <v>1</v>
      </c>
    </row>
    <row r="151" spans="1:2" x14ac:dyDescent="0.35">
      <c r="A151" s="4" t="s">
        <v>653</v>
      </c>
      <c r="B151">
        <v>1</v>
      </c>
    </row>
    <row r="152" spans="1:2" x14ac:dyDescent="0.35">
      <c r="A152" s="4" t="s">
        <v>1564</v>
      </c>
      <c r="B152">
        <v>1</v>
      </c>
    </row>
    <row r="153" spans="1:2" x14ac:dyDescent="0.35">
      <c r="A153" s="4" t="s">
        <v>1155</v>
      </c>
      <c r="B153">
        <v>1</v>
      </c>
    </row>
    <row r="154" spans="1:2" x14ac:dyDescent="0.35">
      <c r="A154" s="4" t="s">
        <v>424</v>
      </c>
      <c r="B154">
        <v>1</v>
      </c>
    </row>
    <row r="155" spans="1:2" x14ac:dyDescent="0.35">
      <c r="A155" s="4" t="s">
        <v>1900</v>
      </c>
      <c r="B155">
        <v>1</v>
      </c>
    </row>
    <row r="156" spans="1:2" x14ac:dyDescent="0.35">
      <c r="A156" s="4" t="s">
        <v>1317</v>
      </c>
      <c r="B156">
        <v>1</v>
      </c>
    </row>
    <row r="157" spans="1:2" x14ac:dyDescent="0.35">
      <c r="A157" s="4" t="s">
        <v>1806</v>
      </c>
      <c r="B157">
        <v>1</v>
      </c>
    </row>
    <row r="158" spans="1:2" x14ac:dyDescent="0.35">
      <c r="A158" s="4" t="s">
        <v>1974</v>
      </c>
      <c r="B158">
        <v>1</v>
      </c>
    </row>
    <row r="159" spans="1:2" x14ac:dyDescent="0.35">
      <c r="A159" s="4" t="s">
        <v>1994</v>
      </c>
      <c r="B159">
        <v>1</v>
      </c>
    </row>
    <row r="160" spans="1:2" x14ac:dyDescent="0.35">
      <c r="A160" s="4" t="s">
        <v>661</v>
      </c>
      <c r="B160">
        <v>1</v>
      </c>
    </row>
    <row r="161" spans="1:2" x14ac:dyDescent="0.35">
      <c r="A161" s="4" t="s">
        <v>2030</v>
      </c>
      <c r="B161">
        <v>1</v>
      </c>
    </row>
    <row r="162" spans="1:2" x14ac:dyDescent="0.35">
      <c r="A162" s="4" t="s">
        <v>360</v>
      </c>
      <c r="B162">
        <v>1</v>
      </c>
    </row>
    <row r="163" spans="1:2" x14ac:dyDescent="0.35">
      <c r="A163" s="4" t="s">
        <v>1247</v>
      </c>
      <c r="B163">
        <v>1</v>
      </c>
    </row>
    <row r="164" spans="1:2" x14ac:dyDescent="0.35">
      <c r="A164" s="4" t="s">
        <v>789</v>
      </c>
      <c r="B164">
        <v>1</v>
      </c>
    </row>
    <row r="165" spans="1:2" x14ac:dyDescent="0.35">
      <c r="A165" s="4" t="s">
        <v>825</v>
      </c>
      <c r="B165">
        <v>1</v>
      </c>
    </row>
    <row r="166" spans="1:2" x14ac:dyDescent="0.35">
      <c r="A166" s="4" t="s">
        <v>1034</v>
      </c>
      <c r="B166">
        <v>1</v>
      </c>
    </row>
    <row r="167" spans="1:2" x14ac:dyDescent="0.35">
      <c r="A167" s="4" t="s">
        <v>541</v>
      </c>
      <c r="B167">
        <v>1</v>
      </c>
    </row>
    <row r="168" spans="1:2" x14ac:dyDescent="0.35">
      <c r="A168" s="4" t="s">
        <v>695</v>
      </c>
      <c r="B168">
        <v>1</v>
      </c>
    </row>
    <row r="169" spans="1:2" x14ac:dyDescent="0.35">
      <c r="A169" s="4" t="s">
        <v>1341</v>
      </c>
      <c r="B169">
        <v>1</v>
      </c>
    </row>
    <row r="170" spans="1:2" x14ac:dyDescent="0.35">
      <c r="A170" s="4" t="s">
        <v>1500</v>
      </c>
      <c r="B170">
        <v>1</v>
      </c>
    </row>
    <row r="171" spans="1:2" x14ac:dyDescent="0.35">
      <c r="A171" s="4" t="s">
        <v>1530</v>
      </c>
      <c r="B171">
        <v>1</v>
      </c>
    </row>
    <row r="172" spans="1:2" x14ac:dyDescent="0.35">
      <c r="A172" s="4" t="s">
        <v>663</v>
      </c>
      <c r="B172">
        <v>1</v>
      </c>
    </row>
    <row r="173" spans="1:2" x14ac:dyDescent="0.35">
      <c r="A173" s="4" t="s">
        <v>203</v>
      </c>
      <c r="B173">
        <v>1</v>
      </c>
    </row>
    <row r="174" spans="1:2" x14ac:dyDescent="0.35">
      <c r="A174" s="4" t="s">
        <v>559</v>
      </c>
      <c r="B174">
        <v>1</v>
      </c>
    </row>
    <row r="175" spans="1:2" x14ac:dyDescent="0.35">
      <c r="A175" s="4" t="s">
        <v>1662</v>
      </c>
      <c r="B175">
        <v>1</v>
      </c>
    </row>
    <row r="176" spans="1:2" x14ac:dyDescent="0.35">
      <c r="A176" s="4" t="s">
        <v>324</v>
      </c>
      <c r="B176">
        <v>1</v>
      </c>
    </row>
    <row r="177" spans="1:2" x14ac:dyDescent="0.35">
      <c r="A177" s="4" t="s">
        <v>719</v>
      </c>
      <c r="B177">
        <v>1</v>
      </c>
    </row>
    <row r="178" spans="1:2" x14ac:dyDescent="0.35">
      <c r="A178" s="4" t="s">
        <v>1598</v>
      </c>
      <c r="B178">
        <v>1</v>
      </c>
    </row>
    <row r="179" spans="1:2" x14ac:dyDescent="0.35">
      <c r="A179" s="4" t="s">
        <v>346</v>
      </c>
      <c r="B179">
        <v>1</v>
      </c>
    </row>
    <row r="180" spans="1:2" x14ac:dyDescent="0.35">
      <c r="A180" s="4" t="s">
        <v>384</v>
      </c>
      <c r="B180">
        <v>1</v>
      </c>
    </row>
    <row r="181" spans="1:2" x14ac:dyDescent="0.35">
      <c r="A181" s="4" t="s">
        <v>2036</v>
      </c>
      <c r="B181">
        <v>1</v>
      </c>
    </row>
    <row r="182" spans="1:2" x14ac:dyDescent="0.35">
      <c r="A182" s="4" t="s">
        <v>761</v>
      </c>
      <c r="B182">
        <v>1</v>
      </c>
    </row>
    <row r="183" spans="1:2" x14ac:dyDescent="0.35">
      <c r="A183" s="4" t="s">
        <v>1445</v>
      </c>
      <c r="B183">
        <v>1</v>
      </c>
    </row>
    <row r="184" spans="1:2" x14ac:dyDescent="0.35">
      <c r="A184" s="4" t="s">
        <v>1820</v>
      </c>
      <c r="B184">
        <v>1</v>
      </c>
    </row>
    <row r="185" spans="1:2" x14ac:dyDescent="0.35">
      <c r="A185" s="4" t="s">
        <v>199</v>
      </c>
      <c r="B185">
        <v>1</v>
      </c>
    </row>
    <row r="186" spans="1:2" x14ac:dyDescent="0.35">
      <c r="A186" s="4" t="s">
        <v>1038</v>
      </c>
      <c r="B186">
        <v>1</v>
      </c>
    </row>
    <row r="187" spans="1:2" x14ac:dyDescent="0.35">
      <c r="A187" s="4" t="s">
        <v>2020</v>
      </c>
      <c r="B187">
        <v>1</v>
      </c>
    </row>
    <row r="188" spans="1:2" x14ac:dyDescent="0.35">
      <c r="A188" s="4" t="s">
        <v>209</v>
      </c>
      <c r="B188">
        <v>1</v>
      </c>
    </row>
    <row r="189" spans="1:2" x14ac:dyDescent="0.35">
      <c r="A189" s="4" t="s">
        <v>1710</v>
      </c>
      <c r="B189">
        <v>1</v>
      </c>
    </row>
    <row r="190" spans="1:2" x14ac:dyDescent="0.35">
      <c r="A190" s="4" t="s">
        <v>984</v>
      </c>
      <c r="B190">
        <v>1</v>
      </c>
    </row>
    <row r="191" spans="1:2" x14ac:dyDescent="0.35">
      <c r="A191" s="4" t="s">
        <v>1387</v>
      </c>
      <c r="B191">
        <v>1</v>
      </c>
    </row>
    <row r="192" spans="1:2" x14ac:dyDescent="0.35">
      <c r="A192" s="4" t="s">
        <v>1638</v>
      </c>
      <c r="B192">
        <v>1</v>
      </c>
    </row>
    <row r="193" spans="1:2" x14ac:dyDescent="0.35">
      <c r="A193" s="4" t="s">
        <v>707</v>
      </c>
      <c r="B193">
        <v>1</v>
      </c>
    </row>
    <row r="194" spans="1:2" x14ac:dyDescent="0.35">
      <c r="A194" s="4" t="s">
        <v>611</v>
      </c>
      <c r="B194">
        <v>1</v>
      </c>
    </row>
    <row r="195" spans="1:2" x14ac:dyDescent="0.35">
      <c r="A195" s="4" t="s">
        <v>1752</v>
      </c>
      <c r="B195">
        <v>1</v>
      </c>
    </row>
    <row r="196" spans="1:2" x14ac:dyDescent="0.35">
      <c r="A196" s="4" t="s">
        <v>1672</v>
      </c>
      <c r="B196">
        <v>1</v>
      </c>
    </row>
    <row r="197" spans="1:2" x14ac:dyDescent="0.35">
      <c r="A197" s="4" t="s">
        <v>1305</v>
      </c>
      <c r="B197">
        <v>1</v>
      </c>
    </row>
    <row r="198" spans="1:2" x14ac:dyDescent="0.35">
      <c r="A198" s="4" t="s">
        <v>875</v>
      </c>
      <c r="B198">
        <v>1</v>
      </c>
    </row>
    <row r="199" spans="1:2" x14ac:dyDescent="0.35">
      <c r="A199" s="4" t="s">
        <v>1992</v>
      </c>
      <c r="B199">
        <v>1</v>
      </c>
    </row>
    <row r="200" spans="1:2" x14ac:dyDescent="0.35">
      <c r="A200" s="4" t="s">
        <v>1480</v>
      </c>
      <c r="B200">
        <v>1</v>
      </c>
    </row>
    <row r="201" spans="1:2" x14ac:dyDescent="0.35">
      <c r="A201" s="4" t="s">
        <v>1265</v>
      </c>
      <c r="B201">
        <v>1</v>
      </c>
    </row>
    <row r="202" spans="1:2" x14ac:dyDescent="0.35">
      <c r="A202" s="4" t="s">
        <v>1928</v>
      </c>
      <c r="B202">
        <v>1</v>
      </c>
    </row>
    <row r="203" spans="1:2" x14ac:dyDescent="0.35">
      <c r="A203" s="4" t="s">
        <v>1307</v>
      </c>
      <c r="B203">
        <v>1</v>
      </c>
    </row>
    <row r="204" spans="1:2" x14ac:dyDescent="0.35">
      <c r="A204" s="4" t="s">
        <v>968</v>
      </c>
      <c r="B204">
        <v>1</v>
      </c>
    </row>
    <row r="205" spans="1:2" x14ac:dyDescent="0.35">
      <c r="A205" s="4" t="s">
        <v>2044</v>
      </c>
      <c r="B205">
        <v>1</v>
      </c>
    </row>
    <row r="206" spans="1:2" x14ac:dyDescent="0.35">
      <c r="A206" s="4" t="s">
        <v>1111</v>
      </c>
      <c r="B206">
        <v>1</v>
      </c>
    </row>
    <row r="207" spans="1:2" x14ac:dyDescent="0.35">
      <c r="A207" s="4" t="s">
        <v>1486</v>
      </c>
      <c r="B207">
        <v>1</v>
      </c>
    </row>
    <row r="208" spans="1:2" x14ac:dyDescent="0.35">
      <c r="A208" s="4" t="s">
        <v>715</v>
      </c>
      <c r="B208">
        <v>1</v>
      </c>
    </row>
    <row r="209" spans="1:2" x14ac:dyDescent="0.35">
      <c r="A209" s="4" t="s">
        <v>509</v>
      </c>
      <c r="B209">
        <v>1</v>
      </c>
    </row>
    <row r="210" spans="1:2" x14ac:dyDescent="0.35">
      <c r="A210" s="4" t="s">
        <v>1859</v>
      </c>
      <c r="B210">
        <v>1</v>
      </c>
    </row>
    <row r="211" spans="1:2" x14ac:dyDescent="0.35">
      <c r="A211" s="4" t="s">
        <v>1325</v>
      </c>
      <c r="B211">
        <v>1</v>
      </c>
    </row>
    <row r="212" spans="1:2" x14ac:dyDescent="0.35">
      <c r="A212" s="4" t="s">
        <v>1756</v>
      </c>
      <c r="B212">
        <v>1</v>
      </c>
    </row>
    <row r="213" spans="1:2" x14ac:dyDescent="0.35">
      <c r="A213" s="4" t="s">
        <v>1512</v>
      </c>
      <c r="B213">
        <v>1</v>
      </c>
    </row>
    <row r="214" spans="1:2" x14ac:dyDescent="0.35">
      <c r="A214" s="4" t="s">
        <v>693</v>
      </c>
      <c r="B214">
        <v>1</v>
      </c>
    </row>
    <row r="215" spans="1:2" x14ac:dyDescent="0.35">
      <c r="A215" s="4" t="s">
        <v>1492</v>
      </c>
      <c r="B215">
        <v>1</v>
      </c>
    </row>
    <row r="216" spans="1:2" x14ac:dyDescent="0.35">
      <c r="A216" s="4" t="s">
        <v>1345</v>
      </c>
      <c r="B216">
        <v>1</v>
      </c>
    </row>
    <row r="217" spans="1:2" x14ac:dyDescent="0.35">
      <c r="A217" s="4" t="s">
        <v>909</v>
      </c>
      <c r="B217">
        <v>1</v>
      </c>
    </row>
    <row r="218" spans="1:2" x14ac:dyDescent="0.35">
      <c r="A218" s="4" t="s">
        <v>2089</v>
      </c>
      <c r="B218">
        <v>1</v>
      </c>
    </row>
    <row r="219" spans="1:2" x14ac:dyDescent="0.35">
      <c r="A219" s="4" t="s">
        <v>994</v>
      </c>
      <c r="B219">
        <v>1</v>
      </c>
    </row>
    <row r="220" spans="1:2" x14ac:dyDescent="0.35">
      <c r="A220" s="4" t="s">
        <v>1187</v>
      </c>
      <c r="B220">
        <v>1</v>
      </c>
    </row>
    <row r="221" spans="1:2" x14ac:dyDescent="0.35">
      <c r="A221" s="4" t="s">
        <v>2070</v>
      </c>
      <c r="B221">
        <v>1</v>
      </c>
    </row>
    <row r="222" spans="1:2" x14ac:dyDescent="0.35">
      <c r="A222" s="4" t="s">
        <v>1213</v>
      </c>
      <c r="B222">
        <v>1</v>
      </c>
    </row>
    <row r="223" spans="1:2" x14ac:dyDescent="0.35">
      <c r="A223" s="4" t="s">
        <v>1940</v>
      </c>
      <c r="B223">
        <v>1</v>
      </c>
    </row>
    <row r="224" spans="1:2" x14ac:dyDescent="0.35">
      <c r="A224" s="4" t="s">
        <v>326</v>
      </c>
      <c r="B224">
        <v>1</v>
      </c>
    </row>
    <row r="225" spans="1:2" x14ac:dyDescent="0.35">
      <c r="A225" s="4" t="s">
        <v>1329</v>
      </c>
      <c r="B225">
        <v>1</v>
      </c>
    </row>
    <row r="226" spans="1:2" x14ac:dyDescent="0.35">
      <c r="A226" s="4" t="s">
        <v>1109</v>
      </c>
      <c r="B226">
        <v>1</v>
      </c>
    </row>
    <row r="227" spans="1:2" x14ac:dyDescent="0.35">
      <c r="A227" s="4" t="s">
        <v>1734</v>
      </c>
      <c r="B227">
        <v>1</v>
      </c>
    </row>
    <row r="228" spans="1:2" x14ac:dyDescent="0.35">
      <c r="A228" s="4" t="s">
        <v>934</v>
      </c>
      <c r="B228">
        <v>1</v>
      </c>
    </row>
    <row r="229" spans="1:2" x14ac:dyDescent="0.35">
      <c r="A229" s="4" t="s">
        <v>1582</v>
      </c>
      <c r="B229">
        <v>1</v>
      </c>
    </row>
    <row r="230" spans="1:2" x14ac:dyDescent="0.35">
      <c r="A230" s="4" t="s">
        <v>899</v>
      </c>
      <c r="B230">
        <v>1</v>
      </c>
    </row>
    <row r="231" spans="1:2" x14ac:dyDescent="0.35">
      <c r="A231" s="4" t="s">
        <v>402</v>
      </c>
      <c r="B231">
        <v>1</v>
      </c>
    </row>
    <row r="232" spans="1:2" x14ac:dyDescent="0.35">
      <c r="A232" s="4" t="s">
        <v>936</v>
      </c>
      <c r="B232">
        <v>1</v>
      </c>
    </row>
    <row r="233" spans="1:2" x14ac:dyDescent="0.35">
      <c r="A233" s="4" t="s">
        <v>352</v>
      </c>
      <c r="B233">
        <v>1</v>
      </c>
    </row>
    <row r="234" spans="1:2" x14ac:dyDescent="0.35">
      <c r="A234" s="4" t="s">
        <v>839</v>
      </c>
      <c r="B234">
        <v>1</v>
      </c>
    </row>
    <row r="235" spans="1:2" x14ac:dyDescent="0.35">
      <c r="A235" s="4" t="s">
        <v>982</v>
      </c>
      <c r="B235">
        <v>1</v>
      </c>
    </row>
    <row r="236" spans="1:2" x14ac:dyDescent="0.35">
      <c r="A236" s="4" t="s">
        <v>643</v>
      </c>
      <c r="B236">
        <v>1</v>
      </c>
    </row>
    <row r="237" spans="1:2" x14ac:dyDescent="0.35">
      <c r="A237" s="4" t="s">
        <v>1277</v>
      </c>
      <c r="B237">
        <v>1</v>
      </c>
    </row>
    <row r="238" spans="1:2" x14ac:dyDescent="0.35">
      <c r="A238" s="4" t="s">
        <v>940</v>
      </c>
      <c r="B238">
        <v>1</v>
      </c>
    </row>
    <row r="239" spans="1:2" x14ac:dyDescent="0.35">
      <c r="A239" s="4" t="s">
        <v>1690</v>
      </c>
      <c r="B239">
        <v>1</v>
      </c>
    </row>
    <row r="240" spans="1:2" x14ac:dyDescent="0.35">
      <c r="A240" s="4" t="s">
        <v>891</v>
      </c>
      <c r="B240">
        <v>1</v>
      </c>
    </row>
    <row r="241" spans="1:2" x14ac:dyDescent="0.35">
      <c r="A241" s="4" t="s">
        <v>1297</v>
      </c>
      <c r="B241">
        <v>1</v>
      </c>
    </row>
    <row r="242" spans="1:2" x14ac:dyDescent="0.35">
      <c r="A242" s="4" t="s">
        <v>1688</v>
      </c>
      <c r="B242">
        <v>1</v>
      </c>
    </row>
    <row r="243" spans="1:2" x14ac:dyDescent="0.35">
      <c r="A243" s="4" t="s">
        <v>1664</v>
      </c>
      <c r="B243">
        <v>1</v>
      </c>
    </row>
    <row r="244" spans="1:2" x14ac:dyDescent="0.35">
      <c r="A244" s="4" t="s">
        <v>428</v>
      </c>
      <c r="B244">
        <v>1</v>
      </c>
    </row>
    <row r="245" spans="1:2" x14ac:dyDescent="0.35">
      <c r="A245" s="4" t="s">
        <v>364</v>
      </c>
      <c r="B245">
        <v>1</v>
      </c>
    </row>
    <row r="246" spans="1:2" x14ac:dyDescent="0.35">
      <c r="A246" s="4" t="s">
        <v>79</v>
      </c>
      <c r="B246">
        <v>1</v>
      </c>
    </row>
    <row r="247" spans="1:2" x14ac:dyDescent="0.35">
      <c r="A247" s="4" t="s">
        <v>533</v>
      </c>
      <c r="B247">
        <v>1</v>
      </c>
    </row>
    <row r="248" spans="1:2" x14ac:dyDescent="0.35">
      <c r="A248" s="4" t="s">
        <v>946</v>
      </c>
      <c r="B248">
        <v>1</v>
      </c>
    </row>
    <row r="249" spans="1:2" x14ac:dyDescent="0.35">
      <c r="A249" s="4" t="s">
        <v>865</v>
      </c>
      <c r="B249">
        <v>1</v>
      </c>
    </row>
    <row r="250" spans="1:2" x14ac:dyDescent="0.35">
      <c r="A250" s="4" t="s">
        <v>1504</v>
      </c>
      <c r="B250">
        <v>1</v>
      </c>
    </row>
    <row r="251" spans="1:2" x14ac:dyDescent="0.35">
      <c r="A251" s="4" t="s">
        <v>1201</v>
      </c>
      <c r="B251">
        <v>1</v>
      </c>
    </row>
    <row r="252" spans="1:2" x14ac:dyDescent="0.35">
      <c r="A252" s="4" t="s">
        <v>448</v>
      </c>
      <c r="B252">
        <v>1</v>
      </c>
    </row>
    <row r="253" spans="1:2" x14ac:dyDescent="0.35">
      <c r="A253" s="4" t="s">
        <v>295</v>
      </c>
      <c r="B253">
        <v>1</v>
      </c>
    </row>
    <row r="254" spans="1:2" x14ac:dyDescent="0.35">
      <c r="A254" s="4" t="s">
        <v>1411</v>
      </c>
      <c r="B254">
        <v>1</v>
      </c>
    </row>
    <row r="255" spans="1:2" x14ac:dyDescent="0.35">
      <c r="A255" s="4" t="s">
        <v>589</v>
      </c>
      <c r="B255">
        <v>1</v>
      </c>
    </row>
    <row r="256" spans="1:2" x14ac:dyDescent="0.35">
      <c r="A256" s="4" t="s">
        <v>1437</v>
      </c>
      <c r="B256">
        <v>1</v>
      </c>
    </row>
    <row r="257" spans="1:2" x14ac:dyDescent="0.35">
      <c r="A257" s="4" t="s">
        <v>1686</v>
      </c>
      <c r="B257">
        <v>1</v>
      </c>
    </row>
    <row r="258" spans="1:2" x14ac:dyDescent="0.35">
      <c r="A258" s="4" t="s">
        <v>1065</v>
      </c>
      <c r="B258">
        <v>1</v>
      </c>
    </row>
    <row r="259" spans="1:2" x14ac:dyDescent="0.35">
      <c r="A259" s="4" t="s">
        <v>1754</v>
      </c>
      <c r="B259">
        <v>1</v>
      </c>
    </row>
    <row r="260" spans="1:2" x14ac:dyDescent="0.35">
      <c r="A260" s="4" t="s">
        <v>128</v>
      </c>
      <c r="B260">
        <v>1</v>
      </c>
    </row>
    <row r="261" spans="1:2" x14ac:dyDescent="0.35">
      <c r="A261" s="4" t="s">
        <v>1419</v>
      </c>
      <c r="B261">
        <v>1</v>
      </c>
    </row>
    <row r="262" spans="1:2" x14ac:dyDescent="0.35">
      <c r="A262" s="4" t="s">
        <v>1558</v>
      </c>
      <c r="B262">
        <v>1</v>
      </c>
    </row>
    <row r="263" spans="1:2" x14ac:dyDescent="0.35">
      <c r="A263" s="4" t="s">
        <v>372</v>
      </c>
      <c r="B263">
        <v>1</v>
      </c>
    </row>
    <row r="264" spans="1:2" x14ac:dyDescent="0.35">
      <c r="A264" s="4" t="s">
        <v>1952</v>
      </c>
      <c r="B264">
        <v>1</v>
      </c>
    </row>
    <row r="265" spans="1:2" x14ac:dyDescent="0.35">
      <c r="A265" s="4" t="s">
        <v>1169</v>
      </c>
      <c r="B265">
        <v>1</v>
      </c>
    </row>
    <row r="266" spans="1:2" x14ac:dyDescent="0.35">
      <c r="A266" s="4" t="s">
        <v>1578</v>
      </c>
      <c r="B266">
        <v>1</v>
      </c>
    </row>
    <row r="267" spans="1:2" x14ac:dyDescent="0.35">
      <c r="A267" s="4" t="s">
        <v>1718</v>
      </c>
      <c r="B267">
        <v>1</v>
      </c>
    </row>
    <row r="268" spans="1:2" x14ac:dyDescent="0.35">
      <c r="A268" s="4" t="s">
        <v>1782</v>
      </c>
      <c r="B268">
        <v>1</v>
      </c>
    </row>
    <row r="269" spans="1:2" x14ac:dyDescent="0.35">
      <c r="A269" s="4" t="s">
        <v>432</v>
      </c>
      <c r="B269">
        <v>1</v>
      </c>
    </row>
    <row r="270" spans="1:2" x14ac:dyDescent="0.35">
      <c r="A270" s="4" t="s">
        <v>1986</v>
      </c>
      <c r="B270">
        <v>1</v>
      </c>
    </row>
    <row r="271" spans="1:2" x14ac:dyDescent="0.35">
      <c r="A271" s="4" t="s">
        <v>63</v>
      </c>
      <c r="B271">
        <v>1</v>
      </c>
    </row>
    <row r="272" spans="1:2" x14ac:dyDescent="0.35">
      <c r="A272" s="4" t="s">
        <v>827</v>
      </c>
      <c r="B272">
        <v>1</v>
      </c>
    </row>
    <row r="273" spans="1:2" x14ac:dyDescent="0.35">
      <c r="A273" s="4" t="s">
        <v>1822</v>
      </c>
      <c r="B273">
        <v>1</v>
      </c>
    </row>
    <row r="274" spans="1:2" x14ac:dyDescent="0.35">
      <c r="A274" s="4" t="s">
        <v>1596</v>
      </c>
      <c r="B274">
        <v>1</v>
      </c>
    </row>
    <row r="275" spans="1:2" x14ac:dyDescent="0.35">
      <c r="A275" s="4" t="s">
        <v>217</v>
      </c>
      <c r="B275">
        <v>1</v>
      </c>
    </row>
    <row r="276" spans="1:2" x14ac:dyDescent="0.35">
      <c r="A276" s="4" t="s">
        <v>1554</v>
      </c>
      <c r="B276">
        <v>1</v>
      </c>
    </row>
    <row r="277" spans="1:2" x14ac:dyDescent="0.35">
      <c r="A277" s="4" t="s">
        <v>823</v>
      </c>
      <c r="B277">
        <v>1</v>
      </c>
    </row>
    <row r="278" spans="1:2" x14ac:dyDescent="0.35">
      <c r="A278" s="4" t="s">
        <v>1245</v>
      </c>
      <c r="B278">
        <v>1</v>
      </c>
    </row>
    <row r="279" spans="1:2" x14ac:dyDescent="0.35">
      <c r="A279" s="4" t="s">
        <v>1548</v>
      </c>
      <c r="B279">
        <v>1</v>
      </c>
    </row>
    <row r="280" spans="1:2" x14ac:dyDescent="0.35">
      <c r="A280" s="4" t="s">
        <v>1857</v>
      </c>
      <c r="B280">
        <v>1</v>
      </c>
    </row>
    <row r="281" spans="1:2" x14ac:dyDescent="0.35">
      <c r="A281" s="4" t="s">
        <v>629</v>
      </c>
      <c r="B281">
        <v>1</v>
      </c>
    </row>
    <row r="282" spans="1:2" x14ac:dyDescent="0.35">
      <c r="A282" s="4" t="s">
        <v>1435</v>
      </c>
      <c r="B282">
        <v>1</v>
      </c>
    </row>
    <row r="283" spans="1:2" x14ac:dyDescent="0.35">
      <c r="A283" s="4" t="s">
        <v>1968</v>
      </c>
      <c r="B283">
        <v>1</v>
      </c>
    </row>
    <row r="284" spans="1:2" x14ac:dyDescent="0.35">
      <c r="A284" s="4" t="s">
        <v>617</v>
      </c>
      <c r="B284">
        <v>1</v>
      </c>
    </row>
    <row r="285" spans="1:2" x14ac:dyDescent="0.35">
      <c r="A285" s="4" t="s">
        <v>1616</v>
      </c>
      <c r="B285">
        <v>1</v>
      </c>
    </row>
    <row r="286" spans="1:2" x14ac:dyDescent="0.35">
      <c r="A286" s="4" t="s">
        <v>1107</v>
      </c>
      <c r="B286">
        <v>1</v>
      </c>
    </row>
    <row r="287" spans="1:2" x14ac:dyDescent="0.35">
      <c r="A287" s="4" t="s">
        <v>1792</v>
      </c>
      <c r="B287">
        <v>1</v>
      </c>
    </row>
    <row r="288" spans="1:2" x14ac:dyDescent="0.35">
      <c r="A288" s="4" t="s">
        <v>1962</v>
      </c>
      <c r="B288">
        <v>1</v>
      </c>
    </row>
    <row r="289" spans="1:2" x14ac:dyDescent="0.35">
      <c r="A289" s="4" t="s">
        <v>1323</v>
      </c>
      <c r="B289">
        <v>1</v>
      </c>
    </row>
    <row r="290" spans="1:2" x14ac:dyDescent="0.35">
      <c r="A290" s="4" t="s">
        <v>481</v>
      </c>
      <c r="B290">
        <v>1</v>
      </c>
    </row>
    <row r="291" spans="1:2" x14ac:dyDescent="0.35">
      <c r="A291" s="4" t="s">
        <v>454</v>
      </c>
      <c r="B291">
        <v>1</v>
      </c>
    </row>
    <row r="292" spans="1:2" x14ac:dyDescent="0.35">
      <c r="A292" s="4" t="s">
        <v>1528</v>
      </c>
      <c r="B292">
        <v>1</v>
      </c>
    </row>
    <row r="293" spans="1:2" x14ac:dyDescent="0.35">
      <c r="A293" s="4" t="s">
        <v>1022</v>
      </c>
      <c r="B293">
        <v>1</v>
      </c>
    </row>
    <row r="294" spans="1:2" x14ac:dyDescent="0.35">
      <c r="A294" s="4" t="s">
        <v>861</v>
      </c>
      <c r="B294">
        <v>1</v>
      </c>
    </row>
    <row r="295" spans="1:2" x14ac:dyDescent="0.35">
      <c r="A295" s="4" t="s">
        <v>1081</v>
      </c>
      <c r="B295">
        <v>1</v>
      </c>
    </row>
    <row r="296" spans="1:2" x14ac:dyDescent="0.35">
      <c r="A296" s="4" t="s">
        <v>950</v>
      </c>
      <c r="B296">
        <v>1</v>
      </c>
    </row>
    <row r="297" spans="1:2" x14ac:dyDescent="0.35">
      <c r="A297" s="4" t="s">
        <v>887</v>
      </c>
      <c r="B297">
        <v>1</v>
      </c>
    </row>
    <row r="298" spans="1:2" x14ac:dyDescent="0.35">
      <c r="A298" s="4" t="s">
        <v>583</v>
      </c>
      <c r="B298">
        <v>1</v>
      </c>
    </row>
    <row r="299" spans="1:2" x14ac:dyDescent="0.35">
      <c r="A299" s="4" t="s">
        <v>1423</v>
      </c>
      <c r="B299">
        <v>1</v>
      </c>
    </row>
    <row r="300" spans="1:2" x14ac:dyDescent="0.35">
      <c r="A300" s="4" t="s">
        <v>501</v>
      </c>
      <c r="B300">
        <v>1</v>
      </c>
    </row>
    <row r="301" spans="1:2" x14ac:dyDescent="0.35">
      <c r="A301" s="4" t="s">
        <v>607</v>
      </c>
      <c r="B301">
        <v>1</v>
      </c>
    </row>
    <row r="302" spans="1:2" x14ac:dyDescent="0.35">
      <c r="A302" s="4" t="s">
        <v>621</v>
      </c>
      <c r="B302">
        <v>1</v>
      </c>
    </row>
    <row r="303" spans="1:2" x14ac:dyDescent="0.35">
      <c r="A303" s="4" t="s">
        <v>525</v>
      </c>
      <c r="B303">
        <v>1</v>
      </c>
    </row>
    <row r="304" spans="1:2" x14ac:dyDescent="0.35">
      <c r="A304" s="4" t="s">
        <v>1668</v>
      </c>
      <c r="B304">
        <v>1</v>
      </c>
    </row>
    <row r="305" spans="1:2" x14ac:dyDescent="0.35">
      <c r="A305" s="4" t="s">
        <v>165</v>
      </c>
      <c r="B305">
        <v>1</v>
      </c>
    </row>
    <row r="306" spans="1:2" x14ac:dyDescent="0.35">
      <c r="A306" s="4" t="s">
        <v>1622</v>
      </c>
      <c r="B306">
        <v>1</v>
      </c>
    </row>
    <row r="307" spans="1:2" x14ac:dyDescent="0.35">
      <c r="A307" s="4" t="s">
        <v>657</v>
      </c>
      <c r="B307">
        <v>1</v>
      </c>
    </row>
    <row r="308" spans="1:2" x14ac:dyDescent="0.35">
      <c r="A308" s="4" t="s">
        <v>1524</v>
      </c>
      <c r="B308">
        <v>1</v>
      </c>
    </row>
    <row r="309" spans="1:2" x14ac:dyDescent="0.35">
      <c r="A309" s="4" t="s">
        <v>1249</v>
      </c>
      <c r="B309">
        <v>1</v>
      </c>
    </row>
    <row r="310" spans="1:2" x14ac:dyDescent="0.35">
      <c r="A310" s="4" t="s">
        <v>1185</v>
      </c>
      <c r="B310">
        <v>1</v>
      </c>
    </row>
    <row r="311" spans="1:2" x14ac:dyDescent="0.35">
      <c r="A311" s="4" t="s">
        <v>841</v>
      </c>
      <c r="B311">
        <v>1</v>
      </c>
    </row>
    <row r="312" spans="1:2" x14ac:dyDescent="0.35">
      <c r="A312" s="4" t="s">
        <v>521</v>
      </c>
      <c r="B312">
        <v>1</v>
      </c>
    </row>
    <row r="313" spans="1:2" x14ac:dyDescent="0.35">
      <c r="A313" s="4" t="s">
        <v>301</v>
      </c>
      <c r="B313">
        <v>1</v>
      </c>
    </row>
    <row r="314" spans="1:2" x14ac:dyDescent="0.35">
      <c r="A314" s="4" t="s">
        <v>1193</v>
      </c>
      <c r="B314">
        <v>1</v>
      </c>
    </row>
    <row r="315" spans="1:2" x14ac:dyDescent="0.35">
      <c r="A315" s="4" t="s">
        <v>1008</v>
      </c>
      <c r="B315">
        <v>1</v>
      </c>
    </row>
    <row r="316" spans="1:2" x14ac:dyDescent="0.35">
      <c r="A316" s="4" t="s">
        <v>1488</v>
      </c>
      <c r="B316">
        <v>1</v>
      </c>
    </row>
    <row r="317" spans="1:2" x14ac:dyDescent="0.35">
      <c r="A317" s="4" t="s">
        <v>1131</v>
      </c>
      <c r="B317">
        <v>1</v>
      </c>
    </row>
    <row r="318" spans="1:2" x14ac:dyDescent="0.35">
      <c r="A318" s="4" t="s">
        <v>330</v>
      </c>
      <c r="B318">
        <v>1</v>
      </c>
    </row>
    <row r="319" spans="1:2" x14ac:dyDescent="0.35">
      <c r="A319" s="4" t="s">
        <v>1778</v>
      </c>
      <c r="B319">
        <v>1</v>
      </c>
    </row>
    <row r="320" spans="1:2" x14ac:dyDescent="0.35">
      <c r="A320" s="4" t="s">
        <v>2028</v>
      </c>
      <c r="B320">
        <v>1</v>
      </c>
    </row>
    <row r="321" spans="1:2" x14ac:dyDescent="0.35">
      <c r="A321" s="4" t="s">
        <v>821</v>
      </c>
      <c r="B321">
        <v>1</v>
      </c>
    </row>
    <row r="322" spans="1:2" x14ac:dyDescent="0.35">
      <c r="A322" s="4" t="s">
        <v>161</v>
      </c>
      <c r="B322">
        <v>1</v>
      </c>
    </row>
    <row r="323" spans="1:2" x14ac:dyDescent="0.35">
      <c r="A323" s="4" t="s">
        <v>1476</v>
      </c>
      <c r="B323">
        <v>1</v>
      </c>
    </row>
    <row r="324" spans="1:2" x14ac:dyDescent="0.35">
      <c r="A324" s="4" t="s">
        <v>1421</v>
      </c>
      <c r="B324">
        <v>1</v>
      </c>
    </row>
    <row r="325" spans="1:2" x14ac:dyDescent="0.35">
      <c r="A325" s="4" t="s">
        <v>2012</v>
      </c>
      <c r="B325">
        <v>1</v>
      </c>
    </row>
    <row r="326" spans="1:2" x14ac:dyDescent="0.35">
      <c r="A326" s="4" t="s">
        <v>605</v>
      </c>
      <c r="B326">
        <v>1</v>
      </c>
    </row>
    <row r="327" spans="1:2" x14ac:dyDescent="0.35">
      <c r="A327" s="4" t="s">
        <v>1053</v>
      </c>
      <c r="B327">
        <v>1</v>
      </c>
    </row>
    <row r="328" spans="1:2" x14ac:dyDescent="0.35">
      <c r="A328" s="4" t="s">
        <v>667</v>
      </c>
      <c r="B328">
        <v>1</v>
      </c>
    </row>
    <row r="329" spans="1:2" x14ac:dyDescent="0.35">
      <c r="A329" s="4" t="s">
        <v>729</v>
      </c>
      <c r="B329">
        <v>1</v>
      </c>
    </row>
    <row r="330" spans="1:2" x14ac:dyDescent="0.35">
      <c r="A330" s="4" t="s">
        <v>1061</v>
      </c>
      <c r="B330">
        <v>1</v>
      </c>
    </row>
    <row r="331" spans="1:2" x14ac:dyDescent="0.35">
      <c r="A331" s="4" t="s">
        <v>465</v>
      </c>
      <c r="B331">
        <v>1</v>
      </c>
    </row>
    <row r="332" spans="1:2" x14ac:dyDescent="0.35">
      <c r="A332" s="4" t="s">
        <v>519</v>
      </c>
      <c r="B332">
        <v>1</v>
      </c>
    </row>
    <row r="333" spans="1:2" x14ac:dyDescent="0.35">
      <c r="A333" s="4" t="s">
        <v>2060</v>
      </c>
      <c r="B333">
        <v>1</v>
      </c>
    </row>
    <row r="334" spans="1:2" x14ac:dyDescent="0.35">
      <c r="A334" s="4" t="s">
        <v>601</v>
      </c>
      <c r="B334">
        <v>1</v>
      </c>
    </row>
    <row r="335" spans="1:2" x14ac:dyDescent="0.35">
      <c r="A335" s="4" t="s">
        <v>293</v>
      </c>
      <c r="B335">
        <v>1</v>
      </c>
    </row>
    <row r="336" spans="1:2" x14ac:dyDescent="0.35">
      <c r="A336" s="4" t="s">
        <v>113</v>
      </c>
      <c r="B336">
        <v>1</v>
      </c>
    </row>
    <row r="337" spans="1:2" x14ac:dyDescent="0.35">
      <c r="A337" s="4" t="s">
        <v>187</v>
      </c>
      <c r="B337">
        <v>1</v>
      </c>
    </row>
    <row r="338" spans="1:2" x14ac:dyDescent="0.35">
      <c r="A338" s="4" t="s">
        <v>1920</v>
      </c>
      <c r="B338">
        <v>1</v>
      </c>
    </row>
    <row r="339" spans="1:2" x14ac:dyDescent="0.35">
      <c r="A339" s="4" t="s">
        <v>1059</v>
      </c>
      <c r="B339">
        <v>1</v>
      </c>
    </row>
    <row r="340" spans="1:2" x14ac:dyDescent="0.35">
      <c r="A340" s="4" t="s">
        <v>1051</v>
      </c>
      <c r="B340">
        <v>1</v>
      </c>
    </row>
    <row r="341" spans="1:2" x14ac:dyDescent="0.35">
      <c r="A341" s="4" t="s">
        <v>497</v>
      </c>
      <c r="B341">
        <v>1</v>
      </c>
    </row>
    <row r="342" spans="1:2" x14ac:dyDescent="0.35">
      <c r="A342" s="4" t="s">
        <v>775</v>
      </c>
      <c r="B342">
        <v>1</v>
      </c>
    </row>
    <row r="343" spans="1:2" x14ac:dyDescent="0.35">
      <c r="A343" s="4" t="s">
        <v>1830</v>
      </c>
      <c r="B343">
        <v>1</v>
      </c>
    </row>
    <row r="344" spans="1:2" x14ac:dyDescent="0.35">
      <c r="A344" s="4" t="s">
        <v>1273</v>
      </c>
      <c r="B344">
        <v>1</v>
      </c>
    </row>
    <row r="345" spans="1:2" x14ac:dyDescent="0.35">
      <c r="A345" s="4" t="s">
        <v>229</v>
      </c>
      <c r="B345">
        <v>1</v>
      </c>
    </row>
    <row r="346" spans="1:2" x14ac:dyDescent="0.35">
      <c r="A346" s="4" t="s">
        <v>426</v>
      </c>
      <c r="B346">
        <v>1</v>
      </c>
    </row>
    <row r="347" spans="1:2" x14ac:dyDescent="0.35">
      <c r="A347" s="4" t="s">
        <v>1808</v>
      </c>
      <c r="B347">
        <v>1</v>
      </c>
    </row>
    <row r="348" spans="1:2" x14ac:dyDescent="0.35">
      <c r="A348" s="4" t="s">
        <v>318</v>
      </c>
      <c r="B348">
        <v>1</v>
      </c>
    </row>
    <row r="349" spans="1:2" x14ac:dyDescent="0.35">
      <c r="A349" s="4" t="s">
        <v>456</v>
      </c>
      <c r="B349">
        <v>1</v>
      </c>
    </row>
    <row r="350" spans="1:2" x14ac:dyDescent="0.35">
      <c r="A350" s="4" t="s">
        <v>1018</v>
      </c>
      <c r="B350">
        <v>1</v>
      </c>
    </row>
    <row r="351" spans="1:2" x14ac:dyDescent="0.35">
      <c r="A351" s="4" t="s">
        <v>1610</v>
      </c>
      <c r="B351">
        <v>1</v>
      </c>
    </row>
    <row r="352" spans="1:2" x14ac:dyDescent="0.35">
      <c r="A352" s="4" t="s">
        <v>1532</v>
      </c>
      <c r="B352">
        <v>1</v>
      </c>
    </row>
    <row r="353" spans="1:2" x14ac:dyDescent="0.35">
      <c r="A353" s="4" t="s">
        <v>901</v>
      </c>
      <c r="B353">
        <v>1</v>
      </c>
    </row>
    <row r="354" spans="1:2" x14ac:dyDescent="0.35">
      <c r="A354" s="4" t="s">
        <v>1546</v>
      </c>
      <c r="B354">
        <v>1</v>
      </c>
    </row>
    <row r="355" spans="1:2" x14ac:dyDescent="0.35">
      <c r="A355" s="4" t="s">
        <v>1255</v>
      </c>
      <c r="B355">
        <v>1</v>
      </c>
    </row>
    <row r="356" spans="1:2" x14ac:dyDescent="0.35">
      <c r="A356" s="4" t="s">
        <v>140</v>
      </c>
      <c r="B356">
        <v>1</v>
      </c>
    </row>
    <row r="357" spans="1:2" x14ac:dyDescent="0.35">
      <c r="A357" s="4" t="s">
        <v>785</v>
      </c>
      <c r="B357">
        <v>1</v>
      </c>
    </row>
    <row r="358" spans="1:2" x14ac:dyDescent="0.35">
      <c r="A358" s="4" t="s">
        <v>483</v>
      </c>
      <c r="B358">
        <v>1</v>
      </c>
    </row>
    <row r="359" spans="1:2" x14ac:dyDescent="0.35">
      <c r="A359" s="4" t="s">
        <v>998</v>
      </c>
      <c r="B359">
        <v>1</v>
      </c>
    </row>
    <row r="360" spans="1:2" x14ac:dyDescent="0.35">
      <c r="A360" s="4" t="s">
        <v>479</v>
      </c>
      <c r="B360">
        <v>1</v>
      </c>
    </row>
    <row r="361" spans="1:2" x14ac:dyDescent="0.35">
      <c r="A361" s="4" t="s">
        <v>2058</v>
      </c>
      <c r="B361">
        <v>1</v>
      </c>
    </row>
    <row r="362" spans="1:2" x14ac:dyDescent="0.35">
      <c r="A362" s="4" t="s">
        <v>1373</v>
      </c>
      <c r="B362">
        <v>1</v>
      </c>
    </row>
    <row r="363" spans="1:2" x14ac:dyDescent="0.35">
      <c r="A363" s="4" t="s">
        <v>1359</v>
      </c>
      <c r="B363">
        <v>1</v>
      </c>
    </row>
    <row r="364" spans="1:2" x14ac:dyDescent="0.35">
      <c r="A364" s="4" t="s">
        <v>1205</v>
      </c>
      <c r="B364">
        <v>1</v>
      </c>
    </row>
    <row r="365" spans="1:2" x14ac:dyDescent="0.35">
      <c r="A365" s="4" t="s">
        <v>1842</v>
      </c>
      <c r="B365">
        <v>1</v>
      </c>
    </row>
    <row r="366" spans="1:2" x14ac:dyDescent="0.35">
      <c r="A366" s="4" t="s">
        <v>1768</v>
      </c>
      <c r="B366">
        <v>1</v>
      </c>
    </row>
    <row r="367" spans="1:2" x14ac:dyDescent="0.35">
      <c r="A367" s="4" t="s">
        <v>2068</v>
      </c>
      <c r="B367">
        <v>1</v>
      </c>
    </row>
    <row r="368" spans="1:2" x14ac:dyDescent="0.35">
      <c r="A368" s="4" t="s">
        <v>1093</v>
      </c>
      <c r="B368">
        <v>1</v>
      </c>
    </row>
    <row r="369" spans="1:2" x14ac:dyDescent="0.35">
      <c r="A369" s="4" t="s">
        <v>1482</v>
      </c>
      <c r="B369">
        <v>1</v>
      </c>
    </row>
    <row r="370" spans="1:2" x14ac:dyDescent="0.35">
      <c r="A370" s="4" t="s">
        <v>412</v>
      </c>
      <c r="B370">
        <v>1</v>
      </c>
    </row>
    <row r="371" spans="1:2" x14ac:dyDescent="0.35">
      <c r="A371" s="4" t="s">
        <v>1970</v>
      </c>
      <c r="B371">
        <v>1</v>
      </c>
    </row>
    <row r="372" spans="1:2" x14ac:dyDescent="0.35">
      <c r="A372" s="4" t="s">
        <v>797</v>
      </c>
      <c r="B372">
        <v>1</v>
      </c>
    </row>
    <row r="373" spans="1:2" x14ac:dyDescent="0.35">
      <c r="A373" s="4" t="s">
        <v>1594</v>
      </c>
      <c r="B373">
        <v>1</v>
      </c>
    </row>
    <row r="374" spans="1:2" x14ac:dyDescent="0.35">
      <c r="A374" s="4" t="s">
        <v>2014</v>
      </c>
      <c r="B374">
        <v>1</v>
      </c>
    </row>
    <row r="375" spans="1:2" x14ac:dyDescent="0.35">
      <c r="A375" s="4" t="s">
        <v>314</v>
      </c>
      <c r="B375">
        <v>1</v>
      </c>
    </row>
    <row r="376" spans="1:2" x14ac:dyDescent="0.35">
      <c r="A376" s="4" t="s">
        <v>265</v>
      </c>
      <c r="B376">
        <v>1</v>
      </c>
    </row>
    <row r="377" spans="1:2" x14ac:dyDescent="0.35">
      <c r="A377" s="4" t="s">
        <v>737</v>
      </c>
      <c r="B377">
        <v>1</v>
      </c>
    </row>
    <row r="378" spans="1:2" x14ac:dyDescent="0.35">
      <c r="A378" s="4" t="s">
        <v>962</v>
      </c>
      <c r="B378">
        <v>1</v>
      </c>
    </row>
    <row r="379" spans="1:2" x14ac:dyDescent="0.35">
      <c r="A379" s="4" t="s">
        <v>1233</v>
      </c>
      <c r="B379">
        <v>1</v>
      </c>
    </row>
    <row r="380" spans="1:2" x14ac:dyDescent="0.35">
      <c r="A380" s="4" t="s">
        <v>1736</v>
      </c>
      <c r="B380">
        <v>1</v>
      </c>
    </row>
    <row r="381" spans="1:2" x14ac:dyDescent="0.35">
      <c r="A381" s="4" t="s">
        <v>755</v>
      </c>
      <c r="B381">
        <v>1</v>
      </c>
    </row>
    <row r="382" spans="1:2" x14ac:dyDescent="0.35">
      <c r="A382" s="4" t="s">
        <v>1361</v>
      </c>
      <c r="B382">
        <v>1</v>
      </c>
    </row>
    <row r="383" spans="1:2" x14ac:dyDescent="0.35">
      <c r="A383" s="4" t="s">
        <v>1441</v>
      </c>
      <c r="B383">
        <v>1</v>
      </c>
    </row>
    <row r="384" spans="1:2" x14ac:dyDescent="0.35">
      <c r="A384" s="4" t="s">
        <v>1151</v>
      </c>
      <c r="B384">
        <v>1</v>
      </c>
    </row>
    <row r="385" spans="1:2" x14ac:dyDescent="0.35">
      <c r="A385" s="4" t="s">
        <v>1636</v>
      </c>
      <c r="B385">
        <v>1</v>
      </c>
    </row>
    <row r="386" spans="1:2" x14ac:dyDescent="0.35">
      <c r="A386" s="4" t="s">
        <v>655</v>
      </c>
      <c r="B386">
        <v>1</v>
      </c>
    </row>
    <row r="387" spans="1:2" x14ac:dyDescent="0.35">
      <c r="A387" s="4" t="s">
        <v>1472</v>
      </c>
      <c r="B387">
        <v>1</v>
      </c>
    </row>
    <row r="388" spans="1:2" x14ac:dyDescent="0.35">
      <c r="A388" s="4" t="s">
        <v>1165</v>
      </c>
      <c r="B388">
        <v>1</v>
      </c>
    </row>
    <row r="389" spans="1:2" x14ac:dyDescent="0.35">
      <c r="A389" s="4" t="s">
        <v>1012</v>
      </c>
      <c r="B389">
        <v>1</v>
      </c>
    </row>
    <row r="390" spans="1:2" x14ac:dyDescent="0.35">
      <c r="A390" s="4" t="s">
        <v>547</v>
      </c>
      <c r="B390">
        <v>1</v>
      </c>
    </row>
    <row r="391" spans="1:2" x14ac:dyDescent="0.35">
      <c r="A391" s="4" t="s">
        <v>1738</v>
      </c>
      <c r="B391">
        <v>1</v>
      </c>
    </row>
    <row r="392" spans="1:2" x14ac:dyDescent="0.35">
      <c r="A392" s="4" t="s">
        <v>178</v>
      </c>
      <c r="B392">
        <v>1</v>
      </c>
    </row>
    <row r="393" spans="1:2" x14ac:dyDescent="0.35">
      <c r="A393" s="4" t="s">
        <v>613</v>
      </c>
      <c r="B393">
        <v>1</v>
      </c>
    </row>
    <row r="394" spans="1:2" x14ac:dyDescent="0.35">
      <c r="A394" s="4" t="s">
        <v>452</v>
      </c>
      <c r="B394">
        <v>1</v>
      </c>
    </row>
    <row r="395" spans="1:2" x14ac:dyDescent="0.35">
      <c r="A395" s="4" t="s">
        <v>725</v>
      </c>
      <c r="B395">
        <v>1</v>
      </c>
    </row>
    <row r="396" spans="1:2" x14ac:dyDescent="0.35">
      <c r="A396" s="4" t="s">
        <v>1764</v>
      </c>
      <c r="B396">
        <v>1</v>
      </c>
    </row>
    <row r="397" spans="1:2" x14ac:dyDescent="0.35">
      <c r="A397" s="4" t="s">
        <v>1227</v>
      </c>
      <c r="B397">
        <v>1</v>
      </c>
    </row>
    <row r="398" spans="1:2" x14ac:dyDescent="0.35">
      <c r="A398" s="4" t="s">
        <v>1014</v>
      </c>
      <c r="B398">
        <v>1</v>
      </c>
    </row>
    <row r="399" spans="1:2" x14ac:dyDescent="0.35">
      <c r="A399" s="4" t="s">
        <v>159</v>
      </c>
      <c r="B399">
        <v>1</v>
      </c>
    </row>
    <row r="400" spans="1:2" x14ac:dyDescent="0.35">
      <c r="A400" s="4" t="s">
        <v>976</v>
      </c>
      <c r="B400">
        <v>1</v>
      </c>
    </row>
    <row r="401" spans="1:2" x14ac:dyDescent="0.35">
      <c r="A401" s="4" t="s">
        <v>1626</v>
      </c>
      <c r="B401">
        <v>1</v>
      </c>
    </row>
    <row r="402" spans="1:2" x14ac:dyDescent="0.35">
      <c r="A402" s="4" t="s">
        <v>1875</v>
      </c>
      <c r="B402">
        <v>1</v>
      </c>
    </row>
    <row r="403" spans="1:2" x14ac:dyDescent="0.35">
      <c r="A403" s="4" t="s">
        <v>914</v>
      </c>
      <c r="B403">
        <v>1</v>
      </c>
    </row>
    <row r="404" spans="1:2" x14ac:dyDescent="0.35">
      <c r="A404" s="4" t="s">
        <v>721</v>
      </c>
      <c r="B404">
        <v>1</v>
      </c>
    </row>
    <row r="405" spans="1:2" x14ac:dyDescent="0.35">
      <c r="A405" s="4" t="s">
        <v>1203</v>
      </c>
      <c r="B405">
        <v>1</v>
      </c>
    </row>
    <row r="406" spans="1:2" x14ac:dyDescent="0.35">
      <c r="A406" s="4" t="s">
        <v>1510</v>
      </c>
      <c r="B406">
        <v>1</v>
      </c>
    </row>
    <row r="407" spans="1:2" x14ac:dyDescent="0.35">
      <c r="A407" s="4" t="s">
        <v>1889</v>
      </c>
      <c r="B407">
        <v>1</v>
      </c>
    </row>
    <row r="408" spans="1:2" x14ac:dyDescent="0.35">
      <c r="A408" s="4" t="s">
        <v>1484</v>
      </c>
      <c r="B408">
        <v>1</v>
      </c>
    </row>
    <row r="409" spans="1:2" x14ac:dyDescent="0.35">
      <c r="A409" s="4" t="s">
        <v>1024</v>
      </c>
      <c r="B409">
        <v>1</v>
      </c>
    </row>
    <row r="410" spans="1:2" x14ac:dyDescent="0.35">
      <c r="A410" s="4" t="s">
        <v>1660</v>
      </c>
      <c r="B410">
        <v>1</v>
      </c>
    </row>
    <row r="411" spans="1:2" x14ac:dyDescent="0.35">
      <c r="A411" s="4" t="s">
        <v>1044</v>
      </c>
      <c r="B411">
        <v>1</v>
      </c>
    </row>
    <row r="412" spans="1:2" x14ac:dyDescent="0.35">
      <c r="A412" s="4" t="s">
        <v>1229</v>
      </c>
      <c r="B412">
        <v>1</v>
      </c>
    </row>
    <row r="413" spans="1:2" x14ac:dyDescent="0.35">
      <c r="A413" s="4" t="s">
        <v>1586</v>
      </c>
      <c r="B413">
        <v>1</v>
      </c>
    </row>
    <row r="414" spans="1:2" x14ac:dyDescent="0.35">
      <c r="A414" s="4" t="s">
        <v>1810</v>
      </c>
      <c r="B414">
        <v>1</v>
      </c>
    </row>
    <row r="415" spans="1:2" x14ac:dyDescent="0.35">
      <c r="A415" s="4" t="s">
        <v>1883</v>
      </c>
      <c r="B415">
        <v>1</v>
      </c>
    </row>
    <row r="416" spans="1:2" x14ac:dyDescent="0.35">
      <c r="A416" s="4" t="s">
        <v>1113</v>
      </c>
      <c r="B416">
        <v>1</v>
      </c>
    </row>
    <row r="417" spans="1:2" x14ac:dyDescent="0.35">
      <c r="A417" s="4" t="s">
        <v>1367</v>
      </c>
      <c r="B417">
        <v>1</v>
      </c>
    </row>
    <row r="418" spans="1:2" x14ac:dyDescent="0.35">
      <c r="A418" s="4" t="s">
        <v>1241</v>
      </c>
      <c r="B418">
        <v>1</v>
      </c>
    </row>
    <row r="419" spans="1:2" x14ac:dyDescent="0.35">
      <c r="A419" s="4" t="s">
        <v>1069</v>
      </c>
      <c r="B419">
        <v>1</v>
      </c>
    </row>
    <row r="420" spans="1:2" x14ac:dyDescent="0.35">
      <c r="A420" s="4" t="s">
        <v>1211</v>
      </c>
      <c r="B420">
        <v>1</v>
      </c>
    </row>
    <row r="421" spans="1:2" x14ac:dyDescent="0.35">
      <c r="A421" s="4" t="s">
        <v>305</v>
      </c>
      <c r="B421">
        <v>1</v>
      </c>
    </row>
    <row r="422" spans="1:2" x14ac:dyDescent="0.35">
      <c r="A422" s="4" t="s">
        <v>944</v>
      </c>
      <c r="B422">
        <v>1</v>
      </c>
    </row>
    <row r="423" spans="1:2" x14ac:dyDescent="0.35">
      <c r="A423" s="4" t="s">
        <v>1634</v>
      </c>
      <c r="B423">
        <v>1</v>
      </c>
    </row>
    <row r="424" spans="1:2" x14ac:dyDescent="0.35">
      <c r="A424" s="4" t="s">
        <v>1197</v>
      </c>
      <c r="B424">
        <v>1</v>
      </c>
    </row>
    <row r="425" spans="1:2" x14ac:dyDescent="0.35">
      <c r="A425" s="4" t="s">
        <v>297</v>
      </c>
      <c r="B425">
        <v>1</v>
      </c>
    </row>
    <row r="426" spans="1:2" x14ac:dyDescent="0.35">
      <c r="A426" s="4" t="s">
        <v>285</v>
      </c>
      <c r="B426">
        <v>1</v>
      </c>
    </row>
    <row r="427" spans="1:2" x14ac:dyDescent="0.35">
      <c r="A427" s="4" t="s">
        <v>1263</v>
      </c>
      <c r="B427">
        <v>1</v>
      </c>
    </row>
    <row r="428" spans="1:2" x14ac:dyDescent="0.35">
      <c r="A428" s="4" t="s">
        <v>446</v>
      </c>
      <c r="B428">
        <v>1</v>
      </c>
    </row>
    <row r="429" spans="1:2" x14ac:dyDescent="0.35">
      <c r="A429" s="4" t="s">
        <v>1887</v>
      </c>
      <c r="B429">
        <v>1</v>
      </c>
    </row>
    <row r="430" spans="1:2" x14ac:dyDescent="0.35">
      <c r="A430" s="4" t="s">
        <v>2090</v>
      </c>
      <c r="B430">
        <v>1</v>
      </c>
    </row>
    <row r="431" spans="1:2" x14ac:dyDescent="0.35">
      <c r="A431" s="4" t="s">
        <v>1942</v>
      </c>
      <c r="B431">
        <v>1</v>
      </c>
    </row>
    <row r="432" spans="1:2" x14ac:dyDescent="0.35">
      <c r="A432" s="4" t="s">
        <v>1181</v>
      </c>
      <c r="B432">
        <v>1</v>
      </c>
    </row>
    <row r="433" spans="1:2" x14ac:dyDescent="0.35">
      <c r="A433" s="4" t="s">
        <v>1766</v>
      </c>
      <c r="B433">
        <v>1</v>
      </c>
    </row>
    <row r="434" spans="1:2" x14ac:dyDescent="0.35">
      <c r="A434" s="4" t="s">
        <v>773</v>
      </c>
      <c r="B434">
        <v>1</v>
      </c>
    </row>
    <row r="435" spans="1:2" x14ac:dyDescent="0.35">
      <c r="A435" s="4" t="s">
        <v>182</v>
      </c>
      <c r="B435">
        <v>1</v>
      </c>
    </row>
    <row r="436" spans="1:2" x14ac:dyDescent="0.35">
      <c r="A436" s="4" t="s">
        <v>1902</v>
      </c>
      <c r="B436">
        <v>1</v>
      </c>
    </row>
    <row r="437" spans="1:2" x14ac:dyDescent="0.35">
      <c r="A437" s="4" t="s">
        <v>176</v>
      </c>
      <c r="B437">
        <v>1</v>
      </c>
    </row>
    <row r="438" spans="1:2" x14ac:dyDescent="0.35">
      <c r="A438" s="4" t="s">
        <v>189</v>
      </c>
      <c r="B438">
        <v>1</v>
      </c>
    </row>
    <row r="439" spans="1:2" x14ac:dyDescent="0.35">
      <c r="A439" s="4" t="s">
        <v>1828</v>
      </c>
      <c r="B439">
        <v>1</v>
      </c>
    </row>
    <row r="440" spans="1:2" x14ac:dyDescent="0.35">
      <c r="A440" s="4" t="s">
        <v>2000</v>
      </c>
      <c r="B440">
        <v>1</v>
      </c>
    </row>
    <row r="441" spans="1:2" x14ac:dyDescent="0.35">
      <c r="A441" s="4" t="s">
        <v>1413</v>
      </c>
      <c r="B441">
        <v>1</v>
      </c>
    </row>
    <row r="442" spans="1:2" x14ac:dyDescent="0.35">
      <c r="A442" s="4" t="s">
        <v>795</v>
      </c>
      <c r="B442">
        <v>1</v>
      </c>
    </row>
    <row r="443" spans="1:2" x14ac:dyDescent="0.35">
      <c r="A443" s="4" t="s">
        <v>1980</v>
      </c>
      <c r="B443">
        <v>1</v>
      </c>
    </row>
    <row r="444" spans="1:2" x14ac:dyDescent="0.35">
      <c r="A444" s="4" t="s">
        <v>1397</v>
      </c>
      <c r="B444">
        <v>1</v>
      </c>
    </row>
    <row r="445" spans="1:2" x14ac:dyDescent="0.35">
      <c r="A445" s="4" t="s">
        <v>205</v>
      </c>
      <c r="B445">
        <v>1</v>
      </c>
    </row>
    <row r="446" spans="1:2" x14ac:dyDescent="0.35">
      <c r="A446" s="4" t="s">
        <v>303</v>
      </c>
      <c r="B446">
        <v>1</v>
      </c>
    </row>
    <row r="447" spans="1:2" x14ac:dyDescent="0.35">
      <c r="A447" s="4" t="s">
        <v>235</v>
      </c>
      <c r="B447">
        <v>1</v>
      </c>
    </row>
    <row r="448" spans="1:2" x14ac:dyDescent="0.35">
      <c r="A448" s="4" t="s">
        <v>978</v>
      </c>
      <c r="B448">
        <v>1</v>
      </c>
    </row>
    <row r="449" spans="1:2" x14ac:dyDescent="0.35">
      <c r="A449" s="4" t="s">
        <v>1698</v>
      </c>
      <c r="B449">
        <v>1</v>
      </c>
    </row>
    <row r="450" spans="1:2" x14ac:dyDescent="0.35">
      <c r="A450" s="4" t="s">
        <v>1680</v>
      </c>
      <c r="B450">
        <v>1</v>
      </c>
    </row>
    <row r="451" spans="1:2" x14ac:dyDescent="0.35">
      <c r="A451" s="4" t="s">
        <v>362</v>
      </c>
      <c r="B451">
        <v>1</v>
      </c>
    </row>
    <row r="452" spans="1:2" x14ac:dyDescent="0.35">
      <c r="A452" s="4" t="s">
        <v>1845</v>
      </c>
      <c r="B452">
        <v>1</v>
      </c>
    </row>
    <row r="453" spans="1:2" x14ac:dyDescent="0.35">
      <c r="A453" s="4" t="s">
        <v>2091</v>
      </c>
      <c r="B453">
        <v>1</v>
      </c>
    </row>
    <row r="454" spans="1:2" x14ac:dyDescent="0.35">
      <c r="A454" s="4" t="s">
        <v>259</v>
      </c>
      <c r="B454">
        <v>1</v>
      </c>
    </row>
    <row r="455" spans="1:2" x14ac:dyDescent="0.35">
      <c r="A455" s="4" t="s">
        <v>1804</v>
      </c>
      <c r="B455">
        <v>1</v>
      </c>
    </row>
    <row r="456" spans="1:2" x14ac:dyDescent="0.35">
      <c r="A456" s="4" t="s">
        <v>867</v>
      </c>
      <c r="B456">
        <v>1</v>
      </c>
    </row>
    <row r="457" spans="1:2" x14ac:dyDescent="0.35">
      <c r="A457" s="4" t="s">
        <v>1918</v>
      </c>
      <c r="B457">
        <v>1</v>
      </c>
    </row>
    <row r="458" spans="1:2" x14ac:dyDescent="0.35">
      <c r="A458" s="4" t="s">
        <v>1728</v>
      </c>
      <c r="B458">
        <v>1</v>
      </c>
    </row>
    <row r="459" spans="1:2" x14ac:dyDescent="0.35">
      <c r="A459" s="4" t="s">
        <v>1103</v>
      </c>
      <c r="B459">
        <v>1</v>
      </c>
    </row>
    <row r="460" spans="1:2" x14ac:dyDescent="0.35">
      <c r="A460" s="4" t="s">
        <v>1399</v>
      </c>
      <c r="B460">
        <v>1</v>
      </c>
    </row>
    <row r="461" spans="1:2" x14ac:dyDescent="0.35">
      <c r="A461" s="4" t="s">
        <v>1570</v>
      </c>
      <c r="B461">
        <v>1</v>
      </c>
    </row>
    <row r="462" spans="1:2" x14ac:dyDescent="0.35">
      <c r="A462" s="4" t="s">
        <v>438</v>
      </c>
      <c r="B462">
        <v>1</v>
      </c>
    </row>
    <row r="463" spans="1:2" x14ac:dyDescent="0.35">
      <c r="A463" s="4" t="s">
        <v>1904</v>
      </c>
      <c r="B463">
        <v>1</v>
      </c>
    </row>
    <row r="464" spans="1:2" x14ac:dyDescent="0.35">
      <c r="A464" s="4" t="s">
        <v>1149</v>
      </c>
      <c r="B464">
        <v>1</v>
      </c>
    </row>
    <row r="465" spans="1:2" x14ac:dyDescent="0.35">
      <c r="A465" s="4" t="s">
        <v>1143</v>
      </c>
      <c r="B465">
        <v>1</v>
      </c>
    </row>
    <row r="466" spans="1:2" x14ac:dyDescent="0.35">
      <c r="A466" s="4" t="s">
        <v>117</v>
      </c>
      <c r="B466">
        <v>1</v>
      </c>
    </row>
    <row r="467" spans="1:2" x14ac:dyDescent="0.35">
      <c r="A467" s="4" t="s">
        <v>2018</v>
      </c>
      <c r="B467">
        <v>1</v>
      </c>
    </row>
    <row r="468" spans="1:2" x14ac:dyDescent="0.35">
      <c r="A468" s="4" t="s">
        <v>1562</v>
      </c>
      <c r="B468">
        <v>1</v>
      </c>
    </row>
    <row r="469" spans="1:2" x14ac:dyDescent="0.35">
      <c r="A469" s="4" t="s">
        <v>1030</v>
      </c>
      <c r="B469">
        <v>1</v>
      </c>
    </row>
    <row r="470" spans="1:2" x14ac:dyDescent="0.35">
      <c r="A470" s="4" t="s">
        <v>731</v>
      </c>
      <c r="B470">
        <v>1</v>
      </c>
    </row>
    <row r="471" spans="1:2" x14ac:dyDescent="0.35">
      <c r="A471" s="4" t="s">
        <v>291</v>
      </c>
      <c r="B471">
        <v>1</v>
      </c>
    </row>
    <row r="472" spans="1:2" x14ac:dyDescent="0.35">
      <c r="A472" s="4" t="s">
        <v>193</v>
      </c>
      <c r="B472">
        <v>1</v>
      </c>
    </row>
    <row r="473" spans="1:2" x14ac:dyDescent="0.35">
      <c r="A473" s="4" t="s">
        <v>1283</v>
      </c>
      <c r="B473">
        <v>1</v>
      </c>
    </row>
    <row r="474" spans="1:2" x14ac:dyDescent="0.35">
      <c r="A474" s="4" t="s">
        <v>1474</v>
      </c>
      <c r="B474">
        <v>1</v>
      </c>
    </row>
    <row r="475" spans="1:2" x14ac:dyDescent="0.35">
      <c r="A475" s="4" t="s">
        <v>1834</v>
      </c>
      <c r="B475">
        <v>1</v>
      </c>
    </row>
    <row r="476" spans="1:2" x14ac:dyDescent="0.35">
      <c r="A476" s="4" t="s">
        <v>952</v>
      </c>
      <c r="B476">
        <v>1</v>
      </c>
    </row>
    <row r="477" spans="1:2" x14ac:dyDescent="0.35">
      <c r="A477" s="4" t="s">
        <v>1010</v>
      </c>
      <c r="B477">
        <v>1</v>
      </c>
    </row>
    <row r="478" spans="1:2" x14ac:dyDescent="0.35">
      <c r="A478" s="4" t="s">
        <v>1652</v>
      </c>
      <c r="B478">
        <v>1</v>
      </c>
    </row>
    <row r="479" spans="1:2" x14ac:dyDescent="0.35">
      <c r="A479" s="4" t="s">
        <v>1824</v>
      </c>
      <c r="B479">
        <v>1</v>
      </c>
    </row>
    <row r="480" spans="1:2" x14ac:dyDescent="0.35">
      <c r="A480" s="4" t="s">
        <v>1447</v>
      </c>
      <c r="B480">
        <v>1</v>
      </c>
    </row>
    <row r="481" spans="1:2" x14ac:dyDescent="0.35">
      <c r="A481" s="4" t="s">
        <v>1032</v>
      </c>
      <c r="B481">
        <v>1</v>
      </c>
    </row>
    <row r="482" spans="1:2" x14ac:dyDescent="0.35">
      <c r="A482" s="4" t="s">
        <v>97</v>
      </c>
      <c r="B482">
        <v>1</v>
      </c>
    </row>
    <row r="483" spans="1:2" x14ac:dyDescent="0.35">
      <c r="A483" s="4" t="s">
        <v>58</v>
      </c>
      <c r="B483">
        <v>1</v>
      </c>
    </row>
    <row r="484" spans="1:2" x14ac:dyDescent="0.35">
      <c r="A484" s="4" t="s">
        <v>545</v>
      </c>
      <c r="B484">
        <v>1</v>
      </c>
    </row>
    <row r="485" spans="1:2" x14ac:dyDescent="0.35">
      <c r="A485" s="4" t="s">
        <v>380</v>
      </c>
      <c r="B485">
        <v>1</v>
      </c>
    </row>
    <row r="486" spans="1:2" x14ac:dyDescent="0.35">
      <c r="A486" s="4" t="s">
        <v>1309</v>
      </c>
      <c r="B486">
        <v>1</v>
      </c>
    </row>
    <row r="487" spans="1:2" x14ac:dyDescent="0.35">
      <c r="A487" s="4" t="s">
        <v>1133</v>
      </c>
      <c r="B487">
        <v>1</v>
      </c>
    </row>
    <row r="488" spans="1:2" x14ac:dyDescent="0.35">
      <c r="A488" s="4" t="s">
        <v>1490</v>
      </c>
      <c r="B488">
        <v>1</v>
      </c>
    </row>
    <row r="489" spans="1:2" x14ac:dyDescent="0.35">
      <c r="A489" s="4" t="s">
        <v>1453</v>
      </c>
      <c r="B489">
        <v>1</v>
      </c>
    </row>
    <row r="490" spans="1:2" x14ac:dyDescent="0.35">
      <c r="A490" s="4" t="s">
        <v>1287</v>
      </c>
      <c r="B490">
        <v>1</v>
      </c>
    </row>
    <row r="491" spans="1:2" x14ac:dyDescent="0.35">
      <c r="A491" s="4" t="s">
        <v>108</v>
      </c>
      <c r="B491">
        <v>1</v>
      </c>
    </row>
    <row r="492" spans="1:2" x14ac:dyDescent="0.35">
      <c r="A492" s="4" t="s">
        <v>148</v>
      </c>
      <c r="B492">
        <v>1</v>
      </c>
    </row>
    <row r="493" spans="1:2" x14ac:dyDescent="0.35">
      <c r="A493" s="4" t="s">
        <v>1624</v>
      </c>
      <c r="B493">
        <v>1</v>
      </c>
    </row>
    <row r="494" spans="1:2" x14ac:dyDescent="0.35">
      <c r="A494" s="4" t="s">
        <v>1692</v>
      </c>
      <c r="B494">
        <v>1</v>
      </c>
    </row>
    <row r="495" spans="1:2" x14ac:dyDescent="0.35">
      <c r="A495" s="4" t="s">
        <v>781</v>
      </c>
      <c r="B495">
        <v>1</v>
      </c>
    </row>
    <row r="496" spans="1:2" x14ac:dyDescent="0.35">
      <c r="A496" s="4" t="s">
        <v>138</v>
      </c>
      <c r="B496">
        <v>1</v>
      </c>
    </row>
    <row r="497" spans="1:2" x14ac:dyDescent="0.35">
      <c r="A497" s="4" t="s">
        <v>434</v>
      </c>
      <c r="B497">
        <v>1</v>
      </c>
    </row>
    <row r="498" spans="1:2" x14ac:dyDescent="0.35">
      <c r="A498" s="4" t="s">
        <v>1494</v>
      </c>
      <c r="B498">
        <v>1</v>
      </c>
    </row>
    <row r="499" spans="1:2" x14ac:dyDescent="0.35">
      <c r="A499" s="4" t="s">
        <v>1301</v>
      </c>
      <c r="B499">
        <v>1</v>
      </c>
    </row>
    <row r="500" spans="1:2" x14ac:dyDescent="0.35">
      <c r="A500" s="4" t="s">
        <v>1251</v>
      </c>
      <c r="B500">
        <v>1</v>
      </c>
    </row>
    <row r="501" spans="1:2" x14ac:dyDescent="0.35">
      <c r="A501" s="4" t="s">
        <v>1443</v>
      </c>
      <c r="B501">
        <v>1</v>
      </c>
    </row>
    <row r="502" spans="1:2" x14ac:dyDescent="0.35">
      <c r="A502" s="4" t="s">
        <v>1239</v>
      </c>
      <c r="B502">
        <v>1</v>
      </c>
    </row>
    <row r="503" spans="1:2" x14ac:dyDescent="0.35">
      <c r="A503" s="4" t="s">
        <v>1269</v>
      </c>
      <c r="B503">
        <v>1</v>
      </c>
    </row>
    <row r="504" spans="1:2" x14ac:dyDescent="0.35">
      <c r="A504" s="4" t="s">
        <v>1079</v>
      </c>
      <c r="B504">
        <v>1</v>
      </c>
    </row>
    <row r="505" spans="1:2" x14ac:dyDescent="0.35">
      <c r="A505" s="4" t="s">
        <v>918</v>
      </c>
      <c r="B505">
        <v>1</v>
      </c>
    </row>
    <row r="506" spans="1:2" x14ac:dyDescent="0.35">
      <c r="A506" s="4" t="s">
        <v>713</v>
      </c>
      <c r="B506">
        <v>1</v>
      </c>
    </row>
    <row r="507" spans="1:2" x14ac:dyDescent="0.35">
      <c r="A507" s="4" t="s">
        <v>543</v>
      </c>
      <c r="B507">
        <v>1</v>
      </c>
    </row>
    <row r="508" spans="1:2" x14ac:dyDescent="0.35">
      <c r="A508" s="4" t="s">
        <v>444</v>
      </c>
      <c r="B508">
        <v>1</v>
      </c>
    </row>
    <row r="509" spans="1:2" x14ac:dyDescent="0.35">
      <c r="A509" s="4" t="s">
        <v>1253</v>
      </c>
      <c r="B509">
        <v>1</v>
      </c>
    </row>
    <row r="510" spans="1:2" x14ac:dyDescent="0.35">
      <c r="A510" s="4" t="s">
        <v>1700</v>
      </c>
      <c r="B510">
        <v>1</v>
      </c>
    </row>
    <row r="511" spans="1:2" x14ac:dyDescent="0.35">
      <c r="A511" s="4" t="s">
        <v>1802</v>
      </c>
      <c r="B511">
        <v>1</v>
      </c>
    </row>
    <row r="512" spans="1:2" x14ac:dyDescent="0.35">
      <c r="A512" s="4" t="s">
        <v>67</v>
      </c>
      <c r="B512">
        <v>1</v>
      </c>
    </row>
    <row r="513" spans="1:2" x14ac:dyDescent="0.35">
      <c r="A513" s="4" t="s">
        <v>1646</v>
      </c>
      <c r="B513">
        <v>1</v>
      </c>
    </row>
    <row r="514" spans="1:2" x14ac:dyDescent="0.35">
      <c r="A514" s="4" t="s">
        <v>2046</v>
      </c>
      <c r="B514">
        <v>1</v>
      </c>
    </row>
    <row r="515" spans="1:2" x14ac:dyDescent="0.35">
      <c r="A515" s="4" t="s">
        <v>2052</v>
      </c>
      <c r="B515">
        <v>1</v>
      </c>
    </row>
    <row r="516" spans="1:2" x14ac:dyDescent="0.35">
      <c r="A516" s="4" t="s">
        <v>400</v>
      </c>
      <c r="B516">
        <v>1</v>
      </c>
    </row>
    <row r="517" spans="1:2" x14ac:dyDescent="0.35">
      <c r="A517" s="4" t="s">
        <v>679</v>
      </c>
      <c r="B517">
        <v>1</v>
      </c>
    </row>
    <row r="518" spans="1:2" x14ac:dyDescent="0.35">
      <c r="A518" s="4" t="s">
        <v>499</v>
      </c>
      <c r="B518">
        <v>1</v>
      </c>
    </row>
    <row r="519" spans="1:2" x14ac:dyDescent="0.35">
      <c r="A519" s="4" t="s">
        <v>735</v>
      </c>
      <c r="B519">
        <v>1</v>
      </c>
    </row>
    <row r="520" spans="1:2" x14ac:dyDescent="0.35">
      <c r="A520" s="4" t="s">
        <v>261</v>
      </c>
      <c r="B520">
        <v>1</v>
      </c>
    </row>
    <row r="521" spans="1:2" x14ac:dyDescent="0.35">
      <c r="A521" s="4" t="s">
        <v>1978</v>
      </c>
      <c r="B521">
        <v>1</v>
      </c>
    </row>
    <row r="522" spans="1:2" x14ac:dyDescent="0.35">
      <c r="A522" s="4" t="s">
        <v>1550</v>
      </c>
      <c r="B522">
        <v>1</v>
      </c>
    </row>
    <row r="523" spans="1:2" x14ac:dyDescent="0.35">
      <c r="A523" s="4" t="s">
        <v>831</v>
      </c>
      <c r="B523">
        <v>1</v>
      </c>
    </row>
    <row r="524" spans="1:2" x14ac:dyDescent="0.35">
      <c r="A524" s="4" t="s">
        <v>388</v>
      </c>
      <c r="B524">
        <v>1</v>
      </c>
    </row>
    <row r="525" spans="1:2" x14ac:dyDescent="0.35">
      <c r="A525" s="4" t="s">
        <v>567</v>
      </c>
      <c r="B525">
        <v>1</v>
      </c>
    </row>
    <row r="526" spans="1:2" x14ac:dyDescent="0.35">
      <c r="A526" s="4" t="s">
        <v>507</v>
      </c>
      <c r="B526">
        <v>1</v>
      </c>
    </row>
    <row r="527" spans="1:2" x14ac:dyDescent="0.35">
      <c r="A527" s="4" t="s">
        <v>1020</v>
      </c>
      <c r="B527">
        <v>1</v>
      </c>
    </row>
    <row r="528" spans="1:2" x14ac:dyDescent="0.35">
      <c r="A528" s="4" t="s">
        <v>922</v>
      </c>
      <c r="B528">
        <v>1</v>
      </c>
    </row>
    <row r="529" spans="1:2" x14ac:dyDescent="0.35">
      <c r="A529" s="4" t="s">
        <v>2092</v>
      </c>
      <c r="B529">
        <v>1</v>
      </c>
    </row>
    <row r="530" spans="1:2" x14ac:dyDescent="0.35">
      <c r="A530" s="4" t="s">
        <v>625</v>
      </c>
      <c r="B530">
        <v>1</v>
      </c>
    </row>
    <row r="531" spans="1:2" x14ac:dyDescent="0.35">
      <c r="A531" s="4" t="s">
        <v>1998</v>
      </c>
      <c r="B531">
        <v>1</v>
      </c>
    </row>
    <row r="532" spans="1:2" x14ac:dyDescent="0.35">
      <c r="A532" s="4" t="s">
        <v>2093</v>
      </c>
      <c r="B532">
        <v>1</v>
      </c>
    </row>
    <row r="533" spans="1:2" x14ac:dyDescent="0.35">
      <c r="A533" s="4" t="s">
        <v>167</v>
      </c>
      <c r="B533">
        <v>1</v>
      </c>
    </row>
    <row r="534" spans="1:2" x14ac:dyDescent="0.35">
      <c r="A534" s="4" t="s">
        <v>873</v>
      </c>
      <c r="B534">
        <v>1</v>
      </c>
    </row>
    <row r="535" spans="1:2" x14ac:dyDescent="0.35">
      <c r="A535" s="4" t="s">
        <v>1954</v>
      </c>
      <c r="B535">
        <v>1</v>
      </c>
    </row>
    <row r="536" spans="1:2" x14ac:dyDescent="0.35">
      <c r="A536" s="4" t="s">
        <v>675</v>
      </c>
      <c r="B536">
        <v>1</v>
      </c>
    </row>
    <row r="537" spans="1:2" x14ac:dyDescent="0.35">
      <c r="A537" s="4" t="s">
        <v>1439</v>
      </c>
      <c r="B537">
        <v>1</v>
      </c>
    </row>
    <row r="538" spans="1:2" x14ac:dyDescent="0.35">
      <c r="A538" s="4" t="s">
        <v>1175</v>
      </c>
      <c r="B538">
        <v>1</v>
      </c>
    </row>
    <row r="539" spans="1:2" x14ac:dyDescent="0.35">
      <c r="A539" s="4" t="s">
        <v>1458</v>
      </c>
      <c r="B539">
        <v>1</v>
      </c>
    </row>
    <row r="540" spans="1:2" x14ac:dyDescent="0.35">
      <c r="A540" s="4" t="s">
        <v>1950</v>
      </c>
      <c r="B540">
        <v>1</v>
      </c>
    </row>
    <row r="541" spans="1:2" x14ac:dyDescent="0.35">
      <c r="A541" s="4" t="s">
        <v>1869</v>
      </c>
      <c r="B541">
        <v>1</v>
      </c>
    </row>
    <row r="542" spans="1:2" x14ac:dyDescent="0.35">
      <c r="A542" s="4" t="s">
        <v>1982</v>
      </c>
      <c r="B542">
        <v>1</v>
      </c>
    </row>
    <row r="543" spans="1:2" x14ac:dyDescent="0.35">
      <c r="A543" s="4" t="s">
        <v>1786</v>
      </c>
      <c r="B543">
        <v>1</v>
      </c>
    </row>
    <row r="544" spans="1:2" x14ac:dyDescent="0.35">
      <c r="A544" s="4" t="s">
        <v>741</v>
      </c>
      <c r="B544">
        <v>1</v>
      </c>
    </row>
    <row r="545" spans="1:2" x14ac:dyDescent="0.35">
      <c r="A545" s="4" t="s">
        <v>223</v>
      </c>
      <c r="B545">
        <v>1</v>
      </c>
    </row>
    <row r="546" spans="1:2" x14ac:dyDescent="0.35">
      <c r="A546" s="4" t="s">
        <v>1794</v>
      </c>
      <c r="B546">
        <v>1</v>
      </c>
    </row>
    <row r="547" spans="1:2" x14ac:dyDescent="0.35">
      <c r="A547" s="4" t="s">
        <v>1990</v>
      </c>
      <c r="B547">
        <v>1</v>
      </c>
    </row>
    <row r="548" spans="1:2" x14ac:dyDescent="0.35">
      <c r="A548" s="4" t="s">
        <v>1930</v>
      </c>
      <c r="B548">
        <v>1</v>
      </c>
    </row>
    <row r="549" spans="1:2" x14ac:dyDescent="0.35">
      <c r="A549" s="4" t="s">
        <v>1199</v>
      </c>
      <c r="B549">
        <v>1</v>
      </c>
    </row>
    <row r="550" spans="1:2" x14ac:dyDescent="0.35">
      <c r="A550" s="4" t="s">
        <v>843</v>
      </c>
      <c r="B550">
        <v>1</v>
      </c>
    </row>
    <row r="551" spans="1:2" x14ac:dyDescent="0.35">
      <c r="A551" s="4" t="s">
        <v>477</v>
      </c>
      <c r="B551">
        <v>1</v>
      </c>
    </row>
    <row r="552" spans="1:2" x14ac:dyDescent="0.35">
      <c r="A552" s="4" t="s">
        <v>765</v>
      </c>
      <c r="B552">
        <v>1</v>
      </c>
    </row>
    <row r="553" spans="1:2" x14ac:dyDescent="0.35">
      <c r="A553" s="4" t="s">
        <v>1315</v>
      </c>
      <c r="B553">
        <v>1</v>
      </c>
    </row>
    <row r="554" spans="1:2" x14ac:dyDescent="0.35">
      <c r="A554" s="4" t="s">
        <v>571</v>
      </c>
      <c r="B554">
        <v>1</v>
      </c>
    </row>
    <row r="555" spans="1:2" x14ac:dyDescent="0.35">
      <c r="A555" s="4" t="s">
        <v>1002</v>
      </c>
      <c r="B555">
        <v>1</v>
      </c>
    </row>
    <row r="556" spans="1:2" x14ac:dyDescent="0.35">
      <c r="A556" s="4" t="s">
        <v>745</v>
      </c>
      <c r="B556">
        <v>1</v>
      </c>
    </row>
    <row r="557" spans="1:2" x14ac:dyDescent="0.35">
      <c r="A557" s="4" t="s">
        <v>1898</v>
      </c>
      <c r="B557">
        <v>1</v>
      </c>
    </row>
    <row r="558" spans="1:2" x14ac:dyDescent="0.35">
      <c r="A558" s="4" t="s">
        <v>436</v>
      </c>
      <c r="B558">
        <v>1</v>
      </c>
    </row>
    <row r="559" spans="1:2" x14ac:dyDescent="0.35">
      <c r="A559" s="4" t="s">
        <v>1576</v>
      </c>
      <c r="B559">
        <v>1</v>
      </c>
    </row>
    <row r="560" spans="1:2" x14ac:dyDescent="0.35">
      <c r="A560" s="4" t="s">
        <v>382</v>
      </c>
      <c r="B560">
        <v>1</v>
      </c>
    </row>
    <row r="561" spans="1:2" x14ac:dyDescent="0.35">
      <c r="A561" s="4" t="s">
        <v>1036</v>
      </c>
      <c r="B561">
        <v>1</v>
      </c>
    </row>
    <row r="562" spans="1:2" x14ac:dyDescent="0.35">
      <c r="A562" s="4" t="s">
        <v>851</v>
      </c>
      <c r="B562">
        <v>1</v>
      </c>
    </row>
    <row r="563" spans="1:2" x14ac:dyDescent="0.35">
      <c r="A563" s="4" t="s">
        <v>263</v>
      </c>
      <c r="B563">
        <v>1</v>
      </c>
    </row>
    <row r="564" spans="1:2" x14ac:dyDescent="0.35">
      <c r="A564" s="4" t="s">
        <v>727</v>
      </c>
      <c r="B564">
        <v>1</v>
      </c>
    </row>
    <row r="565" spans="1:2" x14ac:dyDescent="0.35">
      <c r="A565" s="4" t="s">
        <v>348</v>
      </c>
      <c r="B565">
        <v>1</v>
      </c>
    </row>
    <row r="566" spans="1:2" x14ac:dyDescent="0.35">
      <c r="A566" s="4" t="s">
        <v>77</v>
      </c>
      <c r="B566">
        <v>1</v>
      </c>
    </row>
    <row r="567" spans="1:2" x14ac:dyDescent="0.35">
      <c r="A567" s="4" t="s">
        <v>1514</v>
      </c>
      <c r="B567">
        <v>1</v>
      </c>
    </row>
    <row r="568" spans="1:2" x14ac:dyDescent="0.35">
      <c r="A568" s="4" t="s">
        <v>1391</v>
      </c>
      <c r="B568">
        <v>1</v>
      </c>
    </row>
    <row r="569" spans="1:2" x14ac:dyDescent="0.35">
      <c r="A569" s="4" t="s">
        <v>1057</v>
      </c>
      <c r="B569">
        <v>1</v>
      </c>
    </row>
    <row r="570" spans="1:2" x14ac:dyDescent="0.35">
      <c r="A570" s="4" t="s">
        <v>1496</v>
      </c>
      <c r="B570">
        <v>1</v>
      </c>
    </row>
    <row r="571" spans="1:2" x14ac:dyDescent="0.35">
      <c r="A571" s="4" t="s">
        <v>207</v>
      </c>
      <c r="B571">
        <v>1</v>
      </c>
    </row>
    <row r="572" spans="1:2" x14ac:dyDescent="0.35">
      <c r="A572" s="4" t="s">
        <v>926</v>
      </c>
      <c r="B572">
        <v>1</v>
      </c>
    </row>
    <row r="573" spans="1:2" x14ac:dyDescent="0.35">
      <c r="A573" s="4" t="s">
        <v>1984</v>
      </c>
      <c r="B573">
        <v>1</v>
      </c>
    </row>
    <row r="574" spans="1:2" x14ac:dyDescent="0.35">
      <c r="A574" s="4" t="s">
        <v>1040</v>
      </c>
      <c r="B574">
        <v>1</v>
      </c>
    </row>
    <row r="575" spans="1:2" x14ac:dyDescent="0.35">
      <c r="A575" s="4" t="s">
        <v>1696</v>
      </c>
      <c r="B575">
        <v>1</v>
      </c>
    </row>
    <row r="576" spans="1:2" x14ac:dyDescent="0.35">
      <c r="A576" s="4" t="s">
        <v>631</v>
      </c>
      <c r="B576">
        <v>1</v>
      </c>
    </row>
    <row r="577" spans="1:2" x14ac:dyDescent="0.35">
      <c r="A577" s="4" t="s">
        <v>517</v>
      </c>
      <c r="B577">
        <v>1</v>
      </c>
    </row>
    <row r="578" spans="1:2" x14ac:dyDescent="0.35">
      <c r="A578" s="4" t="s">
        <v>1592</v>
      </c>
      <c r="B578">
        <v>1</v>
      </c>
    </row>
    <row r="579" spans="1:2" x14ac:dyDescent="0.35">
      <c r="A579" s="4" t="s">
        <v>307</v>
      </c>
      <c r="B579">
        <v>1</v>
      </c>
    </row>
    <row r="580" spans="1:2" x14ac:dyDescent="0.35">
      <c r="A580" s="4" t="s">
        <v>2040</v>
      </c>
      <c r="B580">
        <v>1</v>
      </c>
    </row>
    <row r="581" spans="1:2" x14ac:dyDescent="0.35">
      <c r="A581" s="4" t="s">
        <v>134</v>
      </c>
      <c r="B581">
        <v>1</v>
      </c>
    </row>
    <row r="582" spans="1:2" x14ac:dyDescent="0.35">
      <c r="A582" s="4" t="s">
        <v>1960</v>
      </c>
      <c r="B582">
        <v>1</v>
      </c>
    </row>
    <row r="583" spans="1:2" x14ac:dyDescent="0.35">
      <c r="A583" s="4" t="s">
        <v>723</v>
      </c>
      <c r="B583">
        <v>1</v>
      </c>
    </row>
    <row r="584" spans="1:2" x14ac:dyDescent="0.35">
      <c r="A584" s="4" t="s">
        <v>410</v>
      </c>
      <c r="B584">
        <v>1</v>
      </c>
    </row>
    <row r="585" spans="1:2" x14ac:dyDescent="0.35">
      <c r="A585" s="4" t="s">
        <v>1073</v>
      </c>
      <c r="B585">
        <v>1</v>
      </c>
    </row>
    <row r="586" spans="1:2" x14ac:dyDescent="0.35">
      <c r="A586" s="4" t="s">
        <v>1195</v>
      </c>
      <c r="B586">
        <v>1</v>
      </c>
    </row>
    <row r="587" spans="1:2" x14ac:dyDescent="0.35">
      <c r="A587" s="4" t="s">
        <v>705</v>
      </c>
      <c r="B587">
        <v>1</v>
      </c>
    </row>
    <row r="588" spans="1:2" x14ac:dyDescent="0.35">
      <c r="A588" s="4" t="s">
        <v>1405</v>
      </c>
      <c r="B588">
        <v>1</v>
      </c>
    </row>
    <row r="589" spans="1:2" x14ac:dyDescent="0.35">
      <c r="A589" s="4" t="s">
        <v>1774</v>
      </c>
      <c r="B589">
        <v>1</v>
      </c>
    </row>
    <row r="590" spans="1:2" x14ac:dyDescent="0.35">
      <c r="A590" s="4" t="s">
        <v>701</v>
      </c>
      <c r="B590">
        <v>1</v>
      </c>
    </row>
    <row r="591" spans="1:2" x14ac:dyDescent="0.35">
      <c r="A591" s="4" t="s">
        <v>1694</v>
      </c>
      <c r="B591">
        <v>1</v>
      </c>
    </row>
    <row r="592" spans="1:2" x14ac:dyDescent="0.35">
      <c r="A592" s="4" t="s">
        <v>1279</v>
      </c>
      <c r="B592">
        <v>1</v>
      </c>
    </row>
    <row r="593" spans="1:2" x14ac:dyDescent="0.35">
      <c r="A593" s="4" t="s">
        <v>503</v>
      </c>
      <c r="B593">
        <v>1</v>
      </c>
    </row>
    <row r="594" spans="1:2" x14ac:dyDescent="0.35">
      <c r="A594" s="4" t="s">
        <v>1676</v>
      </c>
      <c r="B594">
        <v>1</v>
      </c>
    </row>
    <row r="595" spans="1:2" x14ac:dyDescent="0.35">
      <c r="A595" s="4" t="s">
        <v>1574</v>
      </c>
      <c r="B595">
        <v>1</v>
      </c>
    </row>
    <row r="596" spans="1:2" x14ac:dyDescent="0.35">
      <c r="A596" s="4" t="s">
        <v>889</v>
      </c>
      <c r="B596">
        <v>1</v>
      </c>
    </row>
    <row r="597" spans="1:2" x14ac:dyDescent="0.35">
      <c r="A597" s="4" t="s">
        <v>1740</v>
      </c>
      <c r="B597">
        <v>1</v>
      </c>
    </row>
    <row r="598" spans="1:2" x14ac:dyDescent="0.35">
      <c r="A598" s="4" t="s">
        <v>195</v>
      </c>
      <c r="B598">
        <v>1</v>
      </c>
    </row>
    <row r="599" spans="1:2" x14ac:dyDescent="0.35">
      <c r="A599" s="4" t="s">
        <v>1407</v>
      </c>
      <c r="B599">
        <v>1</v>
      </c>
    </row>
    <row r="600" spans="1:2" x14ac:dyDescent="0.35">
      <c r="A600" s="4" t="s">
        <v>1946</v>
      </c>
      <c r="B600">
        <v>1</v>
      </c>
    </row>
    <row r="601" spans="1:2" x14ac:dyDescent="0.35">
      <c r="A601" s="4" t="s">
        <v>1417</v>
      </c>
      <c r="B601">
        <v>1</v>
      </c>
    </row>
    <row r="602" spans="1:2" x14ac:dyDescent="0.35">
      <c r="A602" s="4" t="s">
        <v>1816</v>
      </c>
      <c r="B602">
        <v>1</v>
      </c>
    </row>
    <row r="603" spans="1:2" x14ac:dyDescent="0.35">
      <c r="A603" s="4" t="s">
        <v>1403</v>
      </c>
      <c r="B603">
        <v>1</v>
      </c>
    </row>
    <row r="604" spans="1:2" x14ac:dyDescent="0.35">
      <c r="A604" s="4" t="s">
        <v>561</v>
      </c>
      <c r="B604">
        <v>1</v>
      </c>
    </row>
    <row r="605" spans="1:2" x14ac:dyDescent="0.35">
      <c r="A605" s="4" t="s">
        <v>853</v>
      </c>
      <c r="B605">
        <v>1</v>
      </c>
    </row>
    <row r="606" spans="1:2" x14ac:dyDescent="0.35">
      <c r="A606" s="4" t="s">
        <v>1299</v>
      </c>
      <c r="B606">
        <v>1</v>
      </c>
    </row>
    <row r="607" spans="1:2" x14ac:dyDescent="0.35">
      <c r="A607" s="4" t="s">
        <v>1958</v>
      </c>
      <c r="B607">
        <v>1</v>
      </c>
    </row>
    <row r="608" spans="1:2" x14ac:dyDescent="0.35">
      <c r="A608" s="4" t="s">
        <v>157</v>
      </c>
      <c r="B608">
        <v>1</v>
      </c>
    </row>
    <row r="609" spans="1:2" x14ac:dyDescent="0.35">
      <c r="A609" s="4" t="s">
        <v>2094</v>
      </c>
      <c r="B609">
        <v>1</v>
      </c>
    </row>
    <row r="610" spans="1:2" x14ac:dyDescent="0.35">
      <c r="A610" s="4" t="s">
        <v>88</v>
      </c>
      <c r="B610">
        <v>1</v>
      </c>
    </row>
    <row r="611" spans="1:2" x14ac:dyDescent="0.35">
      <c r="A611" s="4" t="s">
        <v>1121</v>
      </c>
      <c r="B611">
        <v>1</v>
      </c>
    </row>
    <row r="612" spans="1:2" x14ac:dyDescent="0.35">
      <c r="A612" s="4" t="s">
        <v>815</v>
      </c>
      <c r="B612">
        <v>1</v>
      </c>
    </row>
    <row r="613" spans="1:2" x14ac:dyDescent="0.35">
      <c r="A613" s="4" t="s">
        <v>1732</v>
      </c>
      <c r="B613">
        <v>1</v>
      </c>
    </row>
    <row r="614" spans="1:2" x14ac:dyDescent="0.35">
      <c r="A614" s="4" t="s">
        <v>404</v>
      </c>
      <c r="B614">
        <v>1</v>
      </c>
    </row>
    <row r="615" spans="1:2" x14ac:dyDescent="0.35">
      <c r="A615" s="4" t="s">
        <v>55</v>
      </c>
      <c r="B615">
        <v>1</v>
      </c>
    </row>
    <row r="616" spans="1:2" x14ac:dyDescent="0.35">
      <c r="A616" s="4" t="s">
        <v>1191</v>
      </c>
      <c r="B616">
        <v>1</v>
      </c>
    </row>
    <row r="617" spans="1:2" x14ac:dyDescent="0.35">
      <c r="A617" s="4" t="s">
        <v>1163</v>
      </c>
      <c r="B617">
        <v>1</v>
      </c>
    </row>
    <row r="618" spans="1:2" x14ac:dyDescent="0.35">
      <c r="A618" s="4" t="s">
        <v>2048</v>
      </c>
      <c r="B618">
        <v>1</v>
      </c>
    </row>
    <row r="619" spans="1:2" x14ac:dyDescent="0.35">
      <c r="A619" s="4" t="s">
        <v>1508</v>
      </c>
      <c r="B619">
        <v>1</v>
      </c>
    </row>
    <row r="620" spans="1:2" x14ac:dyDescent="0.35">
      <c r="A620" s="4" t="s">
        <v>1135</v>
      </c>
      <c r="B620">
        <v>1</v>
      </c>
    </row>
    <row r="621" spans="1:2" x14ac:dyDescent="0.35">
      <c r="A621" s="4" t="s">
        <v>1518</v>
      </c>
      <c r="B621">
        <v>1</v>
      </c>
    </row>
    <row r="622" spans="1:2" x14ac:dyDescent="0.35">
      <c r="A622" s="4" t="s">
        <v>920</v>
      </c>
      <c r="B622">
        <v>1</v>
      </c>
    </row>
    <row r="623" spans="1:2" x14ac:dyDescent="0.35">
      <c r="A623" s="4" t="s">
        <v>269</v>
      </c>
      <c r="B623">
        <v>1</v>
      </c>
    </row>
    <row r="624" spans="1:2" x14ac:dyDescent="0.35">
      <c r="A624" s="4" t="s">
        <v>340</v>
      </c>
      <c r="B624">
        <v>1</v>
      </c>
    </row>
    <row r="625" spans="1:2" x14ac:dyDescent="0.35">
      <c r="A625" s="4" t="s">
        <v>475</v>
      </c>
      <c r="B625">
        <v>1</v>
      </c>
    </row>
    <row r="626" spans="1:2" x14ac:dyDescent="0.35">
      <c r="A626" s="4" t="s">
        <v>1895</v>
      </c>
      <c r="B626">
        <v>1</v>
      </c>
    </row>
    <row r="627" spans="1:2" x14ac:dyDescent="0.35">
      <c r="A627" s="4" t="s">
        <v>885</v>
      </c>
      <c r="B627">
        <v>1</v>
      </c>
    </row>
    <row r="628" spans="1:2" x14ac:dyDescent="0.35">
      <c r="A628" s="4" t="s">
        <v>956</v>
      </c>
      <c r="B628">
        <v>1</v>
      </c>
    </row>
    <row r="629" spans="1:2" x14ac:dyDescent="0.35">
      <c r="A629" s="4" t="s">
        <v>283</v>
      </c>
      <c r="B629">
        <v>1</v>
      </c>
    </row>
    <row r="630" spans="1:2" x14ac:dyDescent="0.35">
      <c r="A630" s="4" t="s">
        <v>980</v>
      </c>
      <c r="B630">
        <v>1</v>
      </c>
    </row>
    <row r="631" spans="1:2" x14ac:dyDescent="0.35">
      <c r="A631" s="4" t="s">
        <v>1209</v>
      </c>
      <c r="B631">
        <v>1</v>
      </c>
    </row>
    <row r="632" spans="1:2" x14ac:dyDescent="0.35">
      <c r="A632" s="4" t="s">
        <v>577</v>
      </c>
      <c r="B632">
        <v>1</v>
      </c>
    </row>
    <row r="633" spans="1:2" x14ac:dyDescent="0.35">
      <c r="A633" s="4" t="s">
        <v>633</v>
      </c>
      <c r="B633">
        <v>1</v>
      </c>
    </row>
    <row r="634" spans="1:2" x14ac:dyDescent="0.35">
      <c r="A634" s="4" t="s">
        <v>1798</v>
      </c>
      <c r="B634">
        <v>1</v>
      </c>
    </row>
    <row r="635" spans="1:2" x14ac:dyDescent="0.35">
      <c r="A635" s="4" t="s">
        <v>595</v>
      </c>
      <c r="B635">
        <v>1</v>
      </c>
    </row>
    <row r="636" spans="1:2" x14ac:dyDescent="0.35">
      <c r="A636" s="4" t="s">
        <v>368</v>
      </c>
      <c r="B636">
        <v>1</v>
      </c>
    </row>
    <row r="637" spans="1:2" x14ac:dyDescent="0.35">
      <c r="A637" s="4" t="s">
        <v>1127</v>
      </c>
      <c r="B637">
        <v>1</v>
      </c>
    </row>
    <row r="638" spans="1:2" x14ac:dyDescent="0.35">
      <c r="A638" s="4" t="s">
        <v>1451</v>
      </c>
      <c r="B638">
        <v>1</v>
      </c>
    </row>
    <row r="639" spans="1:2" x14ac:dyDescent="0.35">
      <c r="A639" s="4" t="s">
        <v>1891</v>
      </c>
      <c r="B639">
        <v>1</v>
      </c>
    </row>
    <row r="640" spans="1:2" x14ac:dyDescent="0.35">
      <c r="A640" s="4" t="s">
        <v>893</v>
      </c>
      <c r="B640">
        <v>1</v>
      </c>
    </row>
    <row r="641" spans="1:2" x14ac:dyDescent="0.35">
      <c r="A641" s="4" t="s">
        <v>970</v>
      </c>
      <c r="B641">
        <v>1</v>
      </c>
    </row>
    <row r="642" spans="1:2" x14ac:dyDescent="0.35">
      <c r="A642" s="4" t="s">
        <v>408</v>
      </c>
      <c r="B642">
        <v>1</v>
      </c>
    </row>
    <row r="643" spans="1:2" x14ac:dyDescent="0.35">
      <c r="A643" s="4" t="s">
        <v>1333</v>
      </c>
      <c r="B643">
        <v>1</v>
      </c>
    </row>
    <row r="644" spans="1:2" x14ac:dyDescent="0.35">
      <c r="A644" s="4" t="s">
        <v>807</v>
      </c>
      <c r="B644">
        <v>1</v>
      </c>
    </row>
    <row r="645" spans="1:2" x14ac:dyDescent="0.35">
      <c r="A645" s="4" t="s">
        <v>414</v>
      </c>
      <c r="B645">
        <v>1</v>
      </c>
    </row>
    <row r="646" spans="1:2" x14ac:dyDescent="0.35">
      <c r="A646" s="4" t="s">
        <v>907</v>
      </c>
      <c r="B646">
        <v>1</v>
      </c>
    </row>
    <row r="647" spans="1:2" x14ac:dyDescent="0.35">
      <c r="A647" s="4" t="s">
        <v>1075</v>
      </c>
      <c r="B647">
        <v>1</v>
      </c>
    </row>
    <row r="648" spans="1:2" x14ac:dyDescent="0.35">
      <c r="A648" s="4" t="s">
        <v>1606</v>
      </c>
      <c r="B648">
        <v>1</v>
      </c>
    </row>
    <row r="649" spans="1:2" x14ac:dyDescent="0.35">
      <c r="A649" s="4" t="s">
        <v>739</v>
      </c>
      <c r="B649">
        <v>1</v>
      </c>
    </row>
    <row r="650" spans="1:2" x14ac:dyDescent="0.35">
      <c r="A650" s="4" t="s">
        <v>312</v>
      </c>
      <c r="B650">
        <v>1</v>
      </c>
    </row>
    <row r="651" spans="1:2" x14ac:dyDescent="0.35">
      <c r="A651" s="4" t="s">
        <v>1125</v>
      </c>
      <c r="B651">
        <v>1</v>
      </c>
    </row>
    <row r="652" spans="1:2" x14ac:dyDescent="0.35">
      <c r="A652" s="4" t="s">
        <v>1289</v>
      </c>
      <c r="B652">
        <v>1</v>
      </c>
    </row>
    <row r="653" spans="1:2" x14ac:dyDescent="0.35">
      <c r="A653" s="4" t="s">
        <v>350</v>
      </c>
      <c r="B653">
        <v>1</v>
      </c>
    </row>
    <row r="654" spans="1:2" x14ac:dyDescent="0.35">
      <c r="A654" s="4" t="s">
        <v>1964</v>
      </c>
      <c r="B654">
        <v>1</v>
      </c>
    </row>
    <row r="655" spans="1:2" x14ac:dyDescent="0.35">
      <c r="A655" s="4" t="s">
        <v>471</v>
      </c>
      <c r="B655">
        <v>1</v>
      </c>
    </row>
    <row r="656" spans="1:2" x14ac:dyDescent="0.35">
      <c r="A656" s="4" t="s">
        <v>1291</v>
      </c>
      <c r="B656">
        <v>1</v>
      </c>
    </row>
    <row r="657" spans="1:2" x14ac:dyDescent="0.35">
      <c r="A657" s="4" t="s">
        <v>279</v>
      </c>
      <c r="B657">
        <v>1</v>
      </c>
    </row>
    <row r="658" spans="1:2" x14ac:dyDescent="0.35">
      <c r="A658" s="4" t="s">
        <v>1922</v>
      </c>
      <c r="B658">
        <v>1</v>
      </c>
    </row>
    <row r="659" spans="1:2" x14ac:dyDescent="0.35">
      <c r="A659" s="4" t="s">
        <v>2022</v>
      </c>
      <c r="B659">
        <v>1</v>
      </c>
    </row>
    <row r="660" spans="1:2" x14ac:dyDescent="0.35">
      <c r="A660" s="4" t="s">
        <v>231</v>
      </c>
      <c r="B660">
        <v>1</v>
      </c>
    </row>
    <row r="661" spans="1:2" x14ac:dyDescent="0.35">
      <c r="A661" s="4" t="s">
        <v>960</v>
      </c>
      <c r="B661">
        <v>1</v>
      </c>
    </row>
    <row r="662" spans="1:2" x14ac:dyDescent="0.35">
      <c r="A662" s="4" t="s">
        <v>1966</v>
      </c>
      <c r="B662">
        <v>1</v>
      </c>
    </row>
    <row r="663" spans="1:2" x14ac:dyDescent="0.35">
      <c r="A663" s="4" t="s">
        <v>1275</v>
      </c>
      <c r="B663">
        <v>1</v>
      </c>
    </row>
    <row r="664" spans="1:2" x14ac:dyDescent="0.35">
      <c r="A664" s="4" t="s">
        <v>1343</v>
      </c>
      <c r="B664">
        <v>1</v>
      </c>
    </row>
    <row r="665" spans="1:2" x14ac:dyDescent="0.35">
      <c r="A665" s="4" t="s">
        <v>1502</v>
      </c>
      <c r="B665">
        <v>1</v>
      </c>
    </row>
    <row r="666" spans="1:2" x14ac:dyDescent="0.35">
      <c r="A666" s="4" t="s">
        <v>1063</v>
      </c>
      <c r="B666">
        <v>1</v>
      </c>
    </row>
    <row r="667" spans="1:2" x14ac:dyDescent="0.35">
      <c r="A667" s="4" t="s">
        <v>1948</v>
      </c>
      <c r="B667">
        <v>1</v>
      </c>
    </row>
    <row r="668" spans="1:2" x14ac:dyDescent="0.35">
      <c r="A668" s="4" t="s">
        <v>1219</v>
      </c>
      <c r="B668">
        <v>1</v>
      </c>
    </row>
    <row r="669" spans="1:2" x14ac:dyDescent="0.35">
      <c r="A669" s="4" t="s">
        <v>1456</v>
      </c>
      <c r="B669">
        <v>1</v>
      </c>
    </row>
    <row r="670" spans="1:2" x14ac:dyDescent="0.35">
      <c r="A670" s="4" t="s">
        <v>1516</v>
      </c>
      <c r="B670">
        <v>1</v>
      </c>
    </row>
    <row r="671" spans="1:2" x14ac:dyDescent="0.35">
      <c r="A671" s="4" t="s">
        <v>287</v>
      </c>
      <c r="B671">
        <v>1</v>
      </c>
    </row>
    <row r="672" spans="1:2" x14ac:dyDescent="0.35">
      <c r="A672" s="4" t="s">
        <v>462</v>
      </c>
      <c r="B672">
        <v>1</v>
      </c>
    </row>
    <row r="673" spans="1:2" x14ac:dyDescent="0.35">
      <c r="A673" s="4" t="s">
        <v>1938</v>
      </c>
      <c r="B673">
        <v>1</v>
      </c>
    </row>
    <row r="674" spans="1:2" x14ac:dyDescent="0.35">
      <c r="A674" s="4" t="s">
        <v>1926</v>
      </c>
      <c r="B674">
        <v>1</v>
      </c>
    </row>
    <row r="675" spans="1:2" x14ac:dyDescent="0.35">
      <c r="A675" s="4" t="s">
        <v>19</v>
      </c>
      <c r="B675">
        <v>1</v>
      </c>
    </row>
    <row r="676" spans="1:2" x14ac:dyDescent="0.35">
      <c r="A676" s="4" t="s">
        <v>241</v>
      </c>
      <c r="B676">
        <v>1</v>
      </c>
    </row>
    <row r="677" spans="1:2" x14ac:dyDescent="0.35">
      <c r="A677" s="4" t="s">
        <v>563</v>
      </c>
      <c r="B677">
        <v>1</v>
      </c>
    </row>
    <row r="678" spans="1:2" x14ac:dyDescent="0.35">
      <c r="A678" s="4" t="s">
        <v>213</v>
      </c>
      <c r="B678">
        <v>1</v>
      </c>
    </row>
    <row r="679" spans="1:2" x14ac:dyDescent="0.35">
      <c r="A679" s="4" t="s">
        <v>1115</v>
      </c>
      <c r="B679">
        <v>1</v>
      </c>
    </row>
    <row r="680" spans="1:2" x14ac:dyDescent="0.35">
      <c r="A680" s="4" t="s">
        <v>1183</v>
      </c>
      <c r="B680">
        <v>1</v>
      </c>
    </row>
    <row r="681" spans="1:2" x14ac:dyDescent="0.35">
      <c r="A681" s="4" t="s">
        <v>1861</v>
      </c>
      <c r="B681">
        <v>1</v>
      </c>
    </row>
    <row r="682" spans="1:2" x14ac:dyDescent="0.35">
      <c r="A682" s="4" t="s">
        <v>1137</v>
      </c>
      <c r="B682">
        <v>1</v>
      </c>
    </row>
    <row r="683" spans="1:2" x14ac:dyDescent="0.35">
      <c r="A683" s="4" t="s">
        <v>627</v>
      </c>
      <c r="B683">
        <v>1</v>
      </c>
    </row>
    <row r="684" spans="1:2" x14ac:dyDescent="0.35">
      <c r="A684" s="4" t="s">
        <v>1722</v>
      </c>
      <c r="B684">
        <v>1</v>
      </c>
    </row>
    <row r="685" spans="1:2" x14ac:dyDescent="0.35">
      <c r="A685" s="4" t="s">
        <v>1893</v>
      </c>
      <c r="B685">
        <v>1</v>
      </c>
    </row>
    <row r="686" spans="1:2" x14ac:dyDescent="0.35">
      <c r="A686" s="4" t="s">
        <v>587</v>
      </c>
      <c r="B686">
        <v>1</v>
      </c>
    </row>
    <row r="687" spans="1:2" x14ac:dyDescent="0.35">
      <c r="A687" s="4" t="s">
        <v>717</v>
      </c>
      <c r="B687">
        <v>1</v>
      </c>
    </row>
    <row r="688" spans="1:2" x14ac:dyDescent="0.35">
      <c r="A688" s="4" t="s">
        <v>1836</v>
      </c>
      <c r="B688">
        <v>1</v>
      </c>
    </row>
    <row r="689" spans="1:2" x14ac:dyDescent="0.35">
      <c r="A689" s="4" t="s">
        <v>219</v>
      </c>
      <c r="B689">
        <v>1</v>
      </c>
    </row>
    <row r="690" spans="1:2" x14ac:dyDescent="0.35">
      <c r="A690" s="4" t="s">
        <v>1873</v>
      </c>
      <c r="B690">
        <v>1</v>
      </c>
    </row>
    <row r="691" spans="1:2" x14ac:dyDescent="0.35">
      <c r="A691" s="4" t="s">
        <v>469</v>
      </c>
      <c r="B691">
        <v>1</v>
      </c>
    </row>
    <row r="692" spans="1:2" x14ac:dyDescent="0.35">
      <c r="A692" s="4" t="s">
        <v>575</v>
      </c>
      <c r="B692">
        <v>1</v>
      </c>
    </row>
    <row r="693" spans="1:2" x14ac:dyDescent="0.35">
      <c r="A693" s="4" t="s">
        <v>1924</v>
      </c>
      <c r="B693">
        <v>1</v>
      </c>
    </row>
    <row r="694" spans="1:2" x14ac:dyDescent="0.35">
      <c r="A694" s="4" t="s">
        <v>1425</v>
      </c>
      <c r="B694">
        <v>1</v>
      </c>
    </row>
    <row r="695" spans="1:2" x14ac:dyDescent="0.35">
      <c r="A695" s="4" t="s">
        <v>2083</v>
      </c>
      <c r="B695">
        <v>617</v>
      </c>
    </row>
    <row r="698" spans="1:2" x14ac:dyDescent="0.35">
      <c r="A698" s="11" t="s">
        <v>2073</v>
      </c>
      <c r="B698" t="s">
        <v>2085</v>
      </c>
    </row>
    <row r="699" spans="1:2" x14ac:dyDescent="0.35">
      <c r="A699" s="4" t="s">
        <v>74</v>
      </c>
      <c r="B699">
        <v>490</v>
      </c>
    </row>
    <row r="700" spans="1:2" x14ac:dyDescent="0.35">
      <c r="A700" s="4" t="s">
        <v>94</v>
      </c>
      <c r="B700">
        <v>510</v>
      </c>
    </row>
    <row r="701" spans="1:2" x14ac:dyDescent="0.35">
      <c r="A701" s="4" t="s">
        <v>2083</v>
      </c>
      <c r="B701">
        <v>1000</v>
      </c>
    </row>
    <row r="703" spans="1:2" x14ac:dyDescent="0.35">
      <c r="A703" s="11" t="s">
        <v>2076</v>
      </c>
      <c r="B703" t="s">
        <v>2085</v>
      </c>
    </row>
    <row r="704" spans="1:2" x14ac:dyDescent="0.35">
      <c r="A704" s="4" t="s">
        <v>150</v>
      </c>
      <c r="B704">
        <v>44</v>
      </c>
    </row>
    <row r="705" spans="1:2" x14ac:dyDescent="0.35">
      <c r="A705" s="4" t="s">
        <v>136</v>
      </c>
      <c r="B705">
        <v>42</v>
      </c>
    </row>
    <row r="706" spans="1:2" x14ac:dyDescent="0.35">
      <c r="A706" s="4" t="s">
        <v>42</v>
      </c>
      <c r="B706">
        <v>51</v>
      </c>
    </row>
    <row r="707" spans="1:2" x14ac:dyDescent="0.35">
      <c r="A707" s="4" t="s">
        <v>22</v>
      </c>
      <c r="B707">
        <v>215</v>
      </c>
    </row>
    <row r="708" spans="1:2" x14ac:dyDescent="0.35">
      <c r="A708" s="4" t="s">
        <v>132</v>
      </c>
      <c r="B708">
        <v>44</v>
      </c>
    </row>
    <row r="709" spans="1:2" x14ac:dyDescent="0.35">
      <c r="A709" s="4" t="s">
        <v>29</v>
      </c>
      <c r="B709">
        <v>52</v>
      </c>
    </row>
    <row r="710" spans="1:2" x14ac:dyDescent="0.35">
      <c r="A710" s="4" t="s">
        <v>91</v>
      </c>
      <c r="B710">
        <v>45</v>
      </c>
    </row>
    <row r="711" spans="1:2" x14ac:dyDescent="0.35">
      <c r="A711" s="4" t="s">
        <v>48</v>
      </c>
      <c r="B711">
        <v>46</v>
      </c>
    </row>
    <row r="712" spans="1:2" x14ac:dyDescent="0.35">
      <c r="A712" s="4" t="s">
        <v>16</v>
      </c>
      <c r="B712">
        <v>42</v>
      </c>
    </row>
    <row r="713" spans="1:2" x14ac:dyDescent="0.35">
      <c r="A713" s="4" t="s">
        <v>83</v>
      </c>
      <c r="B713">
        <v>37</v>
      </c>
    </row>
    <row r="714" spans="1:2" x14ac:dyDescent="0.35">
      <c r="A714" s="4" t="s">
        <v>110</v>
      </c>
      <c r="B714">
        <v>68</v>
      </c>
    </row>
    <row r="715" spans="1:2" x14ac:dyDescent="0.35">
      <c r="A715" s="4" t="s">
        <v>171</v>
      </c>
      <c r="B715">
        <v>49</v>
      </c>
    </row>
    <row r="716" spans="1:2" x14ac:dyDescent="0.35">
      <c r="A716" s="4" t="s">
        <v>105</v>
      </c>
      <c r="B716">
        <v>31</v>
      </c>
    </row>
    <row r="717" spans="1:2" x14ac:dyDescent="0.35">
      <c r="A717" s="4" t="s">
        <v>121</v>
      </c>
      <c r="B717">
        <v>47</v>
      </c>
    </row>
    <row r="718" spans="1:2" x14ac:dyDescent="0.35">
      <c r="A718" s="4" t="s">
        <v>69</v>
      </c>
      <c r="B718">
        <v>142</v>
      </c>
    </row>
    <row r="719" spans="1:2" x14ac:dyDescent="0.35">
      <c r="A719" s="4" t="s">
        <v>61</v>
      </c>
      <c r="B719">
        <v>45</v>
      </c>
    </row>
    <row r="720" spans="1:2" x14ac:dyDescent="0.35">
      <c r="A720" s="4" t="s">
        <v>2083</v>
      </c>
      <c r="B720">
        <v>1000</v>
      </c>
    </row>
    <row r="723" spans="1:2" x14ac:dyDescent="0.35">
      <c r="A723" s="11" t="s">
        <v>2072</v>
      </c>
      <c r="B723" t="s">
        <v>2096</v>
      </c>
    </row>
    <row r="724" spans="1:2" x14ac:dyDescent="0.35">
      <c r="A724" s="4" t="s">
        <v>1415</v>
      </c>
      <c r="B724" s="1">
        <v>1.67</v>
      </c>
    </row>
    <row r="725" spans="1:2" x14ac:dyDescent="0.35">
      <c r="A725" s="4" t="s">
        <v>669</v>
      </c>
      <c r="B725" s="1">
        <v>1.46</v>
      </c>
    </row>
    <row r="726" spans="1:2" x14ac:dyDescent="0.35">
      <c r="A726" s="4" t="s">
        <v>761</v>
      </c>
      <c r="B726" s="1">
        <v>0.99</v>
      </c>
    </row>
    <row r="727" spans="1:2" x14ac:dyDescent="0.35">
      <c r="A727" s="4" t="s">
        <v>1718</v>
      </c>
      <c r="B727" s="1">
        <v>0.99</v>
      </c>
    </row>
    <row r="728" spans="1:2" x14ac:dyDescent="0.35">
      <c r="A728" s="4" t="s">
        <v>1435</v>
      </c>
      <c r="B728" s="1">
        <v>0.99</v>
      </c>
    </row>
    <row r="729" spans="1:2" x14ac:dyDescent="0.35">
      <c r="A729" s="4" t="s">
        <v>330</v>
      </c>
      <c r="B729" s="1">
        <v>1.5699999999999998</v>
      </c>
    </row>
    <row r="730" spans="1:2" x14ac:dyDescent="0.35">
      <c r="A730" s="4" t="s">
        <v>1476</v>
      </c>
      <c r="B730" s="1">
        <v>0.99</v>
      </c>
    </row>
    <row r="731" spans="1:2" x14ac:dyDescent="0.35">
      <c r="A731" s="4" t="s">
        <v>797</v>
      </c>
      <c r="B731" s="1">
        <v>0.99</v>
      </c>
    </row>
    <row r="732" spans="1:2" x14ac:dyDescent="0.35">
      <c r="A732" s="4" t="s">
        <v>773</v>
      </c>
      <c r="B732" s="1">
        <v>1</v>
      </c>
    </row>
    <row r="733" spans="1:2" x14ac:dyDescent="0.35">
      <c r="A733" s="4" t="s">
        <v>1904</v>
      </c>
      <c r="B733" s="1">
        <v>0.99</v>
      </c>
    </row>
    <row r="734" spans="1:2" x14ac:dyDescent="0.35">
      <c r="A734" s="4" t="s">
        <v>731</v>
      </c>
      <c r="B734" s="1">
        <v>1</v>
      </c>
    </row>
    <row r="735" spans="1:2" x14ac:dyDescent="0.35">
      <c r="A735" s="4" t="s">
        <v>833</v>
      </c>
      <c r="B735" s="1">
        <v>1.51</v>
      </c>
    </row>
    <row r="736" spans="1:2" x14ac:dyDescent="0.35">
      <c r="A736" s="4" t="s">
        <v>257</v>
      </c>
      <c r="B736" s="1">
        <v>1.6</v>
      </c>
    </row>
    <row r="737" spans="1:2" x14ac:dyDescent="0.35">
      <c r="A737" s="4" t="s">
        <v>1490</v>
      </c>
      <c r="B737" s="1">
        <v>0.99</v>
      </c>
    </row>
    <row r="738" spans="1:2" x14ac:dyDescent="0.35">
      <c r="A738" s="4" t="s">
        <v>747</v>
      </c>
      <c r="B738" s="1">
        <v>0.99</v>
      </c>
    </row>
    <row r="739" spans="1:2" x14ac:dyDescent="0.35">
      <c r="A739" s="4" t="s">
        <v>513</v>
      </c>
      <c r="B739" s="1">
        <v>1.6600000000000001</v>
      </c>
    </row>
    <row r="740" spans="1:2" x14ac:dyDescent="0.35">
      <c r="A740" s="4" t="s">
        <v>561</v>
      </c>
      <c r="B740" s="1">
        <v>1.57</v>
      </c>
    </row>
    <row r="741" spans="1:2" x14ac:dyDescent="0.35">
      <c r="A741" s="4" t="s">
        <v>960</v>
      </c>
      <c r="B741" s="1">
        <v>0.99</v>
      </c>
    </row>
    <row r="742" spans="1:2" x14ac:dyDescent="0.35">
      <c r="A742" s="4" t="s">
        <v>587</v>
      </c>
      <c r="B742" s="1">
        <v>0.99</v>
      </c>
    </row>
    <row r="743" spans="1:2" x14ac:dyDescent="0.35">
      <c r="A743" s="4" t="s">
        <v>2083</v>
      </c>
      <c r="B743" s="1">
        <v>22.939999999999994</v>
      </c>
    </row>
  </sheetData>
  <pageMargins left="0.7" right="0.7" top="0.75" bottom="0.75" header="0.3" footer="0.3"/>
  <drawing r:id="rId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global_freelancers_raw</vt:lpstr>
      <vt:lpstr>worksheet</vt:lpstr>
      <vt:lpstr>globalfreelancepreprocesseddata</vt:lpstr>
      <vt:lpstr>Pivottable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SHIKHA SHANKAR</cp:lastModifiedBy>
  <dcterms:created xsi:type="dcterms:W3CDTF">2026-09-09T20:44:16Z</dcterms:created>
  <dcterms:modified xsi:type="dcterms:W3CDTF">2026-09-12T20:09:59Z</dcterms:modified>
</cp:coreProperties>
</file>